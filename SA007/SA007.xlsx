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-TSO\Mat Bal\SA007\"/>
    </mc:Choice>
  </mc:AlternateContent>
  <xr:revisionPtr revIDLastSave="0" documentId="8_{CF143F57-90AB-4269-A76B-1BFF22A00CAE}" xr6:coauthVersionLast="47" xr6:coauthVersionMax="47" xr10:uidLastSave="{00000000-0000-0000-0000-000000000000}"/>
  <bookViews>
    <workbookView xWindow="-98" yWindow="-98" windowWidth="20715" windowHeight="13155" xr2:uid="{F3D40BEE-56CF-4E6D-8F75-C814FB88844A}"/>
  </bookViews>
  <sheets>
    <sheet name="SA007 2025.01-2026.05 " sheetId="1" r:id="rId1"/>
  </sheets>
  <externalReferences>
    <externalReference r:id="rId2"/>
  </externalReferences>
  <definedNames>
    <definedName name="_aug08">#REF!</definedName>
    <definedName name="_xlnm._FilterDatabase" localSheetId="0" hidden="1">'SA007 2025.01-2026.05 '!$A$4:$AI$910</definedName>
    <definedName name="_kat1">#REF!</definedName>
    <definedName name="_oct1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ctual">#REF!</definedName>
    <definedName name="AD">#REF!</definedName>
    <definedName name="AHMAD">#REF!</definedName>
    <definedName name="ALL">#REF!</definedName>
    <definedName name="AM">#REF!</definedName>
    <definedName name="b">#REF!</definedName>
    <definedName name="BASE">#REF!</definedName>
    <definedName name="baseprice">#REF!</definedName>
    <definedName name="bb">#REF!</definedName>
    <definedName name="BBB">#REF!</definedName>
    <definedName name="BLANK">#REF!</definedName>
    <definedName name="blankjuly">#REF!</definedName>
    <definedName name="cc">#REF!</definedName>
    <definedName name="ccc">#REF!</definedName>
    <definedName name="ChackDate">#REF!</definedName>
    <definedName name="cimlot">#REF!</definedName>
    <definedName name="coating">#REF!</definedName>
    <definedName name="Coating_Wt">#REF!</definedName>
    <definedName name="COIL">#REF!</definedName>
    <definedName name="CUS">#REF!</definedName>
    <definedName name="D">#REF!</definedName>
    <definedName name="data">#REF!</definedName>
    <definedName name="DATAFORAPR">#REF!</definedName>
    <definedName name="DATE">#REF!</definedName>
    <definedName name="DateC">#REF!</definedName>
    <definedName name="DD">#REF!</definedName>
    <definedName name="ddd">#REF!</definedName>
    <definedName name="DEFECT">#REF!</definedName>
    <definedName name="DEN">#REF!</definedName>
    <definedName name="DIE">#REF!</definedName>
    <definedName name="E">#REF!</definedName>
    <definedName name="eee">#REF!</definedName>
    <definedName name="F">#REF!</definedName>
    <definedName name="FBACK">#REF!</definedName>
    <definedName name="ff">#REF!</definedName>
    <definedName name="fff">#REF!</definedName>
    <definedName name="FG">#REF!</definedName>
    <definedName name="FGBLANK">#REF!</definedName>
    <definedName name="FGFORM">#REF!</definedName>
    <definedName name="first">#REF!</definedName>
    <definedName name="forcastaug">#REF!</definedName>
    <definedName name="fore">#REF!</definedName>
    <definedName name="forecast">#REF!</definedName>
    <definedName name="forecastjuli">#REF!</definedName>
    <definedName name="forecastold">#REF!</definedName>
    <definedName name="FORESEP">#REF!</definedName>
    <definedName name="FORM">#REF!</definedName>
    <definedName name="forme">#REF!</definedName>
    <definedName name="formjuly">#REF!</definedName>
    <definedName name="G">#REF!</definedName>
    <definedName name="ggg">#REF!</definedName>
    <definedName name="H">#REF!</definedName>
    <definedName name="ITEM">#REF!</definedName>
    <definedName name="jjj">#REF!</definedName>
    <definedName name="JPI">#REF!</definedName>
    <definedName name="july1">#REF!</definedName>
    <definedName name="KAN">#REF!</definedName>
    <definedName name="KAT">#REF!</definedName>
    <definedName name="KAW">#REF!</definedName>
    <definedName name="key">#REF!</definedName>
    <definedName name="kkk">#REF!</definedName>
    <definedName name="KUR">#REF!</definedName>
    <definedName name="list">#REF!</definedName>
    <definedName name="list1">#REF!</definedName>
    <definedName name="LIST2">#REF!</definedName>
    <definedName name="LIST2009">#REF!</definedName>
    <definedName name="LIST3">#REF!</definedName>
    <definedName name="LISTT">#REF!</definedName>
    <definedName name="LISTTT">#REF!</definedName>
    <definedName name="LISTUPDATE">#REF!</definedName>
    <definedName name="lll">#REF!</definedName>
    <definedName name="LOT">#REF!</definedName>
    <definedName name="MACHINE">#REF!</definedName>
    <definedName name="mai">#REF!</definedName>
    <definedName name="MAIL">#REF!</definedName>
    <definedName name="MATERIAL">#REF!</definedName>
    <definedName name="matpsp">#REF!</definedName>
    <definedName name="MFGPRO">#REF!</definedName>
    <definedName name="mmd">#REF!</definedName>
    <definedName name="MMMM">#REF!</definedName>
    <definedName name="NEW">#REF!</definedName>
    <definedName name="nnn">#REF!</definedName>
    <definedName name="NOV">#REF!</definedName>
    <definedName name="NOVEMBER">#REF!</definedName>
    <definedName name="oct">#REF!</definedName>
    <definedName name="old">#REF!</definedName>
    <definedName name="ONE">#REF!</definedName>
    <definedName name="oo">#REF!</definedName>
    <definedName name="ooo">#REF!</definedName>
    <definedName name="ORDER">#REF!</definedName>
    <definedName name="orderjuly">#REF!</definedName>
    <definedName name="orderjune">#REF!</definedName>
    <definedName name="Part_Number">#REF!</definedName>
    <definedName name="POD">#REF!</definedName>
    <definedName name="PP">#REF!</definedName>
    <definedName name="PPP">#REF!</definedName>
    <definedName name="PRE">#REF!</definedName>
    <definedName name="PREPEAI">#REF!</definedName>
    <definedName name="priceq4">#REF!</definedName>
    <definedName name="PRIVOTE10">#REF!</definedName>
    <definedName name="PRIVOTE11">#REF!</definedName>
    <definedName name="privote12">#REF!</definedName>
    <definedName name="PROCESS">#REF!</definedName>
    <definedName name="PROCESS1">#REF!</definedName>
    <definedName name="PROCESS2">#REF!</definedName>
    <definedName name="Q12551A">#REF!</definedName>
    <definedName name="QA">#REF!</definedName>
    <definedName name="QQQ">#REF!</definedName>
    <definedName name="RATIO">#REF!</definedName>
    <definedName name="RD">#REF!</definedName>
    <definedName name="RECHECK1">#REF!</definedName>
    <definedName name="recoil">#REF!</definedName>
    <definedName name="ree">#REF!</definedName>
    <definedName name="Remain">#REF!</definedName>
    <definedName name="rivote">#REF!</definedName>
    <definedName name="RM">#REF!</definedName>
    <definedName name="RMFORM">#REF!</definedName>
    <definedName name="RMFORM1">#REF!</definedName>
    <definedName name="s">#REF!</definedName>
    <definedName name="SALE">#REF!</definedName>
    <definedName name="sale0209">#REF!</definedName>
    <definedName name="sale0309">#REF!</definedName>
    <definedName name="sale0409">#REF!</definedName>
    <definedName name="salejune">#REF!</definedName>
    <definedName name="seconce">#REF!</definedName>
    <definedName name="seconce1">#REF!</definedName>
    <definedName name="SEP">#REF!</definedName>
    <definedName name="SERIAL">#REF!</definedName>
    <definedName name="sheet">#REF!</definedName>
    <definedName name="sheetjuly">#REF!</definedName>
    <definedName name="ship9">#REF!</definedName>
    <definedName name="shipment">#REF!</definedName>
    <definedName name="SLIT">#REF!</definedName>
    <definedName name="spec">#REF!</definedName>
    <definedName name="SSN">#REF!</definedName>
    <definedName name="sss">#REF!</definedName>
    <definedName name="STOCK">#REF!</definedName>
    <definedName name="stockb0509">#REF!</definedName>
    <definedName name="stockf0509">#REF!</definedName>
    <definedName name="stockrmf0509">#REF!</definedName>
    <definedName name="SUW">#REF!</definedName>
    <definedName name="TEST">#REF!</definedName>
    <definedName name="test1">#REF!</definedName>
    <definedName name="THAI">#REF!</definedName>
    <definedName name="TOTAL">#REF!</definedName>
    <definedName name="trip">#REF!</definedName>
    <definedName name="ts">#REF!</definedName>
    <definedName name="ttt">#REF!</definedName>
    <definedName name="UPDATE">#REF!</definedName>
    <definedName name="uuu">#REF!</definedName>
    <definedName name="VLOOK">#REF!</definedName>
    <definedName name="vvv">#REF!</definedName>
    <definedName name="VVVV">#REF!</definedName>
    <definedName name="weight">#REF!</definedName>
    <definedName name="wip">#REF!</definedName>
    <definedName name="www">#REF!</definedName>
    <definedName name="XOIL">#REF!</definedName>
    <definedName name="xxx">#REF!</definedName>
    <definedName name="yyy">#REF!</definedName>
    <definedName name="ZZ">#REF!</definedName>
    <definedName name="zzz">#REF!</definedName>
    <definedName name="เลือกขายเพิ่ม">#REF!</definedName>
    <definedName name="กังชิน">#REF!</definedName>
    <definedName name="ขายแล้ว">#REF!</definedName>
    <definedName name="ด้">#REF!</definedName>
    <definedName name="ที่เหลือ">#REF!</definedName>
    <definedName name="ปปป">#REF!</definedName>
    <definedName name="ยอดขาย02">#REF!</definedName>
    <definedName name="ราคาเก่า">#REF!</definedName>
    <definedName name="ราคาไหม่">#REF!</definedName>
    <definedName name="อออ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910" i="1" l="1"/>
  <c r="AH910" i="1"/>
  <c r="AG910" i="1"/>
  <c r="AB910" i="1"/>
  <c r="AA910" i="1"/>
  <c r="AD910" i="1" s="1"/>
  <c r="AI909" i="1"/>
  <c r="AH909" i="1"/>
  <c r="AG909" i="1"/>
  <c r="AB909" i="1"/>
  <c r="AA909" i="1"/>
  <c r="AD909" i="1" s="1"/>
  <c r="AI908" i="1"/>
  <c r="AH908" i="1"/>
  <c r="AG908" i="1"/>
  <c r="AB908" i="1"/>
  <c r="AA908" i="1"/>
  <c r="AD908" i="1" s="1"/>
  <c r="AI907" i="1"/>
  <c r="AH907" i="1"/>
  <c r="AG907" i="1"/>
  <c r="AB907" i="1"/>
  <c r="AA907" i="1"/>
  <c r="AD907" i="1" s="1"/>
  <c r="AI906" i="1"/>
  <c r="AH906" i="1"/>
  <c r="AG906" i="1"/>
  <c r="AD906" i="1"/>
  <c r="AB906" i="1"/>
  <c r="AA906" i="1"/>
  <c r="AC906" i="1" s="1"/>
  <c r="AI905" i="1"/>
  <c r="AH905" i="1"/>
  <c r="AG905" i="1"/>
  <c r="AB905" i="1"/>
  <c r="AA905" i="1"/>
  <c r="AD905" i="1" s="1"/>
  <c r="AI904" i="1"/>
  <c r="AH904" i="1"/>
  <c r="AG904" i="1"/>
  <c r="AB904" i="1"/>
  <c r="AA904" i="1"/>
  <c r="AD904" i="1" s="1"/>
  <c r="AI903" i="1"/>
  <c r="AH903" i="1"/>
  <c r="AG903" i="1"/>
  <c r="AB903" i="1"/>
  <c r="AA903" i="1"/>
  <c r="AD903" i="1" s="1"/>
  <c r="AI902" i="1"/>
  <c r="AH902" i="1"/>
  <c r="AG902" i="1"/>
  <c r="AD902" i="1"/>
  <c r="AB902" i="1"/>
  <c r="AA902" i="1"/>
  <c r="AC902" i="1" s="1"/>
  <c r="AI901" i="1"/>
  <c r="AH901" i="1"/>
  <c r="AG901" i="1"/>
  <c r="AC901" i="1"/>
  <c r="AB901" i="1"/>
  <c r="AA901" i="1"/>
  <c r="AD901" i="1" s="1"/>
  <c r="AI900" i="1"/>
  <c r="AH900" i="1"/>
  <c r="AG900" i="1"/>
  <c r="AD900" i="1"/>
  <c r="AB900" i="1"/>
  <c r="AA900" i="1"/>
  <c r="AC900" i="1" s="1"/>
  <c r="AI899" i="1"/>
  <c r="AH899" i="1"/>
  <c r="AG899" i="1"/>
  <c r="AC899" i="1"/>
  <c r="AB899" i="1"/>
  <c r="AA899" i="1"/>
  <c r="AD899" i="1" s="1"/>
  <c r="AI898" i="1"/>
  <c r="AH898" i="1"/>
  <c r="AG898" i="1"/>
  <c r="AB898" i="1"/>
  <c r="AD898" i="1" s="1"/>
  <c r="AA898" i="1"/>
  <c r="AC898" i="1" s="1"/>
  <c r="AI897" i="1"/>
  <c r="AH897" i="1"/>
  <c r="AG897" i="1"/>
  <c r="AB897" i="1"/>
  <c r="AA897" i="1"/>
  <c r="AD897" i="1" s="1"/>
  <c r="AI896" i="1"/>
  <c r="AH896" i="1"/>
  <c r="AG896" i="1"/>
  <c r="AB896" i="1"/>
  <c r="AD896" i="1" s="1"/>
  <c r="AA896" i="1"/>
  <c r="AC896" i="1" s="1"/>
  <c r="AI895" i="1"/>
  <c r="AH895" i="1"/>
  <c r="AG895" i="1"/>
  <c r="AB895" i="1"/>
  <c r="AA895" i="1"/>
  <c r="AD895" i="1" s="1"/>
  <c r="AI894" i="1"/>
  <c r="AH894" i="1"/>
  <c r="AG894" i="1"/>
  <c r="AD894" i="1"/>
  <c r="AB894" i="1"/>
  <c r="AA894" i="1"/>
  <c r="AC894" i="1" s="1"/>
  <c r="AI893" i="1"/>
  <c r="AH893" i="1"/>
  <c r="AG893" i="1"/>
  <c r="AB893" i="1"/>
  <c r="AA893" i="1"/>
  <c r="AD893" i="1" s="1"/>
  <c r="AI892" i="1"/>
  <c r="AH892" i="1"/>
  <c r="AG892" i="1"/>
  <c r="AD892" i="1"/>
  <c r="AB892" i="1"/>
  <c r="AA892" i="1"/>
  <c r="AC892" i="1" s="1"/>
  <c r="AI891" i="1"/>
  <c r="AH891" i="1"/>
  <c r="AG891" i="1"/>
  <c r="AC891" i="1"/>
  <c r="AB891" i="1"/>
  <c r="AA891" i="1"/>
  <c r="AD891" i="1" s="1"/>
  <c r="AI890" i="1"/>
  <c r="AH890" i="1"/>
  <c r="AG890" i="1"/>
  <c r="AB890" i="1"/>
  <c r="AC890" i="1" s="1"/>
  <c r="AA890" i="1"/>
  <c r="AI889" i="1"/>
  <c r="AH889" i="1"/>
  <c r="AG889" i="1"/>
  <c r="AB889" i="1"/>
  <c r="AA889" i="1"/>
  <c r="AD889" i="1" s="1"/>
  <c r="AI888" i="1"/>
  <c r="AH888" i="1"/>
  <c r="AG888" i="1"/>
  <c r="AD888" i="1"/>
  <c r="AB888" i="1"/>
  <c r="AA888" i="1"/>
  <c r="AC888" i="1" s="1"/>
  <c r="AI887" i="1"/>
  <c r="AH887" i="1"/>
  <c r="AG887" i="1"/>
  <c r="AD887" i="1"/>
  <c r="AC887" i="1"/>
  <c r="AB887" i="1"/>
  <c r="AA887" i="1"/>
  <c r="AI886" i="1"/>
  <c r="AH886" i="1"/>
  <c r="AG886" i="1"/>
  <c r="AD886" i="1"/>
  <c r="AC886" i="1"/>
  <c r="AB886" i="1"/>
  <c r="AA886" i="1"/>
  <c r="AI885" i="1"/>
  <c r="AH885" i="1"/>
  <c r="AG885" i="1"/>
  <c r="AB885" i="1"/>
  <c r="AC885" i="1" s="1"/>
  <c r="AA885" i="1"/>
  <c r="AD885" i="1" s="1"/>
  <c r="AI884" i="1"/>
  <c r="AH884" i="1"/>
  <c r="AG884" i="1"/>
  <c r="AD884" i="1"/>
  <c r="AB884" i="1"/>
  <c r="AA884" i="1"/>
  <c r="AC884" i="1" s="1"/>
  <c r="AI883" i="1"/>
  <c r="AH883" i="1"/>
  <c r="AG883" i="1"/>
  <c r="AC883" i="1"/>
  <c r="AB883" i="1"/>
  <c r="AA883" i="1"/>
  <c r="AD883" i="1" s="1"/>
  <c r="AI882" i="1"/>
  <c r="AH882" i="1"/>
  <c r="AG882" i="1"/>
  <c r="AB882" i="1"/>
  <c r="AC882" i="1" s="1"/>
  <c r="AA882" i="1"/>
  <c r="AI881" i="1"/>
  <c r="AH881" i="1"/>
  <c r="AG881" i="1"/>
  <c r="AB881" i="1"/>
  <c r="AA881" i="1"/>
  <c r="AD881" i="1" s="1"/>
  <c r="AI880" i="1"/>
  <c r="AH880" i="1"/>
  <c r="AG880" i="1"/>
  <c r="AD880" i="1"/>
  <c r="AB880" i="1"/>
  <c r="AA880" i="1"/>
  <c r="AC880" i="1" s="1"/>
  <c r="AI879" i="1"/>
  <c r="AH879" i="1"/>
  <c r="AG879" i="1"/>
  <c r="AD879" i="1"/>
  <c r="AC879" i="1"/>
  <c r="AB879" i="1"/>
  <c r="AA879" i="1"/>
  <c r="AI878" i="1"/>
  <c r="AH878" i="1"/>
  <c r="AG878" i="1"/>
  <c r="AD878" i="1"/>
  <c r="AC878" i="1"/>
  <c r="AB878" i="1"/>
  <c r="AA878" i="1"/>
  <c r="AI877" i="1"/>
  <c r="AH877" i="1"/>
  <c r="AG877" i="1"/>
  <c r="AB877" i="1"/>
  <c r="AC877" i="1" s="1"/>
  <c r="AA877" i="1"/>
  <c r="AD877" i="1" s="1"/>
  <c r="AI876" i="1"/>
  <c r="AH876" i="1"/>
  <c r="AG876" i="1"/>
  <c r="AD876" i="1"/>
  <c r="AB876" i="1"/>
  <c r="AA876" i="1"/>
  <c r="AC876" i="1" s="1"/>
  <c r="AI875" i="1"/>
  <c r="AH875" i="1"/>
  <c r="AG875" i="1"/>
  <c r="AC875" i="1"/>
  <c r="AB875" i="1"/>
  <c r="AA875" i="1"/>
  <c r="AD875" i="1" s="1"/>
  <c r="AI874" i="1"/>
  <c r="AH874" i="1"/>
  <c r="AG874" i="1"/>
  <c r="AB874" i="1"/>
  <c r="AC874" i="1" s="1"/>
  <c r="AA874" i="1"/>
  <c r="AI873" i="1"/>
  <c r="AH873" i="1"/>
  <c r="AG873" i="1"/>
  <c r="AB873" i="1"/>
  <c r="AA873" i="1"/>
  <c r="AD873" i="1" s="1"/>
  <c r="AI872" i="1"/>
  <c r="AH872" i="1"/>
  <c r="AG872" i="1"/>
  <c r="AD872" i="1"/>
  <c r="AB872" i="1"/>
  <c r="AA872" i="1"/>
  <c r="AC872" i="1" s="1"/>
  <c r="AI871" i="1"/>
  <c r="AH871" i="1"/>
  <c r="AG871" i="1"/>
  <c r="AD871" i="1"/>
  <c r="AC871" i="1"/>
  <c r="AB871" i="1"/>
  <c r="AA871" i="1"/>
  <c r="AI870" i="1"/>
  <c r="AH870" i="1"/>
  <c r="AG870" i="1"/>
  <c r="AD870" i="1"/>
  <c r="AC870" i="1"/>
  <c r="AB870" i="1"/>
  <c r="AA870" i="1"/>
  <c r="AI869" i="1"/>
  <c r="AH869" i="1"/>
  <c r="AG869" i="1"/>
  <c r="AB869" i="1"/>
  <c r="AA869" i="1"/>
  <c r="AD869" i="1" s="1"/>
  <c r="AI868" i="1"/>
  <c r="AH868" i="1"/>
  <c r="AG868" i="1"/>
  <c r="AD868" i="1"/>
  <c r="AB868" i="1"/>
  <c r="AA868" i="1"/>
  <c r="AC868" i="1" s="1"/>
  <c r="AI867" i="1"/>
  <c r="AH867" i="1"/>
  <c r="AG867" i="1"/>
  <c r="AC867" i="1"/>
  <c r="AB867" i="1"/>
  <c r="AA867" i="1"/>
  <c r="AD867" i="1" s="1"/>
  <c r="AI866" i="1"/>
  <c r="AH866" i="1"/>
  <c r="AG866" i="1"/>
  <c r="AB866" i="1"/>
  <c r="AC866" i="1" s="1"/>
  <c r="AA866" i="1"/>
  <c r="AI865" i="1"/>
  <c r="AH865" i="1"/>
  <c r="AG865" i="1"/>
  <c r="AB865" i="1"/>
  <c r="AA865" i="1"/>
  <c r="AD865" i="1" s="1"/>
  <c r="AI864" i="1"/>
  <c r="AH864" i="1"/>
  <c r="AG864" i="1"/>
  <c r="AD864" i="1"/>
  <c r="AB864" i="1"/>
  <c r="AA864" i="1"/>
  <c r="AC864" i="1" s="1"/>
  <c r="AI863" i="1"/>
  <c r="AH863" i="1"/>
  <c r="AG863" i="1"/>
  <c r="AD863" i="1"/>
  <c r="AC863" i="1"/>
  <c r="AB863" i="1"/>
  <c r="AA863" i="1"/>
  <c r="AI862" i="1"/>
  <c r="AH862" i="1"/>
  <c r="AG862" i="1"/>
  <c r="AD862" i="1"/>
  <c r="AC862" i="1"/>
  <c r="AB862" i="1"/>
  <c r="AA862" i="1"/>
  <c r="AI861" i="1"/>
  <c r="AH861" i="1"/>
  <c r="AG861" i="1"/>
  <c r="AB861" i="1"/>
  <c r="AA861" i="1"/>
  <c r="AD861" i="1" s="1"/>
  <c r="AI860" i="1"/>
  <c r="AH860" i="1"/>
  <c r="AG860" i="1"/>
  <c r="AD860" i="1"/>
  <c r="AB860" i="1"/>
  <c r="AA860" i="1"/>
  <c r="AC860" i="1" s="1"/>
  <c r="AI859" i="1"/>
  <c r="AH859" i="1"/>
  <c r="AG859" i="1"/>
  <c r="AC859" i="1"/>
  <c r="AB859" i="1"/>
  <c r="AA859" i="1"/>
  <c r="AD859" i="1" s="1"/>
  <c r="AI858" i="1"/>
  <c r="AH858" i="1"/>
  <c r="AG858" i="1"/>
  <c r="AB858" i="1"/>
  <c r="AC858" i="1" s="1"/>
  <c r="AA858" i="1"/>
  <c r="AI857" i="1"/>
  <c r="AH857" i="1"/>
  <c r="AG857" i="1"/>
  <c r="AB857" i="1"/>
  <c r="AA857" i="1"/>
  <c r="AD857" i="1" s="1"/>
  <c r="AI856" i="1"/>
  <c r="AH856" i="1"/>
  <c r="AG856" i="1"/>
  <c r="AD856" i="1"/>
  <c r="AB856" i="1"/>
  <c r="AA856" i="1"/>
  <c r="AC856" i="1" s="1"/>
  <c r="AI855" i="1"/>
  <c r="AH855" i="1"/>
  <c r="AG855" i="1"/>
  <c r="AD855" i="1"/>
  <c r="AC855" i="1"/>
  <c r="AB855" i="1"/>
  <c r="AA855" i="1"/>
  <c r="AI854" i="1"/>
  <c r="AH854" i="1"/>
  <c r="AG854" i="1"/>
  <c r="AD854" i="1"/>
  <c r="AC854" i="1"/>
  <c r="AB854" i="1"/>
  <c r="AA854" i="1"/>
  <c r="AI853" i="1"/>
  <c r="AH853" i="1"/>
  <c r="AG853" i="1"/>
  <c r="AB853" i="1"/>
  <c r="AA853" i="1"/>
  <c r="AD853" i="1" s="1"/>
  <c r="AI852" i="1"/>
  <c r="AH852" i="1"/>
  <c r="AG852" i="1"/>
  <c r="AD852" i="1"/>
  <c r="AB852" i="1"/>
  <c r="AA852" i="1"/>
  <c r="AC852" i="1" s="1"/>
  <c r="AI851" i="1"/>
  <c r="AH851" i="1"/>
  <c r="AG851" i="1"/>
  <c r="AC851" i="1"/>
  <c r="AB851" i="1"/>
  <c r="AA851" i="1"/>
  <c r="AD851" i="1" s="1"/>
  <c r="AI850" i="1"/>
  <c r="AH850" i="1"/>
  <c r="AG850" i="1"/>
  <c r="AB850" i="1"/>
  <c r="AC850" i="1" s="1"/>
  <c r="AA850" i="1"/>
  <c r="AI849" i="1"/>
  <c r="AH849" i="1"/>
  <c r="AG849" i="1"/>
  <c r="AB849" i="1"/>
  <c r="AA849" i="1"/>
  <c r="AD849" i="1" s="1"/>
  <c r="AI848" i="1"/>
  <c r="AH848" i="1"/>
  <c r="AG848" i="1"/>
  <c r="AD848" i="1"/>
  <c r="AB848" i="1"/>
  <c r="AA848" i="1"/>
  <c r="AC848" i="1" s="1"/>
  <c r="AI847" i="1"/>
  <c r="AH847" i="1"/>
  <c r="AG847" i="1"/>
  <c r="AD847" i="1"/>
  <c r="AC847" i="1"/>
  <c r="AB847" i="1"/>
  <c r="AA847" i="1"/>
  <c r="AI846" i="1"/>
  <c r="AH846" i="1"/>
  <c r="AG846" i="1"/>
  <c r="AD846" i="1"/>
  <c r="AC846" i="1"/>
  <c r="AB846" i="1"/>
  <c r="AA846" i="1"/>
  <c r="AI845" i="1"/>
  <c r="AH845" i="1"/>
  <c r="AG845" i="1"/>
  <c r="AB845" i="1"/>
  <c r="AA845" i="1"/>
  <c r="AD845" i="1" s="1"/>
  <c r="AI844" i="1"/>
  <c r="AH844" i="1"/>
  <c r="AG844" i="1"/>
  <c r="AD844" i="1"/>
  <c r="AB844" i="1"/>
  <c r="AA844" i="1"/>
  <c r="AC844" i="1" s="1"/>
  <c r="AI843" i="1"/>
  <c r="AH843" i="1"/>
  <c r="AG843" i="1"/>
  <c r="AC843" i="1"/>
  <c r="AB843" i="1"/>
  <c r="AA843" i="1"/>
  <c r="AD843" i="1" s="1"/>
  <c r="AI842" i="1"/>
  <c r="AH842" i="1"/>
  <c r="AG842" i="1"/>
  <c r="AB842" i="1"/>
  <c r="AC842" i="1" s="1"/>
  <c r="AA842" i="1"/>
  <c r="AI841" i="1"/>
  <c r="AH841" i="1"/>
  <c r="AG841" i="1"/>
  <c r="AB841" i="1"/>
  <c r="AA841" i="1"/>
  <c r="AD841" i="1" s="1"/>
  <c r="AI840" i="1"/>
  <c r="AH840" i="1"/>
  <c r="AG840" i="1"/>
  <c r="AD840" i="1"/>
  <c r="AB840" i="1"/>
  <c r="AA840" i="1"/>
  <c r="AC840" i="1" s="1"/>
  <c r="AI839" i="1"/>
  <c r="AH839" i="1"/>
  <c r="AG839" i="1"/>
  <c r="AD839" i="1"/>
  <c r="AC839" i="1"/>
  <c r="AB839" i="1"/>
  <c r="AA839" i="1"/>
  <c r="AI838" i="1"/>
  <c r="AH838" i="1"/>
  <c r="AG838" i="1"/>
  <c r="AD838" i="1"/>
  <c r="AC838" i="1"/>
  <c r="AB838" i="1"/>
  <c r="AA838" i="1"/>
  <c r="AI837" i="1"/>
  <c r="AH837" i="1"/>
  <c r="AG837" i="1"/>
  <c r="AB837" i="1"/>
  <c r="AC837" i="1" s="1"/>
  <c r="AA837" i="1"/>
  <c r="AD837" i="1" s="1"/>
  <c r="AI836" i="1"/>
  <c r="AH836" i="1"/>
  <c r="AG836" i="1"/>
  <c r="AD836" i="1"/>
  <c r="AB836" i="1"/>
  <c r="AA836" i="1"/>
  <c r="AC836" i="1" s="1"/>
  <c r="AI835" i="1"/>
  <c r="AH835" i="1"/>
  <c r="AG835" i="1"/>
  <c r="AC835" i="1"/>
  <c r="AB835" i="1"/>
  <c r="AA835" i="1"/>
  <c r="AD835" i="1" s="1"/>
  <c r="AI834" i="1"/>
  <c r="AH834" i="1"/>
  <c r="AG834" i="1"/>
  <c r="AB834" i="1"/>
  <c r="AC834" i="1" s="1"/>
  <c r="AA834" i="1"/>
  <c r="AI833" i="1"/>
  <c r="AH833" i="1"/>
  <c r="AG833" i="1"/>
  <c r="AB833" i="1"/>
  <c r="AA833" i="1"/>
  <c r="AD833" i="1" s="1"/>
  <c r="AI832" i="1"/>
  <c r="AH832" i="1"/>
  <c r="AG832" i="1"/>
  <c r="AB832" i="1"/>
  <c r="AA832" i="1"/>
  <c r="AD832" i="1" s="1"/>
  <c r="AI831" i="1"/>
  <c r="AH831" i="1"/>
  <c r="AG831" i="1"/>
  <c r="AD831" i="1"/>
  <c r="AC831" i="1"/>
  <c r="AB831" i="1"/>
  <c r="AA831" i="1"/>
  <c r="AI830" i="1"/>
  <c r="AH830" i="1"/>
  <c r="AG830" i="1"/>
  <c r="AD830" i="1"/>
  <c r="AC830" i="1"/>
  <c r="AB830" i="1"/>
  <c r="AA830" i="1"/>
  <c r="AI829" i="1"/>
  <c r="AH829" i="1"/>
  <c r="AG829" i="1"/>
  <c r="AB829" i="1"/>
  <c r="AC829" i="1" s="1"/>
  <c r="AA829" i="1"/>
  <c r="AD829" i="1" s="1"/>
  <c r="AI828" i="1"/>
  <c r="AH828" i="1"/>
  <c r="AG828" i="1"/>
  <c r="AD828" i="1"/>
  <c r="AB828" i="1"/>
  <c r="AA828" i="1"/>
  <c r="AC828" i="1" s="1"/>
  <c r="AI827" i="1"/>
  <c r="AH827" i="1"/>
  <c r="AG827" i="1"/>
  <c r="AD827" i="1"/>
  <c r="AC827" i="1"/>
  <c r="AB827" i="1"/>
  <c r="AA827" i="1"/>
  <c r="AI826" i="1"/>
  <c r="AH826" i="1"/>
  <c r="AG826" i="1"/>
  <c r="AB826" i="1"/>
  <c r="AC826" i="1" s="1"/>
  <c r="AA826" i="1"/>
  <c r="AI825" i="1"/>
  <c r="AH825" i="1"/>
  <c r="AG825" i="1"/>
  <c r="AB825" i="1"/>
  <c r="AA825" i="1"/>
  <c r="AD825" i="1" s="1"/>
  <c r="AI824" i="1"/>
  <c r="AH824" i="1"/>
  <c r="AG824" i="1"/>
  <c r="AB824" i="1"/>
  <c r="AA824" i="1"/>
  <c r="AD824" i="1" s="1"/>
  <c r="AI823" i="1"/>
  <c r="AH823" i="1"/>
  <c r="AG823" i="1"/>
  <c r="AD823" i="1"/>
  <c r="AC823" i="1"/>
  <c r="AB823" i="1"/>
  <c r="AA823" i="1"/>
  <c r="AI822" i="1"/>
  <c r="AH822" i="1"/>
  <c r="AG822" i="1"/>
  <c r="AD822" i="1"/>
  <c r="AC822" i="1"/>
  <c r="AB822" i="1"/>
  <c r="AA822" i="1"/>
  <c r="AI821" i="1"/>
  <c r="AH821" i="1"/>
  <c r="AG821" i="1"/>
  <c r="AB821" i="1"/>
  <c r="AA821" i="1"/>
  <c r="AD821" i="1" s="1"/>
  <c r="AI820" i="1"/>
  <c r="AH820" i="1"/>
  <c r="AG820" i="1"/>
  <c r="AD820" i="1"/>
  <c r="AB820" i="1"/>
  <c r="AA820" i="1"/>
  <c r="AC820" i="1" s="1"/>
  <c r="AI819" i="1"/>
  <c r="AH819" i="1"/>
  <c r="AG819" i="1"/>
  <c r="AD819" i="1"/>
  <c r="AC819" i="1"/>
  <c r="AB819" i="1"/>
  <c r="AA819" i="1"/>
  <c r="AI818" i="1"/>
  <c r="AH818" i="1"/>
  <c r="AG818" i="1"/>
  <c r="AB818" i="1"/>
  <c r="AC818" i="1" s="1"/>
  <c r="AA818" i="1"/>
  <c r="AI817" i="1"/>
  <c r="AH817" i="1"/>
  <c r="AG817" i="1"/>
  <c r="AB817" i="1"/>
  <c r="AA817" i="1"/>
  <c r="AD817" i="1" s="1"/>
  <c r="AI816" i="1"/>
  <c r="AH816" i="1"/>
  <c r="AG816" i="1"/>
  <c r="AB816" i="1"/>
  <c r="AA816" i="1"/>
  <c r="AD816" i="1" s="1"/>
  <c r="AI815" i="1"/>
  <c r="AH815" i="1"/>
  <c r="AG815" i="1"/>
  <c r="AD815" i="1"/>
  <c r="AC815" i="1"/>
  <c r="AB815" i="1"/>
  <c r="AA815" i="1"/>
  <c r="AI814" i="1"/>
  <c r="AH814" i="1"/>
  <c r="AG814" i="1"/>
  <c r="AC814" i="1"/>
  <c r="AB814" i="1"/>
  <c r="AD814" i="1" s="1"/>
  <c r="AA814" i="1"/>
  <c r="AI813" i="1"/>
  <c r="AH813" i="1"/>
  <c r="AG813" i="1"/>
  <c r="AB813" i="1"/>
  <c r="AA813" i="1"/>
  <c r="AD813" i="1" s="1"/>
  <c r="AI812" i="1"/>
  <c r="AH812" i="1"/>
  <c r="AG812" i="1"/>
  <c r="AD812" i="1"/>
  <c r="AB812" i="1"/>
  <c r="AA812" i="1"/>
  <c r="AC812" i="1" s="1"/>
  <c r="AI811" i="1"/>
  <c r="AH811" i="1"/>
  <c r="AG811" i="1"/>
  <c r="AD811" i="1"/>
  <c r="AC811" i="1"/>
  <c r="AB811" i="1"/>
  <c r="AA811" i="1"/>
  <c r="AI810" i="1"/>
  <c r="AH810" i="1"/>
  <c r="AG810" i="1"/>
  <c r="AB810" i="1"/>
  <c r="AC810" i="1" s="1"/>
  <c r="AA810" i="1"/>
  <c r="AI809" i="1"/>
  <c r="AH809" i="1"/>
  <c r="AG809" i="1"/>
  <c r="AB809" i="1"/>
  <c r="AA809" i="1"/>
  <c r="AD809" i="1" s="1"/>
  <c r="AI808" i="1"/>
  <c r="AH808" i="1"/>
  <c r="AG808" i="1"/>
  <c r="AB808" i="1"/>
  <c r="AA808" i="1"/>
  <c r="AD808" i="1" s="1"/>
  <c r="AI807" i="1"/>
  <c r="AH807" i="1"/>
  <c r="AG807" i="1"/>
  <c r="AD807" i="1"/>
  <c r="AC807" i="1"/>
  <c r="AB807" i="1"/>
  <c r="AA807" i="1"/>
  <c r="AI806" i="1"/>
  <c r="AH806" i="1"/>
  <c r="AG806" i="1"/>
  <c r="AC806" i="1"/>
  <c r="AB806" i="1"/>
  <c r="AD806" i="1" s="1"/>
  <c r="AA806" i="1"/>
  <c r="AI805" i="1"/>
  <c r="AH805" i="1"/>
  <c r="AG805" i="1"/>
  <c r="AB805" i="1"/>
  <c r="AA805" i="1"/>
  <c r="AD805" i="1" s="1"/>
  <c r="AI804" i="1"/>
  <c r="AH804" i="1"/>
  <c r="AG804" i="1"/>
  <c r="AD804" i="1"/>
  <c r="AB804" i="1"/>
  <c r="AA804" i="1"/>
  <c r="AC804" i="1" s="1"/>
  <c r="AI803" i="1"/>
  <c r="AH803" i="1"/>
  <c r="AG803" i="1"/>
  <c r="AD803" i="1"/>
  <c r="AC803" i="1"/>
  <c r="AB803" i="1"/>
  <c r="AA803" i="1"/>
  <c r="AI802" i="1"/>
  <c r="AH802" i="1"/>
  <c r="AG802" i="1"/>
  <c r="AB802" i="1"/>
  <c r="AC802" i="1" s="1"/>
  <c r="AA802" i="1"/>
  <c r="AI801" i="1"/>
  <c r="AH801" i="1"/>
  <c r="AG801" i="1"/>
  <c r="AB801" i="1"/>
  <c r="AA801" i="1"/>
  <c r="AD801" i="1" s="1"/>
  <c r="AI800" i="1"/>
  <c r="AH800" i="1"/>
  <c r="AG800" i="1"/>
  <c r="AB800" i="1"/>
  <c r="AA800" i="1"/>
  <c r="AD800" i="1" s="1"/>
  <c r="AI799" i="1"/>
  <c r="AH799" i="1"/>
  <c r="AG799" i="1"/>
  <c r="AD799" i="1"/>
  <c r="AC799" i="1"/>
  <c r="AB799" i="1"/>
  <c r="AA799" i="1"/>
  <c r="AI798" i="1"/>
  <c r="AH798" i="1"/>
  <c r="AG798" i="1"/>
  <c r="AC798" i="1"/>
  <c r="AB798" i="1"/>
  <c r="AD798" i="1" s="1"/>
  <c r="AA798" i="1"/>
  <c r="AI797" i="1"/>
  <c r="AH797" i="1"/>
  <c r="AG797" i="1"/>
  <c r="AB797" i="1"/>
  <c r="AA797" i="1"/>
  <c r="AD797" i="1" s="1"/>
  <c r="AI796" i="1"/>
  <c r="AH796" i="1"/>
  <c r="AG796" i="1"/>
  <c r="AD796" i="1"/>
  <c r="AB796" i="1"/>
  <c r="AA796" i="1"/>
  <c r="AC796" i="1" s="1"/>
  <c r="AI795" i="1"/>
  <c r="AH795" i="1"/>
  <c r="AG795" i="1"/>
  <c r="AD795" i="1"/>
  <c r="AC795" i="1"/>
  <c r="AB795" i="1"/>
  <c r="AA795" i="1"/>
  <c r="AI794" i="1"/>
  <c r="AH794" i="1"/>
  <c r="AG794" i="1"/>
  <c r="AB794" i="1"/>
  <c r="AC794" i="1" s="1"/>
  <c r="AA794" i="1"/>
  <c r="AI793" i="1"/>
  <c r="AH793" i="1"/>
  <c r="AG793" i="1"/>
  <c r="AB793" i="1"/>
  <c r="AA793" i="1"/>
  <c r="AD793" i="1" s="1"/>
  <c r="AI792" i="1"/>
  <c r="AH792" i="1"/>
  <c r="AG792" i="1"/>
  <c r="AB792" i="1"/>
  <c r="AA792" i="1"/>
  <c r="AD792" i="1" s="1"/>
  <c r="AI791" i="1"/>
  <c r="AH791" i="1"/>
  <c r="AG791" i="1"/>
  <c r="AD791" i="1"/>
  <c r="AC791" i="1"/>
  <c r="AB791" i="1"/>
  <c r="AA791" i="1"/>
  <c r="AI790" i="1"/>
  <c r="AH790" i="1"/>
  <c r="AG790" i="1"/>
  <c r="AC790" i="1"/>
  <c r="AB790" i="1"/>
  <c r="AD790" i="1" s="1"/>
  <c r="AA790" i="1"/>
  <c r="AI789" i="1"/>
  <c r="AH789" i="1"/>
  <c r="AG789" i="1"/>
  <c r="AB789" i="1"/>
  <c r="AA789" i="1"/>
  <c r="AD789" i="1" s="1"/>
  <c r="AI788" i="1"/>
  <c r="AH788" i="1"/>
  <c r="AG788" i="1"/>
  <c r="AD788" i="1"/>
  <c r="AB788" i="1"/>
  <c r="AA788" i="1"/>
  <c r="AC788" i="1" s="1"/>
  <c r="AI787" i="1"/>
  <c r="AH787" i="1"/>
  <c r="AG787" i="1"/>
  <c r="AD787" i="1"/>
  <c r="AC787" i="1"/>
  <c r="AB787" i="1"/>
  <c r="AA787" i="1"/>
  <c r="AI786" i="1"/>
  <c r="AH786" i="1"/>
  <c r="AG786" i="1"/>
  <c r="AB786" i="1"/>
  <c r="AC786" i="1" s="1"/>
  <c r="AA786" i="1"/>
  <c r="AI785" i="1"/>
  <c r="AH785" i="1"/>
  <c r="AG785" i="1"/>
  <c r="AB785" i="1"/>
  <c r="AA785" i="1"/>
  <c r="AD785" i="1" s="1"/>
  <c r="AI784" i="1"/>
  <c r="AH784" i="1"/>
  <c r="AG784" i="1"/>
  <c r="AB784" i="1"/>
  <c r="AA784" i="1"/>
  <c r="AD784" i="1" s="1"/>
  <c r="AI783" i="1"/>
  <c r="AH783" i="1"/>
  <c r="AG783" i="1"/>
  <c r="AD783" i="1"/>
  <c r="AC783" i="1"/>
  <c r="AB783" i="1"/>
  <c r="AA783" i="1"/>
  <c r="AI782" i="1"/>
  <c r="AH782" i="1"/>
  <c r="AG782" i="1"/>
  <c r="AC782" i="1"/>
  <c r="AB782" i="1"/>
  <c r="AD782" i="1" s="1"/>
  <c r="AA782" i="1"/>
  <c r="AI781" i="1"/>
  <c r="AH781" i="1"/>
  <c r="AG781" i="1"/>
  <c r="AB781" i="1"/>
  <c r="AA781" i="1"/>
  <c r="AD781" i="1" s="1"/>
  <c r="AI780" i="1"/>
  <c r="AH780" i="1"/>
  <c r="AG780" i="1"/>
  <c r="AD780" i="1"/>
  <c r="AB780" i="1"/>
  <c r="AA780" i="1"/>
  <c r="AC780" i="1" s="1"/>
  <c r="AI779" i="1"/>
  <c r="AH779" i="1"/>
  <c r="AG779" i="1"/>
  <c r="AD779" i="1"/>
  <c r="AC779" i="1"/>
  <c r="AB779" i="1"/>
  <c r="AA779" i="1"/>
  <c r="AI778" i="1"/>
  <c r="AH778" i="1"/>
  <c r="AG778" i="1"/>
  <c r="AB778" i="1"/>
  <c r="AC778" i="1" s="1"/>
  <c r="AA778" i="1"/>
  <c r="AI777" i="1"/>
  <c r="AH777" i="1"/>
  <c r="AG777" i="1"/>
  <c r="AB777" i="1"/>
  <c r="AA777" i="1"/>
  <c r="AD777" i="1" s="1"/>
  <c r="AI776" i="1"/>
  <c r="AH776" i="1"/>
  <c r="AG776" i="1"/>
  <c r="AB776" i="1"/>
  <c r="AA776" i="1"/>
  <c r="AD776" i="1" s="1"/>
  <c r="AI775" i="1"/>
  <c r="AH775" i="1"/>
  <c r="AG775" i="1"/>
  <c r="AD775" i="1"/>
  <c r="AC775" i="1"/>
  <c r="AB775" i="1"/>
  <c r="AA775" i="1"/>
  <c r="AI774" i="1"/>
  <c r="AH774" i="1"/>
  <c r="AG774" i="1"/>
  <c r="AC774" i="1"/>
  <c r="AB774" i="1"/>
  <c r="AD774" i="1" s="1"/>
  <c r="AA774" i="1"/>
  <c r="AI773" i="1"/>
  <c r="AH773" i="1"/>
  <c r="AG773" i="1"/>
  <c r="AB773" i="1"/>
  <c r="AA773" i="1"/>
  <c r="AD773" i="1" s="1"/>
  <c r="AI772" i="1"/>
  <c r="AH772" i="1"/>
  <c r="AG772" i="1"/>
  <c r="AD772" i="1"/>
  <c r="AB772" i="1"/>
  <c r="AA772" i="1"/>
  <c r="AC772" i="1" s="1"/>
  <c r="AI771" i="1"/>
  <c r="AH771" i="1"/>
  <c r="AG771" i="1"/>
  <c r="AD771" i="1"/>
  <c r="AC771" i="1"/>
  <c r="AB771" i="1"/>
  <c r="AA771" i="1"/>
  <c r="AI770" i="1"/>
  <c r="AH770" i="1"/>
  <c r="AG770" i="1"/>
  <c r="AB770" i="1"/>
  <c r="AC770" i="1" s="1"/>
  <c r="AA770" i="1"/>
  <c r="AI769" i="1"/>
  <c r="AH769" i="1"/>
  <c r="AG769" i="1"/>
  <c r="AB769" i="1"/>
  <c r="AA769" i="1"/>
  <c r="AD769" i="1" s="1"/>
  <c r="AI768" i="1"/>
  <c r="AH768" i="1"/>
  <c r="AG768" i="1"/>
  <c r="AB768" i="1"/>
  <c r="AA768" i="1"/>
  <c r="AD768" i="1" s="1"/>
  <c r="AI767" i="1"/>
  <c r="AH767" i="1"/>
  <c r="AG767" i="1"/>
  <c r="AD767" i="1"/>
  <c r="AC767" i="1"/>
  <c r="AB767" i="1"/>
  <c r="AA767" i="1"/>
  <c r="AI766" i="1"/>
  <c r="AH766" i="1"/>
  <c r="AG766" i="1"/>
  <c r="AB766" i="1"/>
  <c r="AA766" i="1"/>
  <c r="AD766" i="1" s="1"/>
  <c r="AI765" i="1"/>
  <c r="AH765" i="1"/>
  <c r="AG765" i="1"/>
  <c r="AB765" i="1"/>
  <c r="AA765" i="1"/>
  <c r="AD765" i="1" s="1"/>
  <c r="AI764" i="1"/>
  <c r="AH764" i="1"/>
  <c r="AG764" i="1"/>
  <c r="AB764" i="1"/>
  <c r="AA764" i="1"/>
  <c r="AD764" i="1" s="1"/>
  <c r="AI763" i="1"/>
  <c r="AH763" i="1"/>
  <c r="AG763" i="1"/>
  <c r="AC763" i="1"/>
  <c r="AB763" i="1"/>
  <c r="AA763" i="1"/>
  <c r="AD763" i="1" s="1"/>
  <c r="AI762" i="1"/>
  <c r="AH762" i="1"/>
  <c r="AG762" i="1"/>
  <c r="AB762" i="1"/>
  <c r="AC762" i="1" s="1"/>
  <c r="AA762" i="1"/>
  <c r="AD762" i="1" s="1"/>
  <c r="AI761" i="1"/>
  <c r="AH761" i="1"/>
  <c r="AG761" i="1"/>
  <c r="AB761" i="1"/>
  <c r="AA761" i="1"/>
  <c r="AD761" i="1" s="1"/>
  <c r="AI760" i="1"/>
  <c r="AH760" i="1"/>
  <c r="AG760" i="1"/>
  <c r="AC760" i="1"/>
  <c r="AB760" i="1"/>
  <c r="AA760" i="1"/>
  <c r="AD760" i="1" s="1"/>
  <c r="AI759" i="1"/>
  <c r="AH759" i="1"/>
  <c r="AG759" i="1"/>
  <c r="AD759" i="1"/>
  <c r="AB759" i="1"/>
  <c r="AC759" i="1" s="1"/>
  <c r="AA759" i="1"/>
  <c r="AI758" i="1"/>
  <c r="AH758" i="1"/>
  <c r="AG758" i="1"/>
  <c r="AB758" i="1"/>
  <c r="AA758" i="1"/>
  <c r="AD758" i="1" s="1"/>
  <c r="AI757" i="1"/>
  <c r="AH757" i="1"/>
  <c r="AG757" i="1"/>
  <c r="AB757" i="1"/>
  <c r="AA757" i="1"/>
  <c r="AD757" i="1" s="1"/>
  <c r="AI756" i="1"/>
  <c r="AH756" i="1"/>
  <c r="AG756" i="1"/>
  <c r="AB756" i="1"/>
  <c r="AA756" i="1"/>
  <c r="AD756" i="1" s="1"/>
  <c r="AI755" i="1"/>
  <c r="AH755" i="1"/>
  <c r="AG755" i="1"/>
  <c r="AC755" i="1"/>
  <c r="AB755" i="1"/>
  <c r="AA755" i="1"/>
  <c r="AD755" i="1" s="1"/>
  <c r="AI754" i="1"/>
  <c r="AH754" i="1"/>
  <c r="AG754" i="1"/>
  <c r="AB754" i="1"/>
  <c r="AC754" i="1" s="1"/>
  <c r="AA754" i="1"/>
  <c r="AD754" i="1" s="1"/>
  <c r="AI753" i="1"/>
  <c r="AH753" i="1"/>
  <c r="AG753" i="1"/>
  <c r="AD753" i="1"/>
  <c r="AB753" i="1"/>
  <c r="AA753" i="1"/>
  <c r="AC753" i="1" s="1"/>
  <c r="AI752" i="1"/>
  <c r="AH752" i="1"/>
  <c r="AG752" i="1"/>
  <c r="AD752" i="1"/>
  <c r="AC752" i="1"/>
  <c r="AB752" i="1"/>
  <c r="AA752" i="1"/>
  <c r="AI751" i="1"/>
  <c r="AH751" i="1"/>
  <c r="AG751" i="1"/>
  <c r="AB751" i="1"/>
  <c r="AD751" i="1" s="1"/>
  <c r="AA751" i="1"/>
  <c r="AI750" i="1"/>
  <c r="AH750" i="1"/>
  <c r="AG750" i="1"/>
  <c r="AB750" i="1"/>
  <c r="AA750" i="1"/>
  <c r="AD750" i="1" s="1"/>
  <c r="AI749" i="1"/>
  <c r="AH749" i="1"/>
  <c r="AG749" i="1"/>
  <c r="AB749" i="1"/>
  <c r="AA749" i="1"/>
  <c r="AD749" i="1" s="1"/>
  <c r="AI748" i="1"/>
  <c r="AH748" i="1"/>
  <c r="AG748" i="1"/>
  <c r="AB748" i="1"/>
  <c r="AA748" i="1"/>
  <c r="AD748" i="1" s="1"/>
  <c r="AI747" i="1"/>
  <c r="AH747" i="1"/>
  <c r="AG747" i="1"/>
  <c r="AC747" i="1"/>
  <c r="AB747" i="1"/>
  <c r="AA747" i="1"/>
  <c r="AD747" i="1" s="1"/>
  <c r="AI746" i="1"/>
  <c r="AH746" i="1"/>
  <c r="AG746" i="1"/>
  <c r="AB746" i="1"/>
  <c r="AA746" i="1"/>
  <c r="AC746" i="1" s="1"/>
  <c r="AI745" i="1"/>
  <c r="AH745" i="1"/>
  <c r="AG745" i="1"/>
  <c r="AD745" i="1"/>
  <c r="AB745" i="1"/>
  <c r="AA745" i="1"/>
  <c r="AC745" i="1" s="1"/>
  <c r="AI744" i="1"/>
  <c r="AH744" i="1"/>
  <c r="AG744" i="1"/>
  <c r="AD744" i="1"/>
  <c r="AC744" i="1"/>
  <c r="AB744" i="1"/>
  <c r="AA744" i="1"/>
  <c r="AI743" i="1"/>
  <c r="AH743" i="1"/>
  <c r="AG743" i="1"/>
  <c r="AB743" i="1"/>
  <c r="AD743" i="1" s="1"/>
  <c r="AA743" i="1"/>
  <c r="AI742" i="1"/>
  <c r="AH742" i="1"/>
  <c r="AG742" i="1"/>
  <c r="AB742" i="1"/>
  <c r="AA742" i="1"/>
  <c r="AD742" i="1" s="1"/>
  <c r="AI741" i="1"/>
  <c r="AH741" i="1"/>
  <c r="AG741" i="1"/>
  <c r="AB741" i="1"/>
  <c r="AA741" i="1"/>
  <c r="AD741" i="1" s="1"/>
  <c r="AI740" i="1"/>
  <c r="AH740" i="1"/>
  <c r="AG740" i="1"/>
  <c r="AB740" i="1"/>
  <c r="AA740" i="1"/>
  <c r="AD740" i="1" s="1"/>
  <c r="AI739" i="1"/>
  <c r="AH739" i="1"/>
  <c r="AG739" i="1"/>
  <c r="AD739" i="1"/>
  <c r="AC739" i="1"/>
  <c r="AB739" i="1"/>
  <c r="AA739" i="1"/>
  <c r="AI738" i="1"/>
  <c r="AH738" i="1"/>
  <c r="AG738" i="1"/>
  <c r="AB738" i="1"/>
  <c r="AC738" i="1" s="1"/>
  <c r="AA738" i="1"/>
  <c r="AI737" i="1"/>
  <c r="AH737" i="1"/>
  <c r="AG737" i="1"/>
  <c r="AD737" i="1"/>
  <c r="AB737" i="1"/>
  <c r="AA737" i="1"/>
  <c r="AC737" i="1" s="1"/>
  <c r="AI736" i="1"/>
  <c r="AH736" i="1"/>
  <c r="AG736" i="1"/>
  <c r="AD736" i="1"/>
  <c r="AC736" i="1"/>
  <c r="AB736" i="1"/>
  <c r="AA736" i="1"/>
  <c r="AI735" i="1"/>
  <c r="AH735" i="1"/>
  <c r="AG735" i="1"/>
  <c r="AB735" i="1"/>
  <c r="AD735" i="1" s="1"/>
  <c r="AA735" i="1"/>
  <c r="AI734" i="1"/>
  <c r="AH734" i="1"/>
  <c r="AG734" i="1"/>
  <c r="AB734" i="1"/>
  <c r="AA734" i="1"/>
  <c r="AD734" i="1" s="1"/>
  <c r="AI733" i="1"/>
  <c r="AH733" i="1"/>
  <c r="AG733" i="1"/>
  <c r="AB733" i="1"/>
  <c r="AA733" i="1"/>
  <c r="AD733" i="1" s="1"/>
  <c r="AI732" i="1"/>
  <c r="AH732" i="1"/>
  <c r="AG732" i="1"/>
  <c r="AB732" i="1"/>
  <c r="AA732" i="1"/>
  <c r="AD732" i="1" s="1"/>
  <c r="AI731" i="1"/>
  <c r="AH731" i="1"/>
  <c r="AG731" i="1"/>
  <c r="AD731" i="1"/>
  <c r="AC731" i="1"/>
  <c r="AB731" i="1"/>
  <c r="AA731" i="1"/>
  <c r="AI730" i="1"/>
  <c r="AH730" i="1"/>
  <c r="AG730" i="1"/>
  <c r="AB730" i="1"/>
  <c r="AC730" i="1" s="1"/>
  <c r="AA730" i="1"/>
  <c r="AI729" i="1"/>
  <c r="AH729" i="1"/>
  <c r="AG729" i="1"/>
  <c r="AD729" i="1"/>
  <c r="AB729" i="1"/>
  <c r="AA729" i="1"/>
  <c r="AC729" i="1" s="1"/>
  <c r="AI728" i="1"/>
  <c r="AH728" i="1"/>
  <c r="AG728" i="1"/>
  <c r="AD728" i="1"/>
  <c r="AC728" i="1"/>
  <c r="AB728" i="1"/>
  <c r="AA728" i="1"/>
  <c r="AI727" i="1"/>
  <c r="AH727" i="1"/>
  <c r="AG727" i="1"/>
  <c r="AB727" i="1"/>
  <c r="AD727" i="1" s="1"/>
  <c r="AA727" i="1"/>
  <c r="AI726" i="1"/>
  <c r="AH726" i="1"/>
  <c r="AG726" i="1"/>
  <c r="AB726" i="1"/>
  <c r="AA726" i="1"/>
  <c r="AD726" i="1" s="1"/>
  <c r="AI725" i="1"/>
  <c r="AH725" i="1"/>
  <c r="AG725" i="1"/>
  <c r="AB725" i="1"/>
  <c r="AA725" i="1"/>
  <c r="AD725" i="1" s="1"/>
  <c r="AI724" i="1"/>
  <c r="AH724" i="1"/>
  <c r="AG724" i="1"/>
  <c r="AB724" i="1"/>
  <c r="AA724" i="1"/>
  <c r="AD724" i="1" s="1"/>
  <c r="AI723" i="1"/>
  <c r="AH723" i="1"/>
  <c r="AG723" i="1"/>
  <c r="AD723" i="1"/>
  <c r="AC723" i="1"/>
  <c r="AB723" i="1"/>
  <c r="AA723" i="1"/>
  <c r="AI722" i="1"/>
  <c r="AH722" i="1"/>
  <c r="AG722" i="1"/>
  <c r="AB722" i="1"/>
  <c r="AC722" i="1" s="1"/>
  <c r="AA722" i="1"/>
  <c r="AI721" i="1"/>
  <c r="AH721" i="1"/>
  <c r="AG721" i="1"/>
  <c r="AB721" i="1"/>
  <c r="AA721" i="1"/>
  <c r="AD721" i="1" s="1"/>
  <c r="AI720" i="1"/>
  <c r="AH720" i="1"/>
  <c r="AG720" i="1"/>
  <c r="AC720" i="1"/>
  <c r="AB720" i="1"/>
  <c r="AA720" i="1"/>
  <c r="AD720" i="1" s="1"/>
  <c r="AI719" i="1"/>
  <c r="AH719" i="1"/>
  <c r="AG719" i="1"/>
  <c r="AB719" i="1"/>
  <c r="AD719" i="1" s="1"/>
  <c r="AA719" i="1"/>
  <c r="AI718" i="1"/>
  <c r="AH718" i="1"/>
  <c r="AG718" i="1"/>
  <c r="AB718" i="1"/>
  <c r="AA718" i="1"/>
  <c r="AD718" i="1" s="1"/>
  <c r="AI717" i="1"/>
  <c r="AH717" i="1"/>
  <c r="AG717" i="1"/>
  <c r="AB717" i="1"/>
  <c r="AA717" i="1"/>
  <c r="AD717" i="1" s="1"/>
  <c r="AI716" i="1"/>
  <c r="AH716" i="1"/>
  <c r="AG716" i="1"/>
  <c r="AD716" i="1"/>
  <c r="AB716" i="1"/>
  <c r="AA716" i="1"/>
  <c r="AC716" i="1" s="1"/>
  <c r="AI715" i="1"/>
  <c r="AH715" i="1"/>
  <c r="AG715" i="1"/>
  <c r="AD715" i="1"/>
  <c r="AC715" i="1"/>
  <c r="AB715" i="1"/>
  <c r="AA715" i="1"/>
  <c r="AI714" i="1"/>
  <c r="AH714" i="1"/>
  <c r="AG714" i="1"/>
  <c r="AB714" i="1"/>
  <c r="AC714" i="1" s="1"/>
  <c r="AA714" i="1"/>
  <c r="AI713" i="1"/>
  <c r="AH713" i="1"/>
  <c r="AG713" i="1"/>
  <c r="AB713" i="1"/>
  <c r="AA713" i="1"/>
  <c r="AD713" i="1" s="1"/>
  <c r="AI712" i="1"/>
  <c r="AH712" i="1"/>
  <c r="AG712" i="1"/>
  <c r="AC712" i="1"/>
  <c r="AB712" i="1"/>
  <c r="AA712" i="1"/>
  <c r="AD712" i="1" s="1"/>
  <c r="AI711" i="1"/>
  <c r="AH711" i="1"/>
  <c r="AG711" i="1"/>
  <c r="AB711" i="1"/>
  <c r="AD711" i="1" s="1"/>
  <c r="AA711" i="1"/>
  <c r="AI710" i="1"/>
  <c r="AH710" i="1"/>
  <c r="AG710" i="1"/>
  <c r="AB710" i="1"/>
  <c r="AA710" i="1"/>
  <c r="AD710" i="1" s="1"/>
  <c r="AI709" i="1"/>
  <c r="AH709" i="1"/>
  <c r="AG709" i="1"/>
  <c r="AB709" i="1"/>
  <c r="AA709" i="1"/>
  <c r="AD709" i="1" s="1"/>
  <c r="AI708" i="1"/>
  <c r="AH708" i="1"/>
  <c r="AG708" i="1"/>
  <c r="AD708" i="1"/>
  <c r="AB708" i="1"/>
  <c r="AA708" i="1"/>
  <c r="AC708" i="1" s="1"/>
  <c r="AI707" i="1"/>
  <c r="AH707" i="1"/>
  <c r="AG707" i="1"/>
  <c r="AD707" i="1"/>
  <c r="AC707" i="1"/>
  <c r="AB707" i="1"/>
  <c r="AA707" i="1"/>
  <c r="AI706" i="1"/>
  <c r="AH706" i="1"/>
  <c r="AG706" i="1"/>
  <c r="AB706" i="1"/>
  <c r="AC706" i="1" s="1"/>
  <c r="AA706" i="1"/>
  <c r="AI705" i="1"/>
  <c r="AH705" i="1"/>
  <c r="AG705" i="1"/>
  <c r="AB705" i="1"/>
  <c r="AA705" i="1"/>
  <c r="AD705" i="1" s="1"/>
  <c r="AI704" i="1"/>
  <c r="AH704" i="1"/>
  <c r="AG704" i="1"/>
  <c r="AC704" i="1"/>
  <c r="AB704" i="1"/>
  <c r="AA704" i="1"/>
  <c r="AD704" i="1" s="1"/>
  <c r="AI703" i="1"/>
  <c r="AH703" i="1"/>
  <c r="AG703" i="1"/>
  <c r="AB703" i="1"/>
  <c r="AD703" i="1" s="1"/>
  <c r="AA703" i="1"/>
  <c r="AI702" i="1"/>
  <c r="AH702" i="1"/>
  <c r="AG702" i="1"/>
  <c r="AB702" i="1"/>
  <c r="AA702" i="1"/>
  <c r="AD702" i="1" s="1"/>
  <c r="AI701" i="1"/>
  <c r="AH701" i="1"/>
  <c r="AG701" i="1"/>
  <c r="AB701" i="1"/>
  <c r="AA701" i="1"/>
  <c r="AD701" i="1" s="1"/>
  <c r="AI700" i="1"/>
  <c r="AH700" i="1"/>
  <c r="AG700" i="1"/>
  <c r="AB700" i="1"/>
  <c r="AA700" i="1"/>
  <c r="AD700" i="1" s="1"/>
  <c r="AI699" i="1"/>
  <c r="AH699" i="1"/>
  <c r="AG699" i="1"/>
  <c r="AC699" i="1"/>
  <c r="AB699" i="1"/>
  <c r="AA699" i="1"/>
  <c r="AD699" i="1" s="1"/>
  <c r="AI698" i="1"/>
  <c r="AH698" i="1"/>
  <c r="AG698" i="1"/>
  <c r="AB698" i="1"/>
  <c r="AC698" i="1" s="1"/>
  <c r="AA698" i="1"/>
  <c r="AD698" i="1" s="1"/>
  <c r="AI697" i="1"/>
  <c r="AH697" i="1"/>
  <c r="AG697" i="1"/>
  <c r="AB697" i="1"/>
  <c r="AA697" i="1"/>
  <c r="AD697" i="1" s="1"/>
  <c r="AI696" i="1"/>
  <c r="AH696" i="1"/>
  <c r="AG696" i="1"/>
  <c r="AC696" i="1"/>
  <c r="AB696" i="1"/>
  <c r="AA696" i="1"/>
  <c r="AD696" i="1" s="1"/>
  <c r="AI695" i="1"/>
  <c r="AH695" i="1"/>
  <c r="AG695" i="1"/>
  <c r="AD695" i="1"/>
  <c r="AB695" i="1"/>
  <c r="AC695" i="1" s="1"/>
  <c r="AA695" i="1"/>
  <c r="AI694" i="1"/>
  <c r="AH694" i="1"/>
  <c r="AG694" i="1"/>
  <c r="AC694" i="1"/>
  <c r="AB694" i="1"/>
  <c r="AA694" i="1"/>
  <c r="AD694" i="1" s="1"/>
  <c r="AI693" i="1"/>
  <c r="AH693" i="1"/>
  <c r="AG693" i="1"/>
  <c r="AB693" i="1"/>
  <c r="AA693" i="1"/>
  <c r="AD693" i="1" s="1"/>
  <c r="AI692" i="1"/>
  <c r="AH692" i="1"/>
  <c r="AG692" i="1"/>
  <c r="AB692" i="1"/>
  <c r="AA692" i="1"/>
  <c r="AD692" i="1" s="1"/>
  <c r="AI691" i="1"/>
  <c r="AH691" i="1"/>
  <c r="AG691" i="1"/>
  <c r="AD691" i="1"/>
  <c r="AC691" i="1"/>
  <c r="AB691" i="1"/>
  <c r="AA691" i="1"/>
  <c r="AI690" i="1"/>
  <c r="AH690" i="1"/>
  <c r="AG690" i="1"/>
  <c r="AB690" i="1"/>
  <c r="AC690" i="1" s="1"/>
  <c r="AA690" i="1"/>
  <c r="AD690" i="1" s="1"/>
  <c r="AI689" i="1"/>
  <c r="AH689" i="1"/>
  <c r="AG689" i="1"/>
  <c r="AB689" i="1"/>
  <c r="AA689" i="1"/>
  <c r="AD689" i="1" s="1"/>
  <c r="AI688" i="1"/>
  <c r="AH688" i="1"/>
  <c r="AG688" i="1"/>
  <c r="AD688" i="1"/>
  <c r="AC688" i="1"/>
  <c r="AB688" i="1"/>
  <c r="AA688" i="1"/>
  <c r="AI687" i="1"/>
  <c r="AH687" i="1"/>
  <c r="AG687" i="1"/>
  <c r="AD687" i="1"/>
  <c r="AB687" i="1"/>
  <c r="AC687" i="1" s="1"/>
  <c r="AA687" i="1"/>
  <c r="AI686" i="1"/>
  <c r="AH686" i="1"/>
  <c r="AG686" i="1"/>
  <c r="AC686" i="1"/>
  <c r="AB686" i="1"/>
  <c r="AA686" i="1"/>
  <c r="AD686" i="1" s="1"/>
  <c r="AI685" i="1"/>
  <c r="AH685" i="1"/>
  <c r="AG685" i="1"/>
  <c r="AB685" i="1"/>
  <c r="AA685" i="1"/>
  <c r="AD685" i="1" s="1"/>
  <c r="AI684" i="1"/>
  <c r="AH684" i="1"/>
  <c r="AG684" i="1"/>
  <c r="AB684" i="1"/>
  <c r="AA684" i="1"/>
  <c r="AD684" i="1" s="1"/>
  <c r="AI683" i="1"/>
  <c r="AH683" i="1"/>
  <c r="AG683" i="1"/>
  <c r="AD683" i="1"/>
  <c r="AC683" i="1"/>
  <c r="AB683" i="1"/>
  <c r="AA683" i="1"/>
  <c r="AI682" i="1"/>
  <c r="AH682" i="1"/>
  <c r="AG682" i="1"/>
  <c r="AB682" i="1"/>
  <c r="AC682" i="1" s="1"/>
  <c r="AA682" i="1"/>
  <c r="AD682" i="1" s="1"/>
  <c r="AI681" i="1"/>
  <c r="AH681" i="1"/>
  <c r="AG681" i="1"/>
  <c r="AB681" i="1"/>
  <c r="AA681" i="1"/>
  <c r="AD681" i="1" s="1"/>
  <c r="AI680" i="1"/>
  <c r="AH680" i="1"/>
  <c r="AG680" i="1"/>
  <c r="AB680" i="1"/>
  <c r="AA680" i="1"/>
  <c r="AD680" i="1" s="1"/>
  <c r="AI679" i="1"/>
  <c r="AH679" i="1"/>
  <c r="AG679" i="1"/>
  <c r="AD679" i="1"/>
  <c r="AB679" i="1"/>
  <c r="AC679" i="1" s="1"/>
  <c r="AA679" i="1"/>
  <c r="AI678" i="1"/>
  <c r="AH678" i="1"/>
  <c r="AG678" i="1"/>
  <c r="AC678" i="1"/>
  <c r="AB678" i="1"/>
  <c r="AA678" i="1"/>
  <c r="AD678" i="1" s="1"/>
  <c r="AI677" i="1"/>
  <c r="AH677" i="1"/>
  <c r="AG677" i="1"/>
  <c r="AB677" i="1"/>
  <c r="AA677" i="1"/>
  <c r="AD677" i="1" s="1"/>
  <c r="AI676" i="1"/>
  <c r="AH676" i="1"/>
  <c r="AG676" i="1"/>
  <c r="AB676" i="1"/>
  <c r="AA676" i="1"/>
  <c r="AD676" i="1" s="1"/>
  <c r="AI675" i="1"/>
  <c r="AH675" i="1"/>
  <c r="AG675" i="1"/>
  <c r="AC675" i="1"/>
  <c r="AB675" i="1"/>
  <c r="AA675" i="1"/>
  <c r="AD675" i="1" s="1"/>
  <c r="AI674" i="1"/>
  <c r="AH674" i="1"/>
  <c r="AG674" i="1"/>
  <c r="AB674" i="1"/>
  <c r="AC674" i="1" s="1"/>
  <c r="AA674" i="1"/>
  <c r="AD674" i="1" s="1"/>
  <c r="AI673" i="1"/>
  <c r="AH673" i="1"/>
  <c r="AG673" i="1"/>
  <c r="AB673" i="1"/>
  <c r="AA673" i="1"/>
  <c r="AD673" i="1" s="1"/>
  <c r="AI672" i="1"/>
  <c r="AH672" i="1"/>
  <c r="AG672" i="1"/>
  <c r="AB672" i="1"/>
  <c r="AA672" i="1"/>
  <c r="AD672" i="1" s="1"/>
  <c r="AI671" i="1"/>
  <c r="AH671" i="1"/>
  <c r="AG671" i="1"/>
  <c r="AD671" i="1"/>
  <c r="AB671" i="1"/>
  <c r="AC671" i="1" s="1"/>
  <c r="AA671" i="1"/>
  <c r="AI670" i="1"/>
  <c r="AH670" i="1"/>
  <c r="AG670" i="1"/>
  <c r="AC670" i="1"/>
  <c r="AB670" i="1"/>
  <c r="AA670" i="1"/>
  <c r="AD670" i="1" s="1"/>
  <c r="AI669" i="1"/>
  <c r="AH669" i="1"/>
  <c r="AG669" i="1"/>
  <c r="AB669" i="1"/>
  <c r="AC669" i="1" s="1"/>
  <c r="AA669" i="1"/>
  <c r="AD669" i="1" s="1"/>
  <c r="AI668" i="1"/>
  <c r="AH668" i="1"/>
  <c r="AG668" i="1"/>
  <c r="AB668" i="1"/>
  <c r="AA668" i="1"/>
  <c r="AD668" i="1" s="1"/>
  <c r="AI667" i="1"/>
  <c r="AH667" i="1"/>
  <c r="AG667" i="1"/>
  <c r="AC667" i="1"/>
  <c r="AB667" i="1"/>
  <c r="AA667" i="1"/>
  <c r="AD667" i="1" s="1"/>
  <c r="AI666" i="1"/>
  <c r="AH666" i="1"/>
  <c r="AG666" i="1"/>
  <c r="AB666" i="1"/>
  <c r="AC666" i="1" s="1"/>
  <c r="AA666" i="1"/>
  <c r="AD666" i="1" s="1"/>
  <c r="AI665" i="1"/>
  <c r="AH665" i="1"/>
  <c r="AG665" i="1"/>
  <c r="AB665" i="1"/>
  <c r="AA665" i="1"/>
  <c r="AD665" i="1" s="1"/>
  <c r="AI664" i="1"/>
  <c r="AH664" i="1"/>
  <c r="AG664" i="1"/>
  <c r="AC664" i="1"/>
  <c r="AB664" i="1"/>
  <c r="AA664" i="1"/>
  <c r="AD664" i="1" s="1"/>
  <c r="AI663" i="1"/>
  <c r="AH663" i="1"/>
  <c r="AG663" i="1"/>
  <c r="AD663" i="1"/>
  <c r="AB663" i="1"/>
  <c r="AC663" i="1" s="1"/>
  <c r="AA663" i="1"/>
  <c r="AI662" i="1"/>
  <c r="AH662" i="1"/>
  <c r="AG662" i="1"/>
  <c r="AB662" i="1"/>
  <c r="AA662" i="1"/>
  <c r="AD662" i="1" s="1"/>
  <c r="AI661" i="1"/>
  <c r="AH661" i="1"/>
  <c r="AG661" i="1"/>
  <c r="AB661" i="1"/>
  <c r="AA661" i="1"/>
  <c r="AD661" i="1" s="1"/>
  <c r="AI660" i="1"/>
  <c r="AH660" i="1"/>
  <c r="AG660" i="1"/>
  <c r="AB660" i="1"/>
  <c r="AA660" i="1"/>
  <c r="AD660" i="1" s="1"/>
  <c r="AI659" i="1"/>
  <c r="AH659" i="1"/>
  <c r="AG659" i="1"/>
  <c r="AD659" i="1"/>
  <c r="AC659" i="1"/>
  <c r="AB659" i="1"/>
  <c r="AA659" i="1"/>
  <c r="AI658" i="1"/>
  <c r="AH658" i="1"/>
  <c r="AG658" i="1"/>
  <c r="AB658" i="1"/>
  <c r="AC658" i="1" s="1"/>
  <c r="AA658" i="1"/>
  <c r="AI657" i="1"/>
  <c r="AH657" i="1"/>
  <c r="AG657" i="1"/>
  <c r="AB657" i="1"/>
  <c r="AA657" i="1"/>
  <c r="AD657" i="1" s="1"/>
  <c r="AI656" i="1"/>
  <c r="AH656" i="1"/>
  <c r="AG656" i="1"/>
  <c r="AD656" i="1"/>
  <c r="AC656" i="1"/>
  <c r="AB656" i="1"/>
  <c r="AA656" i="1"/>
  <c r="AI655" i="1"/>
  <c r="AH655" i="1"/>
  <c r="AG655" i="1"/>
  <c r="AD655" i="1"/>
  <c r="AB655" i="1"/>
  <c r="AC655" i="1" s="1"/>
  <c r="AA655" i="1"/>
  <c r="AI654" i="1"/>
  <c r="AH654" i="1"/>
  <c r="AG654" i="1"/>
  <c r="AC654" i="1"/>
  <c r="AB654" i="1"/>
  <c r="AA654" i="1"/>
  <c r="AD654" i="1" s="1"/>
  <c r="AI653" i="1"/>
  <c r="AH653" i="1"/>
  <c r="AG653" i="1"/>
  <c r="AB653" i="1"/>
  <c r="AA653" i="1"/>
  <c r="AD653" i="1" s="1"/>
  <c r="AI652" i="1"/>
  <c r="AH652" i="1"/>
  <c r="AG652" i="1"/>
  <c r="AB652" i="1"/>
  <c r="AA652" i="1"/>
  <c r="AD652" i="1" s="1"/>
  <c r="AI651" i="1"/>
  <c r="AH651" i="1"/>
  <c r="AG651" i="1"/>
  <c r="AC651" i="1"/>
  <c r="AB651" i="1"/>
  <c r="AA651" i="1"/>
  <c r="AD651" i="1" s="1"/>
  <c r="AI650" i="1"/>
  <c r="AH650" i="1"/>
  <c r="AG650" i="1"/>
  <c r="AB650" i="1"/>
  <c r="AC650" i="1" s="1"/>
  <c r="AA650" i="1"/>
  <c r="AD650" i="1" s="1"/>
  <c r="AI649" i="1"/>
  <c r="AH649" i="1"/>
  <c r="AG649" i="1"/>
  <c r="AB649" i="1"/>
  <c r="AA649" i="1"/>
  <c r="AD649" i="1" s="1"/>
  <c r="AI648" i="1"/>
  <c r="AH648" i="1"/>
  <c r="AG648" i="1"/>
  <c r="AC648" i="1"/>
  <c r="AB648" i="1"/>
  <c r="AA648" i="1"/>
  <c r="AD648" i="1" s="1"/>
  <c r="AI647" i="1"/>
  <c r="AH647" i="1"/>
  <c r="AG647" i="1"/>
  <c r="AD647" i="1"/>
  <c r="AB647" i="1"/>
  <c r="AC647" i="1" s="1"/>
  <c r="AA647" i="1"/>
  <c r="AI646" i="1"/>
  <c r="AH646" i="1"/>
  <c r="AG646" i="1"/>
  <c r="AC646" i="1"/>
  <c r="AB646" i="1"/>
  <c r="AA646" i="1"/>
  <c r="AD646" i="1" s="1"/>
  <c r="AI645" i="1"/>
  <c r="AH645" i="1"/>
  <c r="AG645" i="1"/>
  <c r="AB645" i="1"/>
  <c r="AC645" i="1" s="1"/>
  <c r="AA645" i="1"/>
  <c r="AD645" i="1" s="1"/>
  <c r="AI644" i="1"/>
  <c r="AH644" i="1"/>
  <c r="AG644" i="1"/>
  <c r="AB644" i="1"/>
  <c r="AA644" i="1"/>
  <c r="AD644" i="1" s="1"/>
  <c r="AI643" i="1"/>
  <c r="AH643" i="1"/>
  <c r="AG643" i="1"/>
  <c r="AC643" i="1"/>
  <c r="AB643" i="1"/>
  <c r="AA643" i="1"/>
  <c r="AD643" i="1" s="1"/>
  <c r="AI642" i="1"/>
  <c r="AH642" i="1"/>
  <c r="AG642" i="1"/>
  <c r="AB642" i="1"/>
  <c r="AC642" i="1" s="1"/>
  <c r="AA642" i="1"/>
  <c r="AI641" i="1"/>
  <c r="AH641" i="1"/>
  <c r="AG641" i="1"/>
  <c r="AD641" i="1"/>
  <c r="AB641" i="1"/>
  <c r="AA641" i="1"/>
  <c r="AC641" i="1" s="1"/>
  <c r="AI640" i="1"/>
  <c r="AH640" i="1"/>
  <c r="AG640" i="1"/>
  <c r="AC640" i="1"/>
  <c r="AB640" i="1"/>
  <c r="AA640" i="1"/>
  <c r="AD640" i="1" s="1"/>
  <c r="AI639" i="1"/>
  <c r="AH639" i="1"/>
  <c r="AG639" i="1"/>
  <c r="AD639" i="1"/>
  <c r="AB639" i="1"/>
  <c r="AC639" i="1" s="1"/>
  <c r="AA639" i="1"/>
  <c r="AI638" i="1"/>
  <c r="AH638" i="1"/>
  <c r="AG638" i="1"/>
  <c r="AC638" i="1"/>
  <c r="AB638" i="1"/>
  <c r="AA638" i="1"/>
  <c r="AD638" i="1" s="1"/>
  <c r="AI637" i="1"/>
  <c r="AH637" i="1"/>
  <c r="AG637" i="1"/>
  <c r="AB637" i="1"/>
  <c r="AC637" i="1" s="1"/>
  <c r="AA637" i="1"/>
  <c r="AD637" i="1" s="1"/>
  <c r="AI636" i="1"/>
  <c r="AH636" i="1"/>
  <c r="AG636" i="1"/>
  <c r="AB636" i="1"/>
  <c r="AA636" i="1"/>
  <c r="AD636" i="1" s="1"/>
  <c r="AI635" i="1"/>
  <c r="AH635" i="1"/>
  <c r="AG635" i="1"/>
  <c r="AB635" i="1"/>
  <c r="AA635" i="1"/>
  <c r="AD635" i="1" s="1"/>
  <c r="AI634" i="1"/>
  <c r="AH634" i="1"/>
  <c r="AG634" i="1"/>
  <c r="AB634" i="1"/>
  <c r="AC634" i="1" s="1"/>
  <c r="AA634" i="1"/>
  <c r="AI633" i="1"/>
  <c r="AH633" i="1"/>
  <c r="AG633" i="1"/>
  <c r="AD633" i="1"/>
  <c r="AB633" i="1"/>
  <c r="AA633" i="1"/>
  <c r="AC633" i="1" s="1"/>
  <c r="AI632" i="1"/>
  <c r="AH632" i="1"/>
  <c r="AG632" i="1"/>
  <c r="AC632" i="1"/>
  <c r="AB632" i="1"/>
  <c r="AA632" i="1"/>
  <c r="AD632" i="1" s="1"/>
  <c r="AI631" i="1"/>
  <c r="AH631" i="1"/>
  <c r="AG631" i="1"/>
  <c r="AD631" i="1"/>
  <c r="AB631" i="1"/>
  <c r="AC631" i="1" s="1"/>
  <c r="AA631" i="1"/>
  <c r="AI630" i="1"/>
  <c r="AH630" i="1"/>
  <c r="AG630" i="1"/>
  <c r="AD630" i="1"/>
  <c r="AC630" i="1"/>
  <c r="AB630" i="1"/>
  <c r="AA630" i="1"/>
  <c r="AI629" i="1"/>
  <c r="AH629" i="1"/>
  <c r="AG629" i="1"/>
  <c r="AB629" i="1"/>
  <c r="AC629" i="1" s="1"/>
  <c r="AA629" i="1"/>
  <c r="AD629" i="1" s="1"/>
  <c r="AI628" i="1"/>
  <c r="AH628" i="1"/>
  <c r="AG628" i="1"/>
  <c r="AB628" i="1"/>
  <c r="AA628" i="1"/>
  <c r="AD628" i="1" s="1"/>
  <c r="AI627" i="1"/>
  <c r="AH627" i="1"/>
  <c r="AG627" i="1"/>
  <c r="AB627" i="1"/>
  <c r="AA627" i="1"/>
  <c r="AD627" i="1" s="1"/>
  <c r="AI626" i="1"/>
  <c r="AH626" i="1"/>
  <c r="AG626" i="1"/>
  <c r="AB626" i="1"/>
  <c r="AC626" i="1" s="1"/>
  <c r="AA626" i="1"/>
  <c r="AI625" i="1"/>
  <c r="AH625" i="1"/>
  <c r="AG625" i="1"/>
  <c r="AD625" i="1"/>
  <c r="AB625" i="1"/>
  <c r="AA625" i="1"/>
  <c r="AC625" i="1" s="1"/>
  <c r="AI624" i="1"/>
  <c r="AH624" i="1"/>
  <c r="AG624" i="1"/>
  <c r="AC624" i="1"/>
  <c r="AB624" i="1"/>
  <c r="AA624" i="1"/>
  <c r="AD624" i="1" s="1"/>
  <c r="AI623" i="1"/>
  <c r="AH623" i="1"/>
  <c r="AG623" i="1"/>
  <c r="AD623" i="1"/>
  <c r="AB623" i="1"/>
  <c r="AA623" i="1"/>
  <c r="AC623" i="1" s="1"/>
  <c r="AI622" i="1"/>
  <c r="AH622" i="1"/>
  <c r="AG622" i="1"/>
  <c r="AD622" i="1"/>
  <c r="AC622" i="1"/>
  <c r="AB622" i="1"/>
  <c r="AA622" i="1"/>
  <c r="AI621" i="1"/>
  <c r="AH621" i="1"/>
  <c r="AG621" i="1"/>
  <c r="AB621" i="1"/>
  <c r="AC621" i="1" s="1"/>
  <c r="AA621" i="1"/>
  <c r="AD621" i="1" s="1"/>
  <c r="AI620" i="1"/>
  <c r="AH620" i="1"/>
  <c r="AG620" i="1"/>
  <c r="AB620" i="1"/>
  <c r="AA620" i="1"/>
  <c r="AD620" i="1" s="1"/>
  <c r="AI619" i="1"/>
  <c r="AH619" i="1"/>
  <c r="AG619" i="1"/>
  <c r="AB619" i="1"/>
  <c r="AA619" i="1"/>
  <c r="AD619" i="1" s="1"/>
  <c r="AI618" i="1"/>
  <c r="AH618" i="1"/>
  <c r="AG618" i="1"/>
  <c r="AB618" i="1"/>
  <c r="AC618" i="1" s="1"/>
  <c r="AA618" i="1"/>
  <c r="AI617" i="1"/>
  <c r="AH617" i="1"/>
  <c r="AG617" i="1"/>
  <c r="AD617" i="1"/>
  <c r="AB617" i="1"/>
  <c r="AA617" i="1"/>
  <c r="AC617" i="1" s="1"/>
  <c r="AI616" i="1"/>
  <c r="AH616" i="1"/>
  <c r="AG616" i="1"/>
  <c r="AC616" i="1"/>
  <c r="AB616" i="1"/>
  <c r="AA616" i="1"/>
  <c r="AD616" i="1" s="1"/>
  <c r="AI615" i="1"/>
  <c r="AH615" i="1"/>
  <c r="AG615" i="1"/>
  <c r="AD615" i="1"/>
  <c r="AB615" i="1"/>
  <c r="AA615" i="1"/>
  <c r="AC615" i="1" s="1"/>
  <c r="AI614" i="1"/>
  <c r="AH614" i="1"/>
  <c r="AG614" i="1"/>
  <c r="AD614" i="1"/>
  <c r="AC614" i="1"/>
  <c r="AB614" i="1"/>
  <c r="AA614" i="1"/>
  <c r="AI613" i="1"/>
  <c r="AH613" i="1"/>
  <c r="AG613" i="1"/>
  <c r="AB613" i="1"/>
  <c r="AC613" i="1" s="1"/>
  <c r="AA613" i="1"/>
  <c r="AD613" i="1" s="1"/>
  <c r="AI612" i="1"/>
  <c r="AH612" i="1"/>
  <c r="AG612" i="1"/>
  <c r="AB612" i="1"/>
  <c r="AA612" i="1"/>
  <c r="AD612" i="1" s="1"/>
  <c r="AI611" i="1"/>
  <c r="AH611" i="1"/>
  <c r="AG611" i="1"/>
  <c r="AB611" i="1"/>
  <c r="AA611" i="1"/>
  <c r="AD611" i="1" s="1"/>
  <c r="AI610" i="1"/>
  <c r="AH610" i="1"/>
  <c r="AG610" i="1"/>
  <c r="AB610" i="1"/>
  <c r="AC610" i="1" s="1"/>
  <c r="AA610" i="1"/>
  <c r="AI609" i="1"/>
  <c r="AH609" i="1"/>
  <c r="AG609" i="1"/>
  <c r="AD609" i="1"/>
  <c r="AB609" i="1"/>
  <c r="AA609" i="1"/>
  <c r="AC609" i="1" s="1"/>
  <c r="AI608" i="1"/>
  <c r="AH608" i="1"/>
  <c r="AG608" i="1"/>
  <c r="AC608" i="1"/>
  <c r="AB608" i="1"/>
  <c r="AA608" i="1"/>
  <c r="AD608" i="1" s="1"/>
  <c r="AI607" i="1"/>
  <c r="AH607" i="1"/>
  <c r="AG607" i="1"/>
  <c r="AD607" i="1"/>
  <c r="AB607" i="1"/>
  <c r="AA607" i="1"/>
  <c r="AC607" i="1" s="1"/>
  <c r="AI606" i="1"/>
  <c r="AH606" i="1"/>
  <c r="AG606" i="1"/>
  <c r="AD606" i="1"/>
  <c r="AC606" i="1"/>
  <c r="AB606" i="1"/>
  <c r="AA606" i="1"/>
  <c r="AI605" i="1"/>
  <c r="AH605" i="1"/>
  <c r="AG605" i="1"/>
  <c r="AB605" i="1"/>
  <c r="AC605" i="1" s="1"/>
  <c r="AA605" i="1"/>
  <c r="AD605" i="1" s="1"/>
  <c r="AI604" i="1"/>
  <c r="AH604" i="1"/>
  <c r="AG604" i="1"/>
  <c r="AB604" i="1"/>
  <c r="AA604" i="1"/>
  <c r="AD604" i="1" s="1"/>
  <c r="AI603" i="1"/>
  <c r="AH603" i="1"/>
  <c r="AG603" i="1"/>
  <c r="AB603" i="1"/>
  <c r="AA603" i="1"/>
  <c r="AD603" i="1" s="1"/>
  <c r="AI602" i="1"/>
  <c r="AH602" i="1"/>
  <c r="AG602" i="1"/>
  <c r="AB602" i="1"/>
  <c r="AC602" i="1" s="1"/>
  <c r="AA602" i="1"/>
  <c r="AI601" i="1"/>
  <c r="AH601" i="1"/>
  <c r="AG601" i="1"/>
  <c r="AB601" i="1"/>
  <c r="AA601" i="1"/>
  <c r="AD601" i="1" s="1"/>
  <c r="AI600" i="1"/>
  <c r="AH600" i="1"/>
  <c r="AG600" i="1"/>
  <c r="AC600" i="1"/>
  <c r="AB600" i="1"/>
  <c r="AA600" i="1"/>
  <c r="AD600" i="1" s="1"/>
  <c r="AI599" i="1"/>
  <c r="AH599" i="1"/>
  <c r="AG599" i="1"/>
  <c r="AD599" i="1"/>
  <c r="AB599" i="1"/>
  <c r="AA599" i="1"/>
  <c r="AC599" i="1" s="1"/>
  <c r="AI598" i="1"/>
  <c r="AH598" i="1"/>
  <c r="AG598" i="1"/>
  <c r="AD598" i="1"/>
  <c r="AC598" i="1"/>
  <c r="AB598" i="1"/>
  <c r="AA598" i="1"/>
  <c r="AI597" i="1"/>
  <c r="AH597" i="1"/>
  <c r="AG597" i="1"/>
  <c r="AB597" i="1"/>
  <c r="AC597" i="1" s="1"/>
  <c r="AA597" i="1"/>
  <c r="AD597" i="1" s="1"/>
  <c r="AI596" i="1"/>
  <c r="AH596" i="1"/>
  <c r="AG596" i="1"/>
  <c r="AB596" i="1"/>
  <c r="AA596" i="1"/>
  <c r="AD596" i="1" s="1"/>
  <c r="AI595" i="1"/>
  <c r="AH595" i="1"/>
  <c r="AG595" i="1"/>
  <c r="AB595" i="1"/>
  <c r="AA595" i="1"/>
  <c r="AD595" i="1" s="1"/>
  <c r="AI594" i="1"/>
  <c r="AH594" i="1"/>
  <c r="AG594" i="1"/>
  <c r="AB594" i="1"/>
  <c r="AC594" i="1" s="1"/>
  <c r="AA594" i="1"/>
  <c r="AI593" i="1"/>
  <c r="AH593" i="1"/>
  <c r="AG593" i="1"/>
  <c r="AB593" i="1"/>
  <c r="AA593" i="1"/>
  <c r="AD593" i="1" s="1"/>
  <c r="AI592" i="1"/>
  <c r="AH592" i="1"/>
  <c r="AG592" i="1"/>
  <c r="AB592" i="1"/>
  <c r="AA592" i="1"/>
  <c r="AD592" i="1" s="1"/>
  <c r="AI591" i="1"/>
  <c r="AH591" i="1"/>
  <c r="AG591" i="1"/>
  <c r="AD591" i="1"/>
  <c r="AB591" i="1"/>
  <c r="AA591" i="1"/>
  <c r="AC591" i="1" s="1"/>
  <c r="AI590" i="1"/>
  <c r="AH590" i="1"/>
  <c r="AG590" i="1"/>
  <c r="AD590" i="1"/>
  <c r="AC590" i="1"/>
  <c r="AB590" i="1"/>
  <c r="AA590" i="1"/>
  <c r="AI589" i="1"/>
  <c r="AH589" i="1"/>
  <c r="AG589" i="1"/>
  <c r="AB589" i="1"/>
  <c r="AD589" i="1" s="1"/>
  <c r="AA589" i="1"/>
  <c r="AI588" i="1"/>
  <c r="AH588" i="1"/>
  <c r="AG588" i="1"/>
  <c r="AB588" i="1"/>
  <c r="AA588" i="1"/>
  <c r="AI587" i="1"/>
  <c r="AH587" i="1"/>
  <c r="AG587" i="1"/>
  <c r="AB587" i="1"/>
  <c r="AA587" i="1"/>
  <c r="AD587" i="1" s="1"/>
  <c r="AI586" i="1"/>
  <c r="AH586" i="1"/>
  <c r="AG586" i="1"/>
  <c r="AB586" i="1"/>
  <c r="AA586" i="1"/>
  <c r="AI585" i="1"/>
  <c r="AH585" i="1"/>
  <c r="AG585" i="1"/>
  <c r="AD585" i="1"/>
  <c r="AB585" i="1"/>
  <c r="AA585" i="1"/>
  <c r="AC585" i="1" s="1"/>
  <c r="AI584" i="1"/>
  <c r="AH584" i="1"/>
  <c r="AG584" i="1"/>
  <c r="AC584" i="1"/>
  <c r="AB584" i="1"/>
  <c r="AA584" i="1"/>
  <c r="AD584" i="1" s="1"/>
  <c r="AI583" i="1"/>
  <c r="AH583" i="1"/>
  <c r="AG583" i="1"/>
  <c r="AB583" i="1"/>
  <c r="AD583" i="1" s="1"/>
  <c r="AA583" i="1"/>
  <c r="AI582" i="1"/>
  <c r="AH582" i="1"/>
  <c r="AG582" i="1"/>
  <c r="AD582" i="1"/>
  <c r="AC582" i="1"/>
  <c r="AB582" i="1"/>
  <c r="AA582" i="1"/>
  <c r="AI581" i="1"/>
  <c r="AH581" i="1"/>
  <c r="AG581" i="1"/>
  <c r="AB581" i="1"/>
  <c r="AD581" i="1" s="1"/>
  <c r="AA581" i="1"/>
  <c r="AI580" i="1"/>
  <c r="AH580" i="1"/>
  <c r="AG580" i="1"/>
  <c r="AB580" i="1"/>
  <c r="AD580" i="1" s="1"/>
  <c r="AA580" i="1"/>
  <c r="AI579" i="1"/>
  <c r="AH579" i="1"/>
  <c r="AG579" i="1"/>
  <c r="AB579" i="1"/>
  <c r="AA579" i="1"/>
  <c r="AC579" i="1" s="1"/>
  <c r="AI578" i="1"/>
  <c r="AH578" i="1"/>
  <c r="AG578" i="1"/>
  <c r="AB578" i="1"/>
  <c r="AC578" i="1" s="1"/>
  <c r="AA578" i="1"/>
  <c r="AI577" i="1"/>
  <c r="AH577" i="1"/>
  <c r="AG577" i="1"/>
  <c r="AD577" i="1"/>
  <c r="AB577" i="1"/>
  <c r="AA577" i="1"/>
  <c r="AI576" i="1"/>
  <c r="AH576" i="1"/>
  <c r="AG576" i="1"/>
  <c r="AC576" i="1"/>
  <c r="AB576" i="1"/>
  <c r="AA576" i="1"/>
  <c r="AD576" i="1" s="1"/>
  <c r="AI575" i="1"/>
  <c r="AH575" i="1"/>
  <c r="AG575" i="1"/>
  <c r="AB575" i="1"/>
  <c r="AD575" i="1" s="1"/>
  <c r="AA575" i="1"/>
  <c r="AC575" i="1" s="1"/>
  <c r="AI574" i="1"/>
  <c r="AH574" i="1"/>
  <c r="AG574" i="1"/>
  <c r="AC574" i="1"/>
  <c r="AB574" i="1"/>
  <c r="AA574" i="1"/>
  <c r="AD574" i="1" s="1"/>
  <c r="AI573" i="1"/>
  <c r="AH573" i="1"/>
  <c r="AG573" i="1"/>
  <c r="AB573" i="1"/>
  <c r="AD573" i="1" s="1"/>
  <c r="AA573" i="1"/>
  <c r="AI572" i="1"/>
  <c r="AH572" i="1"/>
  <c r="AG572" i="1"/>
  <c r="AD572" i="1"/>
  <c r="AB572" i="1"/>
  <c r="AA572" i="1"/>
  <c r="AC572" i="1" s="1"/>
  <c r="AI571" i="1"/>
  <c r="AH571" i="1"/>
  <c r="AG571" i="1"/>
  <c r="AC571" i="1"/>
  <c r="AB571" i="1"/>
  <c r="AD571" i="1" s="1"/>
  <c r="AA571" i="1"/>
  <c r="AI570" i="1"/>
  <c r="AH570" i="1"/>
  <c r="AG570" i="1"/>
  <c r="AC570" i="1"/>
  <c r="AB570" i="1"/>
  <c r="AA570" i="1"/>
  <c r="AD570" i="1" s="1"/>
  <c r="AI569" i="1"/>
  <c r="AH569" i="1"/>
  <c r="AG569" i="1"/>
  <c r="AB569" i="1"/>
  <c r="AA569" i="1"/>
  <c r="AC569" i="1" s="1"/>
  <c r="AI568" i="1"/>
  <c r="AH568" i="1"/>
  <c r="AG568" i="1"/>
  <c r="AB568" i="1"/>
  <c r="AA568" i="1"/>
  <c r="AC568" i="1" s="1"/>
  <c r="AI567" i="1"/>
  <c r="AH567" i="1"/>
  <c r="AG567" i="1"/>
  <c r="AD567" i="1"/>
  <c r="AB567" i="1"/>
  <c r="AA567" i="1"/>
  <c r="AI566" i="1"/>
  <c r="AH566" i="1"/>
  <c r="AG566" i="1"/>
  <c r="AD566" i="1"/>
  <c r="AB566" i="1"/>
  <c r="AA566" i="1"/>
  <c r="AC566" i="1" s="1"/>
  <c r="AI565" i="1"/>
  <c r="AH565" i="1"/>
  <c r="AG565" i="1"/>
  <c r="AD565" i="1"/>
  <c r="AC565" i="1"/>
  <c r="AB565" i="1"/>
  <c r="AA565" i="1"/>
  <c r="AI564" i="1"/>
  <c r="AH564" i="1"/>
  <c r="AG564" i="1"/>
  <c r="AB564" i="1"/>
  <c r="AC564" i="1" s="1"/>
  <c r="AA564" i="1"/>
  <c r="AD564" i="1" s="1"/>
  <c r="AI563" i="1"/>
  <c r="AH563" i="1"/>
  <c r="AG563" i="1"/>
  <c r="AB563" i="1"/>
  <c r="AA563" i="1"/>
  <c r="AC563" i="1" s="1"/>
  <c r="AI562" i="1"/>
  <c r="AH562" i="1"/>
  <c r="AG562" i="1"/>
  <c r="AC562" i="1"/>
  <c r="AB562" i="1"/>
  <c r="AA562" i="1"/>
  <c r="AD562" i="1" s="1"/>
  <c r="AI561" i="1"/>
  <c r="AH561" i="1"/>
  <c r="AG561" i="1"/>
  <c r="AB561" i="1"/>
  <c r="AD561" i="1" s="1"/>
  <c r="AA561" i="1"/>
  <c r="AC561" i="1" s="1"/>
  <c r="AI560" i="1"/>
  <c r="AH560" i="1"/>
  <c r="AG560" i="1"/>
  <c r="AC560" i="1"/>
  <c r="AB560" i="1"/>
  <c r="AA560" i="1"/>
  <c r="AI559" i="1"/>
  <c r="AH559" i="1"/>
  <c r="AG559" i="1"/>
  <c r="AD559" i="1"/>
  <c r="AB559" i="1"/>
  <c r="AA559" i="1"/>
  <c r="AC559" i="1" s="1"/>
  <c r="AI558" i="1"/>
  <c r="AH558" i="1"/>
  <c r="AG558" i="1"/>
  <c r="AC558" i="1"/>
  <c r="AB558" i="1"/>
  <c r="AA558" i="1"/>
  <c r="AD558" i="1" s="1"/>
  <c r="AI557" i="1"/>
  <c r="AH557" i="1"/>
  <c r="AG557" i="1"/>
  <c r="AD557" i="1"/>
  <c r="AB557" i="1"/>
  <c r="AC557" i="1" s="1"/>
  <c r="AA557" i="1"/>
  <c r="AI556" i="1"/>
  <c r="AH556" i="1"/>
  <c r="AG556" i="1"/>
  <c r="AC556" i="1"/>
  <c r="AB556" i="1"/>
  <c r="AA556" i="1"/>
  <c r="AD556" i="1" s="1"/>
  <c r="AI555" i="1"/>
  <c r="AH555" i="1"/>
  <c r="AG555" i="1"/>
  <c r="AB555" i="1"/>
  <c r="AD555" i="1" s="1"/>
  <c r="AA555" i="1"/>
  <c r="AC555" i="1" s="1"/>
  <c r="AI554" i="1"/>
  <c r="AH554" i="1"/>
  <c r="AG554" i="1"/>
  <c r="AD554" i="1"/>
  <c r="AB554" i="1"/>
  <c r="AA554" i="1"/>
  <c r="AC554" i="1" s="1"/>
  <c r="AI553" i="1"/>
  <c r="AH553" i="1"/>
  <c r="AG553" i="1"/>
  <c r="AB553" i="1"/>
  <c r="AD553" i="1" s="1"/>
  <c r="AA553" i="1"/>
  <c r="AI552" i="1"/>
  <c r="AH552" i="1"/>
  <c r="AG552" i="1"/>
  <c r="AC552" i="1"/>
  <c r="AB552" i="1"/>
  <c r="AA552" i="1"/>
  <c r="AD552" i="1" s="1"/>
  <c r="AI551" i="1"/>
  <c r="AH551" i="1"/>
  <c r="AG551" i="1"/>
  <c r="AB551" i="1"/>
  <c r="AA551" i="1"/>
  <c r="AC551" i="1" s="1"/>
  <c r="AI550" i="1"/>
  <c r="AH550" i="1"/>
  <c r="AG550" i="1"/>
  <c r="AB550" i="1"/>
  <c r="AA550" i="1"/>
  <c r="AD550" i="1" s="1"/>
  <c r="AI549" i="1"/>
  <c r="AH549" i="1"/>
  <c r="AG549" i="1"/>
  <c r="AD549" i="1"/>
  <c r="AB549" i="1"/>
  <c r="AC549" i="1" s="1"/>
  <c r="AA549" i="1"/>
  <c r="AI548" i="1"/>
  <c r="AH548" i="1"/>
  <c r="AG548" i="1"/>
  <c r="AD548" i="1"/>
  <c r="AC548" i="1"/>
  <c r="AB548" i="1"/>
  <c r="AA548" i="1"/>
  <c r="AI547" i="1"/>
  <c r="AH547" i="1"/>
  <c r="AG547" i="1"/>
  <c r="AB547" i="1"/>
  <c r="AD547" i="1" s="1"/>
  <c r="AA547" i="1"/>
  <c r="AI546" i="1"/>
  <c r="AH546" i="1"/>
  <c r="AG546" i="1"/>
  <c r="AB546" i="1"/>
  <c r="AA546" i="1"/>
  <c r="AD546" i="1" s="1"/>
  <c r="AI545" i="1"/>
  <c r="AH545" i="1"/>
  <c r="AG545" i="1"/>
  <c r="AC545" i="1"/>
  <c r="AB545" i="1"/>
  <c r="AA545" i="1"/>
  <c r="AD545" i="1" s="1"/>
  <c r="AI544" i="1"/>
  <c r="AH544" i="1"/>
  <c r="AG544" i="1"/>
  <c r="AB544" i="1"/>
  <c r="AA544" i="1"/>
  <c r="AD544" i="1" s="1"/>
  <c r="AI543" i="1"/>
  <c r="AH543" i="1"/>
  <c r="AG543" i="1"/>
  <c r="AB543" i="1"/>
  <c r="AD543" i="1" s="1"/>
  <c r="AA543" i="1"/>
  <c r="AI542" i="1"/>
  <c r="AH542" i="1"/>
  <c r="AG542" i="1"/>
  <c r="AC542" i="1"/>
  <c r="AB542" i="1"/>
  <c r="AA542" i="1"/>
  <c r="AD542" i="1" s="1"/>
  <c r="AI541" i="1"/>
  <c r="AH541" i="1"/>
  <c r="AG541" i="1"/>
  <c r="AB541" i="1"/>
  <c r="AC541" i="1" s="1"/>
  <c r="AA541" i="1"/>
  <c r="AD541" i="1" s="1"/>
  <c r="AI540" i="1"/>
  <c r="AH540" i="1"/>
  <c r="AG540" i="1"/>
  <c r="AB540" i="1"/>
  <c r="AA540" i="1"/>
  <c r="AD540" i="1" s="1"/>
  <c r="AI539" i="1"/>
  <c r="AH539" i="1"/>
  <c r="AG539" i="1"/>
  <c r="AB539" i="1"/>
  <c r="AA539" i="1"/>
  <c r="AD539" i="1" s="1"/>
  <c r="AI538" i="1"/>
  <c r="AH538" i="1"/>
  <c r="AG538" i="1"/>
  <c r="AB538" i="1"/>
  <c r="AC538" i="1" s="1"/>
  <c r="AA538" i="1"/>
  <c r="AD538" i="1" s="1"/>
  <c r="AI537" i="1"/>
  <c r="AH537" i="1"/>
  <c r="AG537" i="1"/>
  <c r="AB537" i="1"/>
  <c r="AA537" i="1"/>
  <c r="AC537" i="1" s="1"/>
  <c r="AI536" i="1"/>
  <c r="AH536" i="1"/>
  <c r="AG536" i="1"/>
  <c r="AB536" i="1"/>
  <c r="AA536" i="1"/>
  <c r="AD536" i="1" s="1"/>
  <c r="AI535" i="1"/>
  <c r="AH535" i="1"/>
  <c r="AG535" i="1"/>
  <c r="AD535" i="1"/>
  <c r="AB535" i="1"/>
  <c r="AA535" i="1"/>
  <c r="AC535" i="1" s="1"/>
  <c r="AI534" i="1"/>
  <c r="AH534" i="1"/>
  <c r="AG534" i="1"/>
  <c r="AD534" i="1"/>
  <c r="AC534" i="1"/>
  <c r="AB534" i="1"/>
  <c r="AA534" i="1"/>
  <c r="AI533" i="1"/>
  <c r="AH533" i="1"/>
  <c r="AG533" i="1"/>
  <c r="AB533" i="1"/>
  <c r="AC533" i="1" s="1"/>
  <c r="AA533" i="1"/>
  <c r="AD533" i="1" s="1"/>
  <c r="AI532" i="1"/>
  <c r="AH532" i="1"/>
  <c r="AG532" i="1"/>
  <c r="AB532" i="1"/>
  <c r="AA532" i="1"/>
  <c r="AD532" i="1" s="1"/>
  <c r="AI531" i="1"/>
  <c r="AH531" i="1"/>
  <c r="AG531" i="1"/>
  <c r="AB531" i="1"/>
  <c r="AA531" i="1"/>
  <c r="AD531" i="1" s="1"/>
  <c r="AI530" i="1"/>
  <c r="AH530" i="1"/>
  <c r="AG530" i="1"/>
  <c r="AB530" i="1"/>
  <c r="AD530" i="1" s="1"/>
  <c r="AA530" i="1"/>
  <c r="AI529" i="1"/>
  <c r="AH529" i="1"/>
  <c r="AG529" i="1"/>
  <c r="AB529" i="1"/>
  <c r="AA529" i="1"/>
  <c r="AC529" i="1" s="1"/>
  <c r="AI528" i="1"/>
  <c r="AH528" i="1"/>
  <c r="AG528" i="1"/>
  <c r="AB528" i="1"/>
  <c r="AA528" i="1"/>
  <c r="AD528" i="1" s="1"/>
  <c r="AI527" i="1"/>
  <c r="AH527" i="1"/>
  <c r="AG527" i="1"/>
  <c r="AD527" i="1"/>
  <c r="AB527" i="1"/>
  <c r="AA527" i="1"/>
  <c r="AC527" i="1" s="1"/>
  <c r="AI526" i="1"/>
  <c r="AH526" i="1"/>
  <c r="AG526" i="1"/>
  <c r="AD526" i="1"/>
  <c r="AC526" i="1"/>
  <c r="AB526" i="1"/>
  <c r="AA526" i="1"/>
  <c r="AI525" i="1"/>
  <c r="AH525" i="1"/>
  <c r="AG525" i="1"/>
  <c r="AB525" i="1"/>
  <c r="AC525" i="1" s="1"/>
  <c r="AA525" i="1"/>
  <c r="AD525" i="1" s="1"/>
  <c r="AI524" i="1"/>
  <c r="AH524" i="1"/>
  <c r="AG524" i="1"/>
  <c r="AB524" i="1"/>
  <c r="AA524" i="1"/>
  <c r="AD524" i="1" s="1"/>
  <c r="AI523" i="1"/>
  <c r="AH523" i="1"/>
  <c r="AG523" i="1"/>
  <c r="AB523" i="1"/>
  <c r="AA523" i="1"/>
  <c r="AD523" i="1" s="1"/>
  <c r="AI522" i="1"/>
  <c r="AH522" i="1"/>
  <c r="AG522" i="1"/>
  <c r="AB522" i="1"/>
  <c r="AD522" i="1" s="1"/>
  <c r="AA522" i="1"/>
  <c r="AI521" i="1"/>
  <c r="AH521" i="1"/>
  <c r="AG521" i="1"/>
  <c r="AB521" i="1"/>
  <c r="AA521" i="1"/>
  <c r="AC521" i="1" s="1"/>
  <c r="AI520" i="1"/>
  <c r="AH520" i="1"/>
  <c r="AG520" i="1"/>
  <c r="AB520" i="1"/>
  <c r="AA520" i="1"/>
  <c r="AD520" i="1" s="1"/>
  <c r="AI519" i="1"/>
  <c r="AH519" i="1"/>
  <c r="AG519" i="1"/>
  <c r="AD519" i="1"/>
  <c r="AB519" i="1"/>
  <c r="AA519" i="1"/>
  <c r="AC519" i="1" s="1"/>
  <c r="AI518" i="1"/>
  <c r="AH518" i="1"/>
  <c r="AG518" i="1"/>
  <c r="AD518" i="1"/>
  <c r="AC518" i="1"/>
  <c r="AB518" i="1"/>
  <c r="AA518" i="1"/>
  <c r="AI517" i="1"/>
  <c r="AH517" i="1"/>
  <c r="AG517" i="1"/>
  <c r="AB517" i="1"/>
  <c r="AD517" i="1" s="1"/>
  <c r="AA517" i="1"/>
  <c r="AI516" i="1"/>
  <c r="AH516" i="1"/>
  <c r="AG516" i="1"/>
  <c r="AB516" i="1"/>
  <c r="AA516" i="1"/>
  <c r="AD516" i="1" s="1"/>
  <c r="AI515" i="1"/>
  <c r="AH515" i="1"/>
  <c r="AG515" i="1"/>
  <c r="AC515" i="1"/>
  <c r="AB515" i="1"/>
  <c r="AA515" i="1"/>
  <c r="AD515" i="1" s="1"/>
  <c r="AI514" i="1"/>
  <c r="AH514" i="1"/>
  <c r="AG514" i="1"/>
  <c r="AB514" i="1"/>
  <c r="AD514" i="1" s="1"/>
  <c r="AA514" i="1"/>
  <c r="AI513" i="1"/>
  <c r="AH513" i="1"/>
  <c r="AG513" i="1"/>
  <c r="AB513" i="1"/>
  <c r="AA513" i="1"/>
  <c r="AC513" i="1" s="1"/>
  <c r="AI512" i="1"/>
  <c r="AH512" i="1"/>
  <c r="AG512" i="1"/>
  <c r="AB512" i="1"/>
  <c r="AA512" i="1"/>
  <c r="AD512" i="1" s="1"/>
  <c r="AI511" i="1"/>
  <c r="AH511" i="1"/>
  <c r="AG511" i="1"/>
  <c r="AD511" i="1"/>
  <c r="AB511" i="1"/>
  <c r="AA511" i="1"/>
  <c r="AC511" i="1" s="1"/>
  <c r="AI510" i="1"/>
  <c r="AH510" i="1"/>
  <c r="AG510" i="1"/>
  <c r="AD510" i="1"/>
  <c r="AC510" i="1"/>
  <c r="AB510" i="1"/>
  <c r="AA510" i="1"/>
  <c r="AI509" i="1"/>
  <c r="AH509" i="1"/>
  <c r="AG509" i="1"/>
  <c r="AB509" i="1"/>
  <c r="AD509" i="1" s="1"/>
  <c r="AA509" i="1"/>
  <c r="AI508" i="1"/>
  <c r="AH508" i="1"/>
  <c r="AG508" i="1"/>
  <c r="AB508" i="1"/>
  <c r="AA508" i="1"/>
  <c r="AD508" i="1" s="1"/>
  <c r="AI507" i="1"/>
  <c r="AH507" i="1"/>
  <c r="AG507" i="1"/>
  <c r="AC507" i="1"/>
  <c r="AB507" i="1"/>
  <c r="AA507" i="1"/>
  <c r="AD507" i="1" s="1"/>
  <c r="AI506" i="1"/>
  <c r="AH506" i="1"/>
  <c r="AG506" i="1"/>
  <c r="AB506" i="1"/>
  <c r="AD506" i="1" s="1"/>
  <c r="AA506" i="1"/>
  <c r="AI505" i="1"/>
  <c r="AH505" i="1"/>
  <c r="AG505" i="1"/>
  <c r="AB505" i="1"/>
  <c r="AA505" i="1"/>
  <c r="AC505" i="1" s="1"/>
  <c r="AI504" i="1"/>
  <c r="AH504" i="1"/>
  <c r="AG504" i="1"/>
  <c r="AB504" i="1"/>
  <c r="AA504" i="1"/>
  <c r="AD504" i="1" s="1"/>
  <c r="AI503" i="1"/>
  <c r="AH503" i="1"/>
  <c r="AG503" i="1"/>
  <c r="AD503" i="1"/>
  <c r="AB503" i="1"/>
  <c r="AA503" i="1"/>
  <c r="AC503" i="1" s="1"/>
  <c r="AI502" i="1"/>
  <c r="AH502" i="1"/>
  <c r="AG502" i="1"/>
  <c r="AD502" i="1"/>
  <c r="AC502" i="1"/>
  <c r="AB502" i="1"/>
  <c r="AA502" i="1"/>
  <c r="AI501" i="1"/>
  <c r="AH501" i="1"/>
  <c r="AG501" i="1"/>
  <c r="AB501" i="1"/>
  <c r="AD501" i="1" s="1"/>
  <c r="AA501" i="1"/>
  <c r="AI500" i="1"/>
  <c r="AH500" i="1"/>
  <c r="AG500" i="1"/>
  <c r="AB500" i="1"/>
  <c r="AA500" i="1"/>
  <c r="AD500" i="1" s="1"/>
  <c r="AI499" i="1"/>
  <c r="AH499" i="1"/>
  <c r="AG499" i="1"/>
  <c r="AC499" i="1"/>
  <c r="AB499" i="1"/>
  <c r="AA499" i="1"/>
  <c r="AD499" i="1" s="1"/>
  <c r="AI498" i="1"/>
  <c r="AH498" i="1"/>
  <c r="AG498" i="1"/>
  <c r="AB498" i="1"/>
  <c r="AD498" i="1" s="1"/>
  <c r="AA498" i="1"/>
  <c r="AI497" i="1"/>
  <c r="AH497" i="1"/>
  <c r="AG497" i="1"/>
  <c r="AB497" i="1"/>
  <c r="AA497" i="1"/>
  <c r="AC497" i="1" s="1"/>
  <c r="AI496" i="1"/>
  <c r="AH496" i="1"/>
  <c r="AG496" i="1"/>
  <c r="AB496" i="1"/>
  <c r="AA496" i="1"/>
  <c r="AD496" i="1" s="1"/>
  <c r="AI495" i="1"/>
  <c r="AH495" i="1"/>
  <c r="AG495" i="1"/>
  <c r="AD495" i="1"/>
  <c r="AB495" i="1"/>
  <c r="AA495" i="1"/>
  <c r="AC495" i="1" s="1"/>
  <c r="AI494" i="1"/>
  <c r="AH494" i="1"/>
  <c r="AG494" i="1"/>
  <c r="AD494" i="1"/>
  <c r="AC494" i="1"/>
  <c r="AB494" i="1"/>
  <c r="AA494" i="1"/>
  <c r="AI493" i="1"/>
  <c r="AH493" i="1"/>
  <c r="AG493" i="1"/>
  <c r="AB493" i="1"/>
  <c r="AD493" i="1" s="1"/>
  <c r="AA493" i="1"/>
  <c r="AI492" i="1"/>
  <c r="AH492" i="1"/>
  <c r="AG492" i="1"/>
  <c r="AB492" i="1"/>
  <c r="AA492" i="1"/>
  <c r="AD492" i="1" s="1"/>
  <c r="AI491" i="1"/>
  <c r="AH491" i="1"/>
  <c r="AG491" i="1"/>
  <c r="AC491" i="1"/>
  <c r="AB491" i="1"/>
  <c r="AA491" i="1"/>
  <c r="AD491" i="1" s="1"/>
  <c r="AI490" i="1"/>
  <c r="AH490" i="1"/>
  <c r="AG490" i="1"/>
  <c r="AB490" i="1"/>
  <c r="AD490" i="1" s="1"/>
  <c r="AA490" i="1"/>
  <c r="AI489" i="1"/>
  <c r="AH489" i="1"/>
  <c r="AG489" i="1"/>
  <c r="AB489" i="1"/>
  <c r="AA489" i="1"/>
  <c r="AC489" i="1" s="1"/>
  <c r="AI488" i="1"/>
  <c r="AH488" i="1"/>
  <c r="AG488" i="1"/>
  <c r="AB488" i="1"/>
  <c r="AA488" i="1"/>
  <c r="AD488" i="1" s="1"/>
  <c r="AI487" i="1"/>
  <c r="AH487" i="1"/>
  <c r="AG487" i="1"/>
  <c r="AD487" i="1"/>
  <c r="AB487" i="1"/>
  <c r="AA487" i="1"/>
  <c r="AC487" i="1" s="1"/>
  <c r="AI486" i="1"/>
  <c r="AH486" i="1"/>
  <c r="AG486" i="1"/>
  <c r="AD486" i="1"/>
  <c r="AC486" i="1"/>
  <c r="AB486" i="1"/>
  <c r="AA486" i="1"/>
  <c r="AI485" i="1"/>
  <c r="AH485" i="1"/>
  <c r="AG485" i="1"/>
  <c r="AB485" i="1"/>
  <c r="AD485" i="1" s="1"/>
  <c r="AA485" i="1"/>
  <c r="AI484" i="1"/>
  <c r="AH484" i="1"/>
  <c r="AG484" i="1"/>
  <c r="AB484" i="1"/>
  <c r="AA484" i="1"/>
  <c r="AD484" i="1" s="1"/>
  <c r="AI483" i="1"/>
  <c r="AH483" i="1"/>
  <c r="AG483" i="1"/>
  <c r="AC483" i="1"/>
  <c r="AB483" i="1"/>
  <c r="AA483" i="1"/>
  <c r="AD483" i="1" s="1"/>
  <c r="AI482" i="1"/>
  <c r="AH482" i="1"/>
  <c r="AG482" i="1"/>
  <c r="AB482" i="1"/>
  <c r="AD482" i="1" s="1"/>
  <c r="AA482" i="1"/>
  <c r="AI481" i="1"/>
  <c r="AH481" i="1"/>
  <c r="AG481" i="1"/>
  <c r="AB481" i="1"/>
  <c r="AA481" i="1"/>
  <c r="AC481" i="1" s="1"/>
  <c r="AI480" i="1"/>
  <c r="AH480" i="1"/>
  <c r="AG480" i="1"/>
  <c r="AB480" i="1"/>
  <c r="AA480" i="1"/>
  <c r="AD480" i="1" s="1"/>
  <c r="AI479" i="1"/>
  <c r="AH479" i="1"/>
  <c r="AG479" i="1"/>
  <c r="AD479" i="1"/>
  <c r="AB479" i="1"/>
  <c r="AA479" i="1"/>
  <c r="AC479" i="1" s="1"/>
  <c r="AI478" i="1"/>
  <c r="AH478" i="1"/>
  <c r="AG478" i="1"/>
  <c r="AD478" i="1"/>
  <c r="AC478" i="1"/>
  <c r="AB478" i="1"/>
  <c r="AA478" i="1"/>
  <c r="AI477" i="1"/>
  <c r="AH477" i="1"/>
  <c r="AG477" i="1"/>
  <c r="AB477" i="1"/>
  <c r="AD477" i="1" s="1"/>
  <c r="AA477" i="1"/>
  <c r="AI476" i="1"/>
  <c r="AH476" i="1"/>
  <c r="AG476" i="1"/>
  <c r="AB476" i="1"/>
  <c r="AA476" i="1"/>
  <c r="AD476" i="1" s="1"/>
  <c r="AI475" i="1"/>
  <c r="AH475" i="1"/>
  <c r="AG475" i="1"/>
  <c r="AC475" i="1"/>
  <c r="AB475" i="1"/>
  <c r="AA475" i="1"/>
  <c r="AD475" i="1" s="1"/>
  <c r="AI474" i="1"/>
  <c r="AH474" i="1"/>
  <c r="AG474" i="1"/>
  <c r="AB474" i="1"/>
  <c r="AD474" i="1" s="1"/>
  <c r="AA474" i="1"/>
  <c r="AI473" i="1"/>
  <c r="AH473" i="1"/>
  <c r="AG473" i="1"/>
  <c r="AB473" i="1"/>
  <c r="AA473" i="1"/>
  <c r="AC473" i="1" s="1"/>
  <c r="AI472" i="1"/>
  <c r="AH472" i="1"/>
  <c r="AG472" i="1"/>
  <c r="AB472" i="1"/>
  <c r="AA472" i="1"/>
  <c r="AD472" i="1" s="1"/>
  <c r="AI471" i="1"/>
  <c r="AH471" i="1"/>
  <c r="AG471" i="1"/>
  <c r="AD471" i="1"/>
  <c r="AB471" i="1"/>
  <c r="AA471" i="1"/>
  <c r="AC471" i="1" s="1"/>
  <c r="AI470" i="1"/>
  <c r="AH470" i="1"/>
  <c r="AG470" i="1"/>
  <c r="AD470" i="1"/>
  <c r="AC470" i="1"/>
  <c r="AB470" i="1"/>
  <c r="AA470" i="1"/>
  <c r="AI469" i="1"/>
  <c r="AH469" i="1"/>
  <c r="AG469" i="1"/>
  <c r="AB469" i="1"/>
  <c r="AA469" i="1"/>
  <c r="AI468" i="1"/>
  <c r="AH468" i="1"/>
  <c r="AG468" i="1"/>
  <c r="AB468" i="1"/>
  <c r="AA468" i="1"/>
  <c r="AI467" i="1"/>
  <c r="AH467" i="1"/>
  <c r="AG467" i="1"/>
  <c r="AC467" i="1"/>
  <c r="AB467" i="1"/>
  <c r="AA467" i="1"/>
  <c r="AD467" i="1" s="1"/>
  <c r="AI466" i="1"/>
  <c r="AH466" i="1"/>
  <c r="AG466" i="1"/>
  <c r="AB466" i="1"/>
  <c r="AD466" i="1" s="1"/>
  <c r="AA466" i="1"/>
  <c r="AI465" i="1"/>
  <c r="AH465" i="1"/>
  <c r="AG465" i="1"/>
  <c r="AB465" i="1"/>
  <c r="AA465" i="1"/>
  <c r="AC465" i="1" s="1"/>
  <c r="AI464" i="1"/>
  <c r="AH464" i="1"/>
  <c r="AG464" i="1"/>
  <c r="AB464" i="1"/>
  <c r="AA464" i="1"/>
  <c r="AD464" i="1" s="1"/>
  <c r="AI463" i="1"/>
  <c r="AH463" i="1"/>
  <c r="AG463" i="1"/>
  <c r="AD463" i="1"/>
  <c r="AB463" i="1"/>
  <c r="AA463" i="1"/>
  <c r="AC463" i="1" s="1"/>
  <c r="AI462" i="1"/>
  <c r="AH462" i="1"/>
  <c r="AG462" i="1"/>
  <c r="AD462" i="1"/>
  <c r="AC462" i="1"/>
  <c r="AB462" i="1"/>
  <c r="AA462" i="1"/>
  <c r="AI461" i="1"/>
  <c r="AH461" i="1"/>
  <c r="AG461" i="1"/>
  <c r="AB461" i="1"/>
  <c r="AA461" i="1"/>
  <c r="AI460" i="1"/>
  <c r="AH460" i="1"/>
  <c r="AG460" i="1"/>
  <c r="AB460" i="1"/>
  <c r="AA460" i="1"/>
  <c r="AI459" i="1"/>
  <c r="AH459" i="1"/>
  <c r="AG459" i="1"/>
  <c r="AC459" i="1"/>
  <c r="AB459" i="1"/>
  <c r="AA459" i="1"/>
  <c r="AD459" i="1" s="1"/>
  <c r="AI458" i="1"/>
  <c r="AH458" i="1"/>
  <c r="AG458" i="1"/>
  <c r="AB458" i="1"/>
  <c r="AD458" i="1" s="1"/>
  <c r="AA458" i="1"/>
  <c r="AI457" i="1"/>
  <c r="AH457" i="1"/>
  <c r="AG457" i="1"/>
  <c r="AB457" i="1"/>
  <c r="AA457" i="1"/>
  <c r="AC457" i="1" s="1"/>
  <c r="AI456" i="1"/>
  <c r="AH456" i="1"/>
  <c r="AG456" i="1"/>
  <c r="AB456" i="1"/>
  <c r="AA456" i="1"/>
  <c r="AD456" i="1" s="1"/>
  <c r="AI455" i="1"/>
  <c r="AH455" i="1"/>
  <c r="AG455" i="1"/>
  <c r="AD455" i="1"/>
  <c r="AB455" i="1"/>
  <c r="AA455" i="1"/>
  <c r="AC455" i="1" s="1"/>
  <c r="AI454" i="1"/>
  <c r="AH454" i="1"/>
  <c r="AG454" i="1"/>
  <c r="AD454" i="1"/>
  <c r="AC454" i="1"/>
  <c r="AB454" i="1"/>
  <c r="AA454" i="1"/>
  <c r="AI453" i="1"/>
  <c r="AH453" i="1"/>
  <c r="AG453" i="1"/>
  <c r="AB453" i="1"/>
  <c r="AA453" i="1"/>
  <c r="AI452" i="1"/>
  <c r="AH452" i="1"/>
  <c r="AG452" i="1"/>
  <c r="AB452" i="1"/>
  <c r="AA452" i="1"/>
  <c r="AI451" i="1"/>
  <c r="AH451" i="1"/>
  <c r="AG451" i="1"/>
  <c r="AC451" i="1"/>
  <c r="AB451" i="1"/>
  <c r="AA451" i="1"/>
  <c r="AD451" i="1" s="1"/>
  <c r="AI450" i="1"/>
  <c r="AH450" i="1"/>
  <c r="AG450" i="1"/>
  <c r="AB450" i="1"/>
  <c r="AD450" i="1" s="1"/>
  <c r="AA450" i="1"/>
  <c r="AI449" i="1"/>
  <c r="AH449" i="1"/>
  <c r="AG449" i="1"/>
  <c r="AB449" i="1"/>
  <c r="AA449" i="1"/>
  <c r="AC449" i="1" s="1"/>
  <c r="AI448" i="1"/>
  <c r="AH448" i="1"/>
  <c r="AG448" i="1"/>
  <c r="AB448" i="1"/>
  <c r="AA448" i="1"/>
  <c r="AD448" i="1" s="1"/>
  <c r="AI447" i="1"/>
  <c r="AH447" i="1"/>
  <c r="AG447" i="1"/>
  <c r="AD447" i="1"/>
  <c r="AB447" i="1"/>
  <c r="AA447" i="1"/>
  <c r="AC447" i="1" s="1"/>
  <c r="AI446" i="1"/>
  <c r="AH446" i="1"/>
  <c r="AG446" i="1"/>
  <c r="AD446" i="1"/>
  <c r="AC446" i="1"/>
  <c r="AB446" i="1"/>
  <c r="AA446" i="1"/>
  <c r="AI445" i="1"/>
  <c r="AH445" i="1"/>
  <c r="AG445" i="1"/>
  <c r="AB445" i="1"/>
  <c r="AA445" i="1"/>
  <c r="AI444" i="1"/>
  <c r="AH444" i="1"/>
  <c r="AG444" i="1"/>
  <c r="AB444" i="1"/>
  <c r="AA444" i="1"/>
  <c r="AI443" i="1"/>
  <c r="AH443" i="1"/>
  <c r="AG443" i="1"/>
  <c r="AC443" i="1"/>
  <c r="AB443" i="1"/>
  <c r="AA443" i="1"/>
  <c r="AD443" i="1" s="1"/>
  <c r="AI442" i="1"/>
  <c r="AH442" i="1"/>
  <c r="AG442" i="1"/>
  <c r="AB442" i="1"/>
  <c r="AD442" i="1" s="1"/>
  <c r="AA442" i="1"/>
  <c r="AI441" i="1"/>
  <c r="AH441" i="1"/>
  <c r="AG441" i="1"/>
  <c r="AB441" i="1"/>
  <c r="AA441" i="1"/>
  <c r="AC441" i="1" s="1"/>
  <c r="AI440" i="1"/>
  <c r="AH440" i="1"/>
  <c r="AG440" i="1"/>
  <c r="AB440" i="1"/>
  <c r="AA440" i="1"/>
  <c r="AD440" i="1" s="1"/>
  <c r="AI439" i="1"/>
  <c r="AH439" i="1"/>
  <c r="AG439" i="1"/>
  <c r="AD439" i="1"/>
  <c r="AB439" i="1"/>
  <c r="AA439" i="1"/>
  <c r="AC439" i="1" s="1"/>
  <c r="AI438" i="1"/>
  <c r="AH438" i="1"/>
  <c r="AG438" i="1"/>
  <c r="AD438" i="1"/>
  <c r="AC438" i="1"/>
  <c r="AB438" i="1"/>
  <c r="AA438" i="1"/>
  <c r="AI437" i="1"/>
  <c r="AH437" i="1"/>
  <c r="AG437" i="1"/>
  <c r="AB437" i="1"/>
  <c r="AA437" i="1"/>
  <c r="AI436" i="1"/>
  <c r="AH436" i="1"/>
  <c r="AG436" i="1"/>
  <c r="AB436" i="1"/>
  <c r="AA436" i="1"/>
  <c r="AI435" i="1"/>
  <c r="AH435" i="1"/>
  <c r="AG435" i="1"/>
  <c r="AC435" i="1"/>
  <c r="AB435" i="1"/>
  <c r="AA435" i="1"/>
  <c r="AD435" i="1" s="1"/>
  <c r="AI434" i="1"/>
  <c r="AH434" i="1"/>
  <c r="AG434" i="1"/>
  <c r="AB434" i="1"/>
  <c r="AD434" i="1" s="1"/>
  <c r="AA434" i="1"/>
  <c r="AI433" i="1"/>
  <c r="AH433" i="1"/>
  <c r="AG433" i="1"/>
  <c r="AB433" i="1"/>
  <c r="AA433" i="1"/>
  <c r="AC433" i="1" s="1"/>
  <c r="AI432" i="1"/>
  <c r="AH432" i="1"/>
  <c r="AG432" i="1"/>
  <c r="AB432" i="1"/>
  <c r="AA432" i="1"/>
  <c r="AD432" i="1" s="1"/>
  <c r="AI431" i="1"/>
  <c r="AH431" i="1"/>
  <c r="AG431" i="1"/>
  <c r="AD431" i="1"/>
  <c r="AB431" i="1"/>
  <c r="AA431" i="1"/>
  <c r="AC431" i="1" s="1"/>
  <c r="AI430" i="1"/>
  <c r="AH430" i="1"/>
  <c r="AG430" i="1"/>
  <c r="AD430" i="1"/>
  <c r="AC430" i="1"/>
  <c r="AB430" i="1"/>
  <c r="AA430" i="1"/>
  <c r="AI429" i="1"/>
  <c r="AH429" i="1"/>
  <c r="AG429" i="1"/>
  <c r="AB429" i="1"/>
  <c r="AA429" i="1"/>
  <c r="AI428" i="1"/>
  <c r="AH428" i="1"/>
  <c r="AG428" i="1"/>
  <c r="AB428" i="1"/>
  <c r="AA428" i="1"/>
  <c r="AC428" i="1" s="1"/>
  <c r="AI427" i="1"/>
  <c r="AH427" i="1"/>
  <c r="AG427" i="1"/>
  <c r="AD427" i="1"/>
  <c r="AC427" i="1"/>
  <c r="AB427" i="1"/>
  <c r="AA427" i="1"/>
  <c r="AI426" i="1"/>
  <c r="AH426" i="1"/>
  <c r="AG426" i="1"/>
  <c r="AB426" i="1"/>
  <c r="AA426" i="1"/>
  <c r="AI425" i="1"/>
  <c r="AH425" i="1"/>
  <c r="AG425" i="1"/>
  <c r="AB425" i="1"/>
  <c r="AA425" i="1"/>
  <c r="AI424" i="1"/>
  <c r="AH424" i="1"/>
  <c r="AG424" i="1"/>
  <c r="AB424" i="1"/>
  <c r="AA424" i="1"/>
  <c r="AD424" i="1" s="1"/>
  <c r="AI423" i="1"/>
  <c r="AH423" i="1"/>
  <c r="AG423" i="1"/>
  <c r="AD423" i="1"/>
  <c r="AB423" i="1"/>
  <c r="AA423" i="1"/>
  <c r="AC423" i="1" s="1"/>
  <c r="AI422" i="1"/>
  <c r="AH422" i="1"/>
  <c r="AG422" i="1"/>
  <c r="AD422" i="1"/>
  <c r="AC422" i="1"/>
  <c r="AB422" i="1"/>
  <c r="AA422" i="1"/>
  <c r="AI421" i="1"/>
  <c r="AH421" i="1"/>
  <c r="AG421" i="1"/>
  <c r="AB421" i="1"/>
  <c r="AA421" i="1"/>
  <c r="AI420" i="1"/>
  <c r="AH420" i="1"/>
  <c r="AG420" i="1"/>
  <c r="AB420" i="1"/>
  <c r="AA420" i="1"/>
  <c r="AC420" i="1" s="1"/>
  <c r="AI419" i="1"/>
  <c r="AH419" i="1"/>
  <c r="AG419" i="1"/>
  <c r="AD419" i="1"/>
  <c r="AC419" i="1"/>
  <c r="AB419" i="1"/>
  <c r="AA419" i="1"/>
  <c r="AI418" i="1"/>
  <c r="AH418" i="1"/>
  <c r="AG418" i="1"/>
  <c r="AB418" i="1"/>
  <c r="AA418" i="1"/>
  <c r="AI417" i="1"/>
  <c r="AH417" i="1"/>
  <c r="AG417" i="1"/>
  <c r="AB417" i="1"/>
  <c r="AA417" i="1"/>
  <c r="AI416" i="1"/>
  <c r="AH416" i="1"/>
  <c r="AG416" i="1"/>
  <c r="AB416" i="1"/>
  <c r="AA416" i="1"/>
  <c r="AD416" i="1" s="1"/>
  <c r="AI415" i="1"/>
  <c r="AH415" i="1"/>
  <c r="AG415" i="1"/>
  <c r="AD415" i="1"/>
  <c r="AB415" i="1"/>
  <c r="AA415" i="1"/>
  <c r="AC415" i="1" s="1"/>
  <c r="AI414" i="1"/>
  <c r="AH414" i="1"/>
  <c r="AG414" i="1"/>
  <c r="AD414" i="1"/>
  <c r="AC414" i="1"/>
  <c r="AB414" i="1"/>
  <c r="AA414" i="1"/>
  <c r="AI413" i="1"/>
  <c r="AH413" i="1"/>
  <c r="AG413" i="1"/>
  <c r="AB413" i="1"/>
  <c r="AA413" i="1"/>
  <c r="AI412" i="1"/>
  <c r="AH412" i="1"/>
  <c r="AG412" i="1"/>
  <c r="AD412" i="1"/>
  <c r="AB412" i="1"/>
  <c r="AA412" i="1"/>
  <c r="AC412" i="1" s="1"/>
  <c r="AI411" i="1"/>
  <c r="AH411" i="1"/>
  <c r="AG411" i="1"/>
  <c r="AD411" i="1"/>
  <c r="AC411" i="1"/>
  <c r="AB411" i="1"/>
  <c r="AA411" i="1"/>
  <c r="AI410" i="1"/>
  <c r="AH410" i="1"/>
  <c r="AG410" i="1"/>
  <c r="AB410" i="1"/>
  <c r="AA410" i="1"/>
  <c r="AI409" i="1"/>
  <c r="AH409" i="1"/>
  <c r="AG409" i="1"/>
  <c r="AB409" i="1"/>
  <c r="AA409" i="1"/>
  <c r="AI408" i="1"/>
  <c r="AH408" i="1"/>
  <c r="AG408" i="1"/>
  <c r="AB408" i="1"/>
  <c r="AA408" i="1"/>
  <c r="AD408" i="1" s="1"/>
  <c r="AI407" i="1"/>
  <c r="AH407" i="1"/>
  <c r="AG407" i="1"/>
  <c r="AD407" i="1"/>
  <c r="AB407" i="1"/>
  <c r="AA407" i="1"/>
  <c r="AC407" i="1" s="1"/>
  <c r="AI406" i="1"/>
  <c r="AH406" i="1"/>
  <c r="AG406" i="1"/>
  <c r="AD406" i="1"/>
  <c r="AC406" i="1"/>
  <c r="AB406" i="1"/>
  <c r="AA406" i="1"/>
  <c r="AI405" i="1"/>
  <c r="AH405" i="1"/>
  <c r="AG405" i="1"/>
  <c r="AB405" i="1"/>
  <c r="AA405" i="1"/>
  <c r="AI404" i="1"/>
  <c r="AH404" i="1"/>
  <c r="AG404" i="1"/>
  <c r="AB404" i="1"/>
  <c r="AA404" i="1"/>
  <c r="AC404" i="1" s="1"/>
  <c r="AI403" i="1"/>
  <c r="AH403" i="1"/>
  <c r="AG403" i="1"/>
  <c r="AD403" i="1"/>
  <c r="AC403" i="1"/>
  <c r="AB403" i="1"/>
  <c r="AA403" i="1"/>
  <c r="AI402" i="1"/>
  <c r="AH402" i="1"/>
  <c r="AG402" i="1"/>
  <c r="AB402" i="1"/>
  <c r="AA402" i="1"/>
  <c r="AI401" i="1"/>
  <c r="AH401" i="1"/>
  <c r="AG401" i="1"/>
  <c r="AB401" i="1"/>
  <c r="AA401" i="1"/>
  <c r="AI400" i="1"/>
  <c r="AH400" i="1"/>
  <c r="AG400" i="1"/>
  <c r="AB400" i="1"/>
  <c r="AA400" i="1"/>
  <c r="AD400" i="1" s="1"/>
  <c r="AI399" i="1"/>
  <c r="AH399" i="1"/>
  <c r="AG399" i="1"/>
  <c r="AD399" i="1"/>
  <c r="AB399" i="1"/>
  <c r="AA399" i="1"/>
  <c r="AC399" i="1" s="1"/>
  <c r="AI398" i="1"/>
  <c r="AH398" i="1"/>
  <c r="AG398" i="1"/>
  <c r="AD398" i="1"/>
  <c r="AC398" i="1"/>
  <c r="AB398" i="1"/>
  <c r="AA398" i="1"/>
  <c r="AI397" i="1"/>
  <c r="AH397" i="1"/>
  <c r="AG397" i="1"/>
  <c r="AB397" i="1"/>
  <c r="AA397" i="1"/>
  <c r="AI396" i="1"/>
  <c r="AH396" i="1"/>
  <c r="AG396" i="1"/>
  <c r="AB396" i="1"/>
  <c r="AA396" i="1"/>
  <c r="AC396" i="1" s="1"/>
  <c r="AI395" i="1"/>
  <c r="AH395" i="1"/>
  <c r="AG395" i="1"/>
  <c r="AD395" i="1"/>
  <c r="AC395" i="1"/>
  <c r="AB395" i="1"/>
  <c r="AA395" i="1"/>
  <c r="AI394" i="1"/>
  <c r="AH394" i="1"/>
  <c r="AG394" i="1"/>
  <c r="AB394" i="1"/>
  <c r="AA394" i="1"/>
  <c r="AI393" i="1"/>
  <c r="AH393" i="1"/>
  <c r="AG393" i="1"/>
  <c r="AB393" i="1"/>
  <c r="AA393" i="1"/>
  <c r="AI392" i="1"/>
  <c r="AH392" i="1"/>
  <c r="AG392" i="1"/>
  <c r="AB392" i="1"/>
  <c r="AA392" i="1"/>
  <c r="AD392" i="1" s="1"/>
  <c r="AI391" i="1"/>
  <c r="AH391" i="1"/>
  <c r="AG391" i="1"/>
  <c r="AD391" i="1"/>
  <c r="AB391" i="1"/>
  <c r="AA391" i="1"/>
  <c r="AC391" i="1" s="1"/>
  <c r="AI390" i="1"/>
  <c r="AH390" i="1"/>
  <c r="AG390" i="1"/>
  <c r="AD390" i="1"/>
  <c r="AC390" i="1"/>
  <c r="AB390" i="1"/>
  <c r="AA390" i="1"/>
  <c r="AI389" i="1"/>
  <c r="AH389" i="1"/>
  <c r="AG389" i="1"/>
  <c r="AB389" i="1"/>
  <c r="AA389" i="1"/>
  <c r="AI388" i="1"/>
  <c r="AH388" i="1"/>
  <c r="AG388" i="1"/>
  <c r="AB388" i="1"/>
  <c r="AA388" i="1"/>
  <c r="AC388" i="1" s="1"/>
  <c r="AI387" i="1"/>
  <c r="AH387" i="1"/>
  <c r="AG387" i="1"/>
  <c r="AD387" i="1"/>
  <c r="AC387" i="1"/>
  <c r="AB387" i="1"/>
  <c r="AA387" i="1"/>
  <c r="AI386" i="1"/>
  <c r="AH386" i="1"/>
  <c r="AG386" i="1"/>
  <c r="AB386" i="1"/>
  <c r="AA386" i="1"/>
  <c r="AI385" i="1"/>
  <c r="AH385" i="1"/>
  <c r="AG385" i="1"/>
  <c r="AB385" i="1"/>
  <c r="AA385" i="1"/>
  <c r="AI384" i="1"/>
  <c r="AH384" i="1"/>
  <c r="AG384" i="1"/>
  <c r="AB384" i="1"/>
  <c r="AA384" i="1"/>
  <c r="AD384" i="1" s="1"/>
  <c r="AI383" i="1"/>
  <c r="AH383" i="1"/>
  <c r="AG383" i="1"/>
  <c r="AD383" i="1"/>
  <c r="AB383" i="1"/>
  <c r="AA383" i="1"/>
  <c r="AC383" i="1" s="1"/>
  <c r="AI382" i="1"/>
  <c r="AH382" i="1"/>
  <c r="AG382" i="1"/>
  <c r="AD382" i="1"/>
  <c r="AC382" i="1"/>
  <c r="AB382" i="1"/>
  <c r="AA382" i="1"/>
  <c r="AI381" i="1"/>
  <c r="AH381" i="1"/>
  <c r="AG381" i="1"/>
  <c r="AB381" i="1"/>
  <c r="AA381" i="1"/>
  <c r="AI380" i="1"/>
  <c r="AH380" i="1"/>
  <c r="AG380" i="1"/>
  <c r="AD380" i="1"/>
  <c r="AB380" i="1"/>
  <c r="AA380" i="1"/>
  <c r="AC380" i="1" s="1"/>
  <c r="AI379" i="1"/>
  <c r="AH379" i="1"/>
  <c r="AG379" i="1"/>
  <c r="AD379" i="1"/>
  <c r="AC379" i="1"/>
  <c r="AB379" i="1"/>
  <c r="AA379" i="1"/>
  <c r="AI378" i="1"/>
  <c r="AH378" i="1"/>
  <c r="AG378" i="1"/>
  <c r="AB378" i="1"/>
  <c r="AA378" i="1"/>
  <c r="AI377" i="1"/>
  <c r="AH377" i="1"/>
  <c r="AG377" i="1"/>
  <c r="AB377" i="1"/>
  <c r="AA377" i="1"/>
  <c r="AI376" i="1"/>
  <c r="AH376" i="1"/>
  <c r="AG376" i="1"/>
  <c r="AB376" i="1"/>
  <c r="AA376" i="1"/>
  <c r="AD376" i="1" s="1"/>
  <c r="AI375" i="1"/>
  <c r="AH375" i="1"/>
  <c r="AG375" i="1"/>
  <c r="AD375" i="1"/>
  <c r="AB375" i="1"/>
  <c r="AA375" i="1"/>
  <c r="AC375" i="1" s="1"/>
  <c r="AI374" i="1"/>
  <c r="AH374" i="1"/>
  <c r="AG374" i="1"/>
  <c r="AD374" i="1"/>
  <c r="AC374" i="1"/>
  <c r="AB374" i="1"/>
  <c r="AA374" i="1"/>
  <c r="AI373" i="1"/>
  <c r="AH373" i="1"/>
  <c r="AG373" i="1"/>
  <c r="AB373" i="1"/>
  <c r="AA373" i="1"/>
  <c r="AI372" i="1"/>
  <c r="AH372" i="1"/>
  <c r="AG372" i="1"/>
  <c r="AB372" i="1"/>
  <c r="AA372" i="1"/>
  <c r="AC372" i="1" s="1"/>
  <c r="AI371" i="1"/>
  <c r="AH371" i="1"/>
  <c r="AG371" i="1"/>
  <c r="AD371" i="1"/>
  <c r="AC371" i="1"/>
  <c r="AB371" i="1"/>
  <c r="AA371" i="1"/>
  <c r="AI370" i="1"/>
  <c r="AH370" i="1"/>
  <c r="AG370" i="1"/>
  <c r="AC370" i="1"/>
  <c r="AB370" i="1"/>
  <c r="AD370" i="1" s="1"/>
  <c r="AA370" i="1"/>
  <c r="AI369" i="1"/>
  <c r="AH369" i="1"/>
  <c r="AG369" i="1"/>
  <c r="AB369" i="1"/>
  <c r="AA369" i="1"/>
  <c r="AI368" i="1"/>
  <c r="AH368" i="1"/>
  <c r="AG368" i="1"/>
  <c r="AB368" i="1"/>
  <c r="AA368" i="1"/>
  <c r="AI367" i="1"/>
  <c r="AH367" i="1"/>
  <c r="AG367" i="1"/>
  <c r="AD367" i="1"/>
  <c r="AB367" i="1"/>
  <c r="AA367" i="1"/>
  <c r="AC367" i="1" s="1"/>
  <c r="AI366" i="1"/>
  <c r="AH366" i="1"/>
  <c r="AG366" i="1"/>
  <c r="AD366" i="1"/>
  <c r="AC366" i="1"/>
  <c r="AB366" i="1"/>
  <c r="AA366" i="1"/>
  <c r="AI365" i="1"/>
  <c r="AH365" i="1"/>
  <c r="AG365" i="1"/>
  <c r="AB365" i="1"/>
  <c r="AA365" i="1"/>
  <c r="AI364" i="1"/>
  <c r="AH364" i="1"/>
  <c r="AG364" i="1"/>
  <c r="AD364" i="1"/>
  <c r="AB364" i="1"/>
  <c r="AA364" i="1"/>
  <c r="AC364" i="1" s="1"/>
  <c r="AI363" i="1"/>
  <c r="AH363" i="1"/>
  <c r="AG363" i="1"/>
  <c r="AD363" i="1"/>
  <c r="AC363" i="1"/>
  <c r="AB363" i="1"/>
  <c r="AA363" i="1"/>
  <c r="AI362" i="1"/>
  <c r="AH362" i="1"/>
  <c r="AG362" i="1"/>
  <c r="AB362" i="1"/>
  <c r="AD362" i="1" s="1"/>
  <c r="AA362" i="1"/>
  <c r="AI361" i="1"/>
  <c r="AH361" i="1"/>
  <c r="AG361" i="1"/>
  <c r="AB361" i="1"/>
  <c r="AA361" i="1"/>
  <c r="AI360" i="1"/>
  <c r="AH360" i="1"/>
  <c r="AG360" i="1"/>
  <c r="AB360" i="1"/>
  <c r="AA360" i="1"/>
  <c r="AI359" i="1"/>
  <c r="AH359" i="1"/>
  <c r="AG359" i="1"/>
  <c r="AD359" i="1"/>
  <c r="AB359" i="1"/>
  <c r="AA359" i="1"/>
  <c r="AC359" i="1" s="1"/>
  <c r="AI358" i="1"/>
  <c r="AH358" i="1"/>
  <c r="AG358" i="1"/>
  <c r="AD358" i="1"/>
  <c r="AC358" i="1"/>
  <c r="AB358" i="1"/>
  <c r="AA358" i="1"/>
  <c r="AI357" i="1"/>
  <c r="AH357" i="1"/>
  <c r="AG357" i="1"/>
  <c r="AB357" i="1"/>
  <c r="AA357" i="1"/>
  <c r="AI356" i="1"/>
  <c r="AH356" i="1"/>
  <c r="AG356" i="1"/>
  <c r="AB356" i="1"/>
  <c r="AA356" i="1"/>
  <c r="AC356" i="1" s="1"/>
  <c r="AI355" i="1"/>
  <c r="AH355" i="1"/>
  <c r="AG355" i="1"/>
  <c r="AD355" i="1"/>
  <c r="AC355" i="1"/>
  <c r="AB355" i="1"/>
  <c r="AA355" i="1"/>
  <c r="AI354" i="1"/>
  <c r="AH354" i="1"/>
  <c r="AG354" i="1"/>
  <c r="AB354" i="1"/>
  <c r="AD354" i="1" s="1"/>
  <c r="AA354" i="1"/>
  <c r="AI353" i="1"/>
  <c r="AH353" i="1"/>
  <c r="AG353" i="1"/>
  <c r="AC353" i="1"/>
  <c r="AB353" i="1"/>
  <c r="AA353" i="1"/>
  <c r="AD353" i="1" s="1"/>
  <c r="AI352" i="1"/>
  <c r="AH352" i="1"/>
  <c r="AG352" i="1"/>
  <c r="AB352" i="1"/>
  <c r="AA352" i="1"/>
  <c r="AI351" i="1"/>
  <c r="AH351" i="1"/>
  <c r="AG351" i="1"/>
  <c r="AD351" i="1"/>
  <c r="AB351" i="1"/>
  <c r="AA351" i="1"/>
  <c r="AC351" i="1" s="1"/>
  <c r="AI350" i="1"/>
  <c r="AH350" i="1"/>
  <c r="AG350" i="1"/>
  <c r="AD350" i="1"/>
  <c r="AC350" i="1"/>
  <c r="AB350" i="1"/>
  <c r="AA350" i="1"/>
  <c r="AI349" i="1"/>
  <c r="AH349" i="1"/>
  <c r="AG349" i="1"/>
  <c r="AB349" i="1"/>
  <c r="AA349" i="1"/>
  <c r="AI348" i="1"/>
  <c r="AH348" i="1"/>
  <c r="AG348" i="1"/>
  <c r="AD348" i="1"/>
  <c r="AB348" i="1"/>
  <c r="AA348" i="1"/>
  <c r="AC348" i="1" s="1"/>
  <c r="AI347" i="1"/>
  <c r="AH347" i="1"/>
  <c r="AG347" i="1"/>
  <c r="AD347" i="1"/>
  <c r="AC347" i="1"/>
  <c r="AB347" i="1"/>
  <c r="AA347" i="1"/>
  <c r="AI346" i="1"/>
  <c r="AH346" i="1"/>
  <c r="AG346" i="1"/>
  <c r="AC346" i="1"/>
  <c r="AB346" i="1"/>
  <c r="AD346" i="1" s="1"/>
  <c r="AA346" i="1"/>
  <c r="AI345" i="1"/>
  <c r="AH345" i="1"/>
  <c r="AG345" i="1"/>
  <c r="AB345" i="1"/>
  <c r="AA345" i="1"/>
  <c r="AD345" i="1" s="1"/>
  <c r="AI344" i="1"/>
  <c r="AH344" i="1"/>
  <c r="AG344" i="1"/>
  <c r="AB344" i="1"/>
  <c r="AA344" i="1"/>
  <c r="AI343" i="1"/>
  <c r="AH343" i="1"/>
  <c r="AG343" i="1"/>
  <c r="AB343" i="1"/>
  <c r="AA343" i="1"/>
  <c r="AC343" i="1" s="1"/>
  <c r="AI342" i="1"/>
  <c r="AH342" i="1"/>
  <c r="AG342" i="1"/>
  <c r="AD342" i="1"/>
  <c r="AC342" i="1"/>
  <c r="AB342" i="1"/>
  <c r="AA342" i="1"/>
  <c r="AI341" i="1"/>
  <c r="AH341" i="1"/>
  <c r="AG341" i="1"/>
  <c r="AB341" i="1"/>
  <c r="AD341" i="1" s="1"/>
  <c r="AA341" i="1"/>
  <c r="AI340" i="1"/>
  <c r="AH340" i="1"/>
  <c r="AG340" i="1"/>
  <c r="AB340" i="1"/>
  <c r="AD340" i="1" s="1"/>
  <c r="AA340" i="1"/>
  <c r="AI339" i="1"/>
  <c r="AH339" i="1"/>
  <c r="AG339" i="1"/>
  <c r="AD339" i="1"/>
  <c r="AC339" i="1"/>
  <c r="AB339" i="1"/>
  <c r="AA339" i="1"/>
  <c r="AI338" i="1"/>
  <c r="AH338" i="1"/>
  <c r="AG338" i="1"/>
  <c r="AC338" i="1"/>
  <c r="AB338" i="1"/>
  <c r="AD338" i="1" s="1"/>
  <c r="AA338" i="1"/>
  <c r="AI337" i="1"/>
  <c r="AH337" i="1"/>
  <c r="AG337" i="1"/>
  <c r="AC337" i="1"/>
  <c r="AB337" i="1"/>
  <c r="AA337" i="1"/>
  <c r="AD337" i="1" s="1"/>
  <c r="AI336" i="1"/>
  <c r="AH336" i="1"/>
  <c r="AG336" i="1"/>
  <c r="AB336" i="1"/>
  <c r="AA336" i="1"/>
  <c r="AI335" i="1"/>
  <c r="AH335" i="1"/>
  <c r="AG335" i="1"/>
  <c r="AB335" i="1"/>
  <c r="AA335" i="1"/>
  <c r="AC335" i="1" s="1"/>
  <c r="AI334" i="1"/>
  <c r="AH334" i="1"/>
  <c r="AG334" i="1"/>
  <c r="AD334" i="1"/>
  <c r="AC334" i="1"/>
  <c r="AB334" i="1"/>
  <c r="AA334" i="1"/>
  <c r="AI333" i="1"/>
  <c r="AH333" i="1"/>
  <c r="AG333" i="1"/>
  <c r="AC333" i="1"/>
  <c r="AB333" i="1"/>
  <c r="AD333" i="1" s="1"/>
  <c r="AA333" i="1"/>
  <c r="AI332" i="1"/>
  <c r="AH332" i="1"/>
  <c r="AG332" i="1"/>
  <c r="AB332" i="1"/>
  <c r="AA332" i="1"/>
  <c r="AC332" i="1" s="1"/>
  <c r="AI331" i="1"/>
  <c r="AH331" i="1"/>
  <c r="AG331" i="1"/>
  <c r="AD331" i="1"/>
  <c r="AC331" i="1"/>
  <c r="AB331" i="1"/>
  <c r="AA331" i="1"/>
  <c r="AI330" i="1"/>
  <c r="AH330" i="1"/>
  <c r="AG330" i="1"/>
  <c r="AB330" i="1"/>
  <c r="AD330" i="1" s="1"/>
  <c r="AA330" i="1"/>
  <c r="AI329" i="1"/>
  <c r="AH329" i="1"/>
  <c r="AG329" i="1"/>
  <c r="AB329" i="1"/>
  <c r="AA329" i="1"/>
  <c r="AI328" i="1"/>
  <c r="AH328" i="1"/>
  <c r="AG328" i="1"/>
  <c r="AB328" i="1"/>
  <c r="AA328" i="1"/>
  <c r="AI327" i="1"/>
  <c r="AH327" i="1"/>
  <c r="AG327" i="1"/>
  <c r="AD327" i="1"/>
  <c r="AB327" i="1"/>
  <c r="AA327" i="1"/>
  <c r="AC327" i="1" s="1"/>
  <c r="AI326" i="1"/>
  <c r="AH326" i="1"/>
  <c r="AG326" i="1"/>
  <c r="AD326" i="1"/>
  <c r="AC326" i="1"/>
  <c r="AB326" i="1"/>
  <c r="AA326" i="1"/>
  <c r="AI325" i="1"/>
  <c r="AH325" i="1"/>
  <c r="AG325" i="1"/>
  <c r="AB325" i="1"/>
  <c r="AD325" i="1" s="1"/>
  <c r="AA325" i="1"/>
  <c r="AI324" i="1"/>
  <c r="AH324" i="1"/>
  <c r="AG324" i="1"/>
  <c r="AD324" i="1"/>
  <c r="AB324" i="1"/>
  <c r="AA324" i="1"/>
  <c r="AC324" i="1" s="1"/>
  <c r="AI323" i="1"/>
  <c r="AH323" i="1"/>
  <c r="AG323" i="1"/>
  <c r="AC323" i="1"/>
  <c r="AB323" i="1"/>
  <c r="AA323" i="1"/>
  <c r="AD323" i="1" s="1"/>
  <c r="AI322" i="1"/>
  <c r="AH322" i="1"/>
  <c r="AG322" i="1"/>
  <c r="AD322" i="1"/>
  <c r="AB322" i="1"/>
  <c r="AC322" i="1" s="1"/>
  <c r="AA322" i="1"/>
  <c r="AI321" i="1"/>
  <c r="AH321" i="1"/>
  <c r="AG321" i="1"/>
  <c r="AC321" i="1"/>
  <c r="AB321" i="1"/>
  <c r="AA321" i="1"/>
  <c r="AI320" i="1"/>
  <c r="AH320" i="1"/>
  <c r="AG320" i="1"/>
  <c r="AB320" i="1"/>
  <c r="AA320" i="1"/>
  <c r="AI319" i="1"/>
  <c r="AH319" i="1"/>
  <c r="AG319" i="1"/>
  <c r="AB319" i="1"/>
  <c r="AA319" i="1"/>
  <c r="AC319" i="1" s="1"/>
  <c r="AI318" i="1"/>
  <c r="AH318" i="1"/>
  <c r="AG318" i="1"/>
  <c r="AB318" i="1"/>
  <c r="AA318" i="1"/>
  <c r="AD318" i="1" s="1"/>
  <c r="AI317" i="1"/>
  <c r="AH317" i="1"/>
  <c r="AG317" i="1"/>
  <c r="AC317" i="1"/>
  <c r="AB317" i="1"/>
  <c r="AD317" i="1" s="1"/>
  <c r="AA317" i="1"/>
  <c r="AI316" i="1"/>
  <c r="AH316" i="1"/>
  <c r="AG316" i="1"/>
  <c r="AB316" i="1"/>
  <c r="AA316" i="1"/>
  <c r="AI315" i="1"/>
  <c r="AH315" i="1"/>
  <c r="AG315" i="1"/>
  <c r="AD315" i="1"/>
  <c r="AB315" i="1"/>
  <c r="AA315" i="1"/>
  <c r="AC315" i="1" s="1"/>
  <c r="AI314" i="1"/>
  <c r="AH314" i="1"/>
  <c r="AG314" i="1"/>
  <c r="AC314" i="1"/>
  <c r="AB314" i="1"/>
  <c r="AD314" i="1" s="1"/>
  <c r="AA314" i="1"/>
  <c r="AI313" i="1"/>
  <c r="AH313" i="1"/>
  <c r="AG313" i="1"/>
  <c r="AB313" i="1"/>
  <c r="AA313" i="1"/>
  <c r="AD313" i="1" s="1"/>
  <c r="AI312" i="1"/>
  <c r="AH312" i="1"/>
  <c r="AG312" i="1"/>
  <c r="AC312" i="1"/>
  <c r="AB312" i="1"/>
  <c r="AA312" i="1"/>
  <c r="AD312" i="1" s="1"/>
  <c r="AI311" i="1"/>
  <c r="AH311" i="1"/>
  <c r="AG311" i="1"/>
  <c r="AD311" i="1"/>
  <c r="AB311" i="1"/>
  <c r="AA311" i="1"/>
  <c r="AI310" i="1"/>
  <c r="AH310" i="1"/>
  <c r="AG310" i="1"/>
  <c r="AD310" i="1"/>
  <c r="AB310" i="1"/>
  <c r="AA310" i="1"/>
  <c r="AC310" i="1" s="1"/>
  <c r="AI309" i="1"/>
  <c r="AH309" i="1"/>
  <c r="AG309" i="1"/>
  <c r="AC309" i="1"/>
  <c r="AB309" i="1"/>
  <c r="AD309" i="1" s="1"/>
  <c r="AA309" i="1"/>
  <c r="AI308" i="1"/>
  <c r="AH308" i="1"/>
  <c r="AG308" i="1"/>
  <c r="AB308" i="1"/>
  <c r="AA308" i="1"/>
  <c r="AC308" i="1" s="1"/>
  <c r="AI307" i="1"/>
  <c r="AH307" i="1"/>
  <c r="AG307" i="1"/>
  <c r="AD307" i="1"/>
  <c r="AB307" i="1"/>
  <c r="AA307" i="1"/>
  <c r="AC307" i="1" s="1"/>
  <c r="AI306" i="1"/>
  <c r="AH306" i="1"/>
  <c r="AG306" i="1"/>
  <c r="AD306" i="1"/>
  <c r="AC306" i="1"/>
  <c r="AB306" i="1"/>
  <c r="AA306" i="1"/>
  <c r="AI305" i="1"/>
  <c r="AH305" i="1"/>
  <c r="AG305" i="1"/>
  <c r="AC305" i="1"/>
  <c r="AB305" i="1"/>
  <c r="AD305" i="1" s="1"/>
  <c r="AA305" i="1"/>
  <c r="AI304" i="1"/>
  <c r="AH304" i="1"/>
  <c r="AG304" i="1"/>
  <c r="AB304" i="1"/>
  <c r="AA304" i="1"/>
  <c r="AD304" i="1" s="1"/>
  <c r="AI303" i="1"/>
  <c r="AH303" i="1"/>
  <c r="AG303" i="1"/>
  <c r="AB303" i="1"/>
  <c r="AA303" i="1"/>
  <c r="AD303" i="1" s="1"/>
  <c r="AI302" i="1"/>
  <c r="AH302" i="1"/>
  <c r="AG302" i="1"/>
  <c r="AB302" i="1"/>
  <c r="AA302" i="1"/>
  <c r="AD302" i="1" s="1"/>
  <c r="AI301" i="1"/>
  <c r="AH301" i="1"/>
  <c r="AG301" i="1"/>
  <c r="AD301" i="1"/>
  <c r="AC301" i="1"/>
  <c r="AB301" i="1"/>
  <c r="AA301" i="1"/>
  <c r="AI300" i="1"/>
  <c r="AH300" i="1"/>
  <c r="AG300" i="1"/>
  <c r="AD300" i="1"/>
  <c r="AC300" i="1"/>
  <c r="AB300" i="1"/>
  <c r="AA300" i="1"/>
  <c r="AI299" i="1"/>
  <c r="AH299" i="1"/>
  <c r="AG299" i="1"/>
  <c r="AD299" i="1"/>
  <c r="AC299" i="1"/>
  <c r="AB299" i="1"/>
  <c r="AA299" i="1"/>
  <c r="AI298" i="1"/>
  <c r="AH298" i="1"/>
  <c r="AG298" i="1"/>
  <c r="AB298" i="1"/>
  <c r="AD298" i="1" s="1"/>
  <c r="AA298" i="1"/>
  <c r="AI297" i="1"/>
  <c r="AH297" i="1"/>
  <c r="AG297" i="1"/>
  <c r="AB297" i="1"/>
  <c r="AA297" i="1"/>
  <c r="AC297" i="1" s="1"/>
  <c r="AI296" i="1"/>
  <c r="AH296" i="1"/>
  <c r="AG296" i="1"/>
  <c r="AB296" i="1"/>
  <c r="AA296" i="1"/>
  <c r="AC296" i="1" s="1"/>
  <c r="AI295" i="1"/>
  <c r="AH295" i="1"/>
  <c r="AG295" i="1"/>
  <c r="AB295" i="1"/>
  <c r="AA295" i="1"/>
  <c r="AC295" i="1" s="1"/>
  <c r="AI294" i="1"/>
  <c r="AH294" i="1"/>
  <c r="AG294" i="1"/>
  <c r="AD294" i="1"/>
  <c r="AC294" i="1"/>
  <c r="AB294" i="1"/>
  <c r="AA294" i="1"/>
  <c r="AI293" i="1"/>
  <c r="AH293" i="1"/>
  <c r="AG293" i="1"/>
  <c r="AD293" i="1"/>
  <c r="AC293" i="1"/>
  <c r="AB293" i="1"/>
  <c r="AA293" i="1"/>
  <c r="AI292" i="1"/>
  <c r="AH292" i="1"/>
  <c r="AG292" i="1"/>
  <c r="AB292" i="1"/>
  <c r="AD292" i="1" s="1"/>
  <c r="AA292" i="1"/>
  <c r="AI291" i="1"/>
  <c r="AH291" i="1"/>
  <c r="AG291" i="1"/>
  <c r="AB291" i="1"/>
  <c r="AA291" i="1"/>
  <c r="AC291" i="1" s="1"/>
  <c r="AI290" i="1"/>
  <c r="AH290" i="1"/>
  <c r="AG290" i="1"/>
  <c r="AC290" i="1"/>
  <c r="AB290" i="1"/>
  <c r="AA290" i="1"/>
  <c r="AD290" i="1" s="1"/>
  <c r="AI289" i="1"/>
  <c r="AH289" i="1"/>
  <c r="AG289" i="1"/>
  <c r="AB289" i="1"/>
  <c r="AA289" i="1"/>
  <c r="AD289" i="1" s="1"/>
  <c r="AI288" i="1"/>
  <c r="AH288" i="1"/>
  <c r="AG288" i="1"/>
  <c r="AB288" i="1"/>
  <c r="AA288" i="1"/>
  <c r="AD288" i="1" s="1"/>
  <c r="AI287" i="1"/>
  <c r="AH287" i="1"/>
  <c r="AG287" i="1"/>
  <c r="AD287" i="1"/>
  <c r="AB287" i="1"/>
  <c r="AA287" i="1"/>
  <c r="AI286" i="1"/>
  <c r="AH286" i="1"/>
  <c r="AG286" i="1"/>
  <c r="AC286" i="1"/>
  <c r="AB286" i="1"/>
  <c r="AA286" i="1"/>
  <c r="AD286" i="1" s="1"/>
  <c r="AI285" i="1"/>
  <c r="AH285" i="1"/>
  <c r="AG285" i="1"/>
  <c r="AD285" i="1"/>
  <c r="AB285" i="1"/>
  <c r="AC285" i="1" s="1"/>
  <c r="AA285" i="1"/>
  <c r="AI284" i="1"/>
  <c r="AH284" i="1"/>
  <c r="AG284" i="1"/>
  <c r="AC284" i="1"/>
  <c r="AB284" i="1"/>
  <c r="AA284" i="1"/>
  <c r="AD284" i="1" s="1"/>
  <c r="AI283" i="1"/>
  <c r="AH283" i="1"/>
  <c r="AG283" i="1"/>
  <c r="AB283" i="1"/>
  <c r="AA283" i="1"/>
  <c r="AD283" i="1" s="1"/>
  <c r="AI282" i="1"/>
  <c r="AH282" i="1"/>
  <c r="AG282" i="1"/>
  <c r="AB282" i="1"/>
  <c r="AA282" i="1"/>
  <c r="AD282" i="1" s="1"/>
  <c r="AI281" i="1"/>
  <c r="AH281" i="1"/>
  <c r="AG281" i="1"/>
  <c r="AD281" i="1"/>
  <c r="AB281" i="1"/>
  <c r="AA281" i="1"/>
  <c r="AC281" i="1" s="1"/>
  <c r="AI280" i="1"/>
  <c r="AH280" i="1"/>
  <c r="AG280" i="1"/>
  <c r="AC280" i="1"/>
  <c r="AB280" i="1"/>
  <c r="AA280" i="1"/>
  <c r="AI279" i="1"/>
  <c r="AH279" i="1"/>
  <c r="AG279" i="1"/>
  <c r="AB279" i="1"/>
  <c r="AA279" i="1"/>
  <c r="AC279" i="1" s="1"/>
  <c r="AI278" i="1"/>
  <c r="AH278" i="1"/>
  <c r="AG278" i="1"/>
  <c r="AC278" i="1"/>
  <c r="AB278" i="1"/>
  <c r="AA278" i="1"/>
  <c r="AD278" i="1" s="1"/>
  <c r="AI277" i="1"/>
  <c r="AH277" i="1"/>
  <c r="AG277" i="1"/>
  <c r="AB277" i="1"/>
  <c r="AD277" i="1" s="1"/>
  <c r="AA277" i="1"/>
  <c r="AI276" i="1"/>
  <c r="AH276" i="1"/>
  <c r="AG276" i="1"/>
  <c r="AB276" i="1"/>
  <c r="AA276" i="1"/>
  <c r="AD276" i="1" s="1"/>
  <c r="AI275" i="1"/>
  <c r="AH275" i="1"/>
  <c r="AG275" i="1"/>
  <c r="AD275" i="1"/>
  <c r="AB275" i="1"/>
  <c r="AA275" i="1"/>
  <c r="AC275" i="1" s="1"/>
  <c r="AI274" i="1"/>
  <c r="AH274" i="1"/>
  <c r="AG274" i="1"/>
  <c r="AD274" i="1"/>
  <c r="AC274" i="1"/>
  <c r="AB274" i="1"/>
  <c r="AA274" i="1"/>
  <c r="AI273" i="1"/>
  <c r="AH273" i="1"/>
  <c r="AG273" i="1"/>
  <c r="AD273" i="1"/>
  <c r="AC273" i="1"/>
  <c r="AB273" i="1"/>
  <c r="AA273" i="1"/>
  <c r="AI272" i="1"/>
  <c r="AH272" i="1"/>
  <c r="AG272" i="1"/>
  <c r="AB272" i="1"/>
  <c r="AA272" i="1"/>
  <c r="AD272" i="1" s="1"/>
  <c r="AI271" i="1"/>
  <c r="AH271" i="1"/>
  <c r="AG271" i="1"/>
  <c r="AB271" i="1"/>
  <c r="AA271" i="1"/>
  <c r="AD271" i="1" s="1"/>
  <c r="AI270" i="1"/>
  <c r="AH270" i="1"/>
  <c r="AG270" i="1"/>
  <c r="AB270" i="1"/>
  <c r="AA270" i="1"/>
  <c r="AD270" i="1" s="1"/>
  <c r="AI269" i="1"/>
  <c r="AH269" i="1"/>
  <c r="AG269" i="1"/>
  <c r="AD269" i="1"/>
  <c r="AC269" i="1"/>
  <c r="AB269" i="1"/>
  <c r="AA269" i="1"/>
  <c r="AI268" i="1"/>
  <c r="AH268" i="1"/>
  <c r="AG268" i="1"/>
  <c r="AD268" i="1"/>
  <c r="AC268" i="1"/>
  <c r="AB268" i="1"/>
  <c r="AA268" i="1"/>
  <c r="AI267" i="1"/>
  <c r="AH267" i="1"/>
  <c r="AG267" i="1"/>
  <c r="AD267" i="1"/>
  <c r="AC267" i="1"/>
  <c r="AB267" i="1"/>
  <c r="AA267" i="1"/>
  <c r="AI266" i="1"/>
  <c r="AH266" i="1"/>
  <c r="AG266" i="1"/>
  <c r="AB266" i="1"/>
  <c r="AC266" i="1" s="1"/>
  <c r="AA266" i="1"/>
  <c r="AD266" i="1" s="1"/>
  <c r="AI265" i="1"/>
  <c r="AH265" i="1"/>
  <c r="AG265" i="1"/>
  <c r="AB265" i="1"/>
  <c r="AA265" i="1"/>
  <c r="AC265" i="1" s="1"/>
  <c r="AI264" i="1"/>
  <c r="AH264" i="1"/>
  <c r="AG264" i="1"/>
  <c r="AB264" i="1"/>
  <c r="AA264" i="1"/>
  <c r="AC264" i="1" s="1"/>
  <c r="AI263" i="1"/>
  <c r="AH263" i="1"/>
  <c r="AG263" i="1"/>
  <c r="AB263" i="1"/>
  <c r="AA263" i="1"/>
  <c r="AC263" i="1" s="1"/>
  <c r="AI262" i="1"/>
  <c r="AH262" i="1"/>
  <c r="AG262" i="1"/>
  <c r="AD262" i="1"/>
  <c r="AC262" i="1"/>
  <c r="AB262" i="1"/>
  <c r="AA262" i="1"/>
  <c r="AI261" i="1"/>
  <c r="AH261" i="1"/>
  <c r="AG261" i="1"/>
  <c r="AD261" i="1"/>
  <c r="AC261" i="1"/>
  <c r="AB261" i="1"/>
  <c r="AA261" i="1"/>
  <c r="AI260" i="1"/>
  <c r="AH260" i="1"/>
  <c r="AG260" i="1"/>
  <c r="AB260" i="1"/>
  <c r="AC260" i="1" s="1"/>
  <c r="AA260" i="1"/>
  <c r="AD260" i="1" s="1"/>
  <c r="AI259" i="1"/>
  <c r="AH259" i="1"/>
  <c r="AG259" i="1"/>
  <c r="AB259" i="1"/>
  <c r="AA259" i="1"/>
  <c r="AC259" i="1" s="1"/>
  <c r="AI258" i="1"/>
  <c r="AH258" i="1"/>
  <c r="AG258" i="1"/>
  <c r="AC258" i="1"/>
  <c r="AB258" i="1"/>
  <c r="AA258" i="1"/>
  <c r="AD258" i="1" s="1"/>
  <c r="AI257" i="1"/>
  <c r="AH257" i="1"/>
  <c r="AG257" i="1"/>
  <c r="AB257" i="1"/>
  <c r="AA257" i="1"/>
  <c r="AD257" i="1" s="1"/>
  <c r="AI256" i="1"/>
  <c r="AH256" i="1"/>
  <c r="AG256" i="1"/>
  <c r="AB256" i="1"/>
  <c r="AA256" i="1"/>
  <c r="AD256" i="1" s="1"/>
  <c r="AI255" i="1"/>
  <c r="AH255" i="1"/>
  <c r="AG255" i="1"/>
  <c r="AD255" i="1"/>
  <c r="AB255" i="1"/>
  <c r="AA255" i="1"/>
  <c r="AC255" i="1" s="1"/>
  <c r="AI254" i="1"/>
  <c r="AH254" i="1"/>
  <c r="AG254" i="1"/>
  <c r="AD254" i="1"/>
  <c r="AC254" i="1"/>
  <c r="AB254" i="1"/>
  <c r="AA254" i="1"/>
  <c r="AI253" i="1"/>
  <c r="AH253" i="1"/>
  <c r="AG253" i="1"/>
  <c r="AD253" i="1"/>
  <c r="AC253" i="1"/>
  <c r="AB253" i="1"/>
  <c r="AA253" i="1"/>
  <c r="AI252" i="1"/>
  <c r="AH252" i="1"/>
  <c r="AG252" i="1"/>
  <c r="AB252" i="1"/>
  <c r="AC252" i="1" s="1"/>
  <c r="AA252" i="1"/>
  <c r="AD252" i="1" s="1"/>
  <c r="AI251" i="1"/>
  <c r="AH251" i="1"/>
  <c r="AG251" i="1"/>
  <c r="AB251" i="1"/>
  <c r="AA251" i="1"/>
  <c r="AC251" i="1" s="1"/>
  <c r="AI250" i="1"/>
  <c r="AH250" i="1"/>
  <c r="AG250" i="1"/>
  <c r="AC250" i="1"/>
  <c r="AB250" i="1"/>
  <c r="AA250" i="1"/>
  <c r="AD250" i="1" s="1"/>
  <c r="AI249" i="1"/>
  <c r="AH249" i="1"/>
  <c r="AG249" i="1"/>
  <c r="AB249" i="1"/>
  <c r="AA249" i="1"/>
  <c r="AD249" i="1" s="1"/>
  <c r="AI248" i="1"/>
  <c r="AH248" i="1"/>
  <c r="AG248" i="1"/>
  <c r="AB248" i="1"/>
  <c r="AA248" i="1"/>
  <c r="AD248" i="1" s="1"/>
  <c r="AI247" i="1"/>
  <c r="AH247" i="1"/>
  <c r="AG247" i="1"/>
  <c r="AD247" i="1"/>
  <c r="AB247" i="1"/>
  <c r="AA247" i="1"/>
  <c r="AC247" i="1" s="1"/>
  <c r="AI246" i="1"/>
  <c r="AH246" i="1"/>
  <c r="AG246" i="1"/>
  <c r="AD246" i="1"/>
  <c r="AC246" i="1"/>
  <c r="AB246" i="1"/>
  <c r="AA246" i="1"/>
  <c r="AI245" i="1"/>
  <c r="AH245" i="1"/>
  <c r="AG245" i="1"/>
  <c r="AD245" i="1"/>
  <c r="AC245" i="1"/>
  <c r="AB245" i="1"/>
  <c r="AA245" i="1"/>
  <c r="AI244" i="1"/>
  <c r="AH244" i="1"/>
  <c r="AG244" i="1"/>
  <c r="AB244" i="1"/>
  <c r="AC244" i="1" s="1"/>
  <c r="AA244" i="1"/>
  <c r="AD244" i="1" s="1"/>
  <c r="AI243" i="1"/>
  <c r="AH243" i="1"/>
  <c r="AG243" i="1"/>
  <c r="AD243" i="1"/>
  <c r="AB243" i="1"/>
  <c r="AA243" i="1"/>
  <c r="AC243" i="1" s="1"/>
  <c r="AI242" i="1"/>
  <c r="AH242" i="1"/>
  <c r="AG242" i="1"/>
  <c r="AC242" i="1"/>
  <c r="AB242" i="1"/>
  <c r="AA242" i="1"/>
  <c r="AD242" i="1" s="1"/>
  <c r="AI241" i="1"/>
  <c r="AH241" i="1"/>
  <c r="AG241" i="1"/>
  <c r="AB241" i="1"/>
  <c r="AA241" i="1"/>
  <c r="AD241" i="1" s="1"/>
  <c r="AI240" i="1"/>
  <c r="AH240" i="1"/>
  <c r="AG240" i="1"/>
  <c r="AB240" i="1"/>
  <c r="AA240" i="1"/>
  <c r="AD240" i="1" s="1"/>
  <c r="AI239" i="1"/>
  <c r="AH239" i="1"/>
  <c r="AG239" i="1"/>
  <c r="AD239" i="1"/>
  <c r="AB239" i="1"/>
  <c r="AA239" i="1"/>
  <c r="AC239" i="1" s="1"/>
  <c r="AI238" i="1"/>
  <c r="AH238" i="1"/>
  <c r="AG238" i="1"/>
  <c r="AD238" i="1"/>
  <c r="AC238" i="1"/>
  <c r="AB238" i="1"/>
  <c r="AA238" i="1"/>
  <c r="AI237" i="1"/>
  <c r="AH237" i="1"/>
  <c r="AG237" i="1"/>
  <c r="AD237" i="1"/>
  <c r="AC237" i="1"/>
  <c r="AB237" i="1"/>
  <c r="AA237" i="1"/>
  <c r="AI236" i="1"/>
  <c r="AH236" i="1"/>
  <c r="AG236" i="1"/>
  <c r="AB236" i="1"/>
  <c r="AC236" i="1" s="1"/>
  <c r="AA236" i="1"/>
  <c r="AD236" i="1" s="1"/>
  <c r="AI235" i="1"/>
  <c r="AH235" i="1"/>
  <c r="AG235" i="1"/>
  <c r="AD235" i="1"/>
  <c r="AB235" i="1"/>
  <c r="AA235" i="1"/>
  <c r="AC235" i="1" s="1"/>
  <c r="AI234" i="1"/>
  <c r="AH234" i="1"/>
  <c r="AG234" i="1"/>
  <c r="AC234" i="1"/>
  <c r="AB234" i="1"/>
  <c r="AA234" i="1"/>
  <c r="AD234" i="1" s="1"/>
  <c r="AI233" i="1"/>
  <c r="AH233" i="1"/>
  <c r="AG233" i="1"/>
  <c r="AB233" i="1"/>
  <c r="AA233" i="1"/>
  <c r="AD233" i="1" s="1"/>
  <c r="AI232" i="1"/>
  <c r="AH232" i="1"/>
  <c r="AG232" i="1"/>
  <c r="AB232" i="1"/>
  <c r="AA232" i="1"/>
  <c r="AD232" i="1" s="1"/>
  <c r="AI231" i="1"/>
  <c r="AH231" i="1"/>
  <c r="AG231" i="1"/>
  <c r="AD231" i="1"/>
  <c r="AB231" i="1"/>
  <c r="AA231" i="1"/>
  <c r="AC231" i="1" s="1"/>
  <c r="AI230" i="1"/>
  <c r="AH230" i="1"/>
  <c r="AG230" i="1"/>
  <c r="AD230" i="1"/>
  <c r="AC230" i="1"/>
  <c r="AB230" i="1"/>
  <c r="AA230" i="1"/>
  <c r="AI229" i="1"/>
  <c r="AH229" i="1"/>
  <c r="AG229" i="1"/>
  <c r="AD229" i="1"/>
  <c r="AC229" i="1"/>
  <c r="AB229" i="1"/>
  <c r="AA229" i="1"/>
  <c r="AI228" i="1"/>
  <c r="AH228" i="1"/>
  <c r="AG228" i="1"/>
  <c r="AB228" i="1"/>
  <c r="AC228" i="1" s="1"/>
  <c r="AA228" i="1"/>
  <c r="AD228" i="1" s="1"/>
  <c r="AI227" i="1"/>
  <c r="AH227" i="1"/>
  <c r="AG227" i="1"/>
  <c r="AD227" i="1"/>
  <c r="AB227" i="1"/>
  <c r="AA227" i="1"/>
  <c r="AC227" i="1" s="1"/>
  <c r="AI226" i="1"/>
  <c r="AH226" i="1"/>
  <c r="AG226" i="1"/>
  <c r="AC226" i="1"/>
  <c r="AB226" i="1"/>
  <c r="AA226" i="1"/>
  <c r="AD226" i="1" s="1"/>
  <c r="AI225" i="1"/>
  <c r="AH225" i="1"/>
  <c r="AG225" i="1"/>
  <c r="AB225" i="1"/>
  <c r="AC225" i="1" s="1"/>
  <c r="AA225" i="1"/>
  <c r="AD225" i="1" s="1"/>
  <c r="AI224" i="1"/>
  <c r="AH224" i="1"/>
  <c r="AG224" i="1"/>
  <c r="AB224" i="1"/>
  <c r="AA224" i="1"/>
  <c r="AD224" i="1" s="1"/>
  <c r="AI223" i="1"/>
  <c r="AH223" i="1"/>
  <c r="AG223" i="1"/>
  <c r="AD223" i="1"/>
  <c r="AB223" i="1"/>
  <c r="AA223" i="1"/>
  <c r="AC223" i="1" s="1"/>
  <c r="AI222" i="1"/>
  <c r="AH222" i="1"/>
  <c r="AG222" i="1"/>
  <c r="AD222" i="1"/>
  <c r="AC222" i="1"/>
  <c r="AB222" i="1"/>
  <c r="AA222" i="1"/>
  <c r="AI221" i="1"/>
  <c r="AH221" i="1"/>
  <c r="AG221" i="1"/>
  <c r="AC221" i="1"/>
  <c r="AB221" i="1"/>
  <c r="AD221" i="1" s="1"/>
  <c r="AA221" i="1"/>
  <c r="AI220" i="1"/>
  <c r="AH220" i="1"/>
  <c r="AG220" i="1"/>
  <c r="AB220" i="1"/>
  <c r="AA220" i="1"/>
  <c r="AD220" i="1" s="1"/>
  <c r="AI219" i="1"/>
  <c r="AH219" i="1"/>
  <c r="AG219" i="1"/>
  <c r="AD219" i="1"/>
  <c r="AB219" i="1"/>
  <c r="AA219" i="1"/>
  <c r="AC219" i="1" s="1"/>
  <c r="AI218" i="1"/>
  <c r="AH218" i="1"/>
  <c r="AG218" i="1"/>
  <c r="AC218" i="1"/>
  <c r="AB218" i="1"/>
  <c r="AA218" i="1"/>
  <c r="AD218" i="1" s="1"/>
  <c r="AI217" i="1"/>
  <c r="AH217" i="1"/>
  <c r="AG217" i="1"/>
  <c r="AB217" i="1"/>
  <c r="AA217" i="1"/>
  <c r="AD217" i="1" s="1"/>
  <c r="AI216" i="1"/>
  <c r="AH216" i="1"/>
  <c r="AG216" i="1"/>
  <c r="AB216" i="1"/>
  <c r="AA216" i="1"/>
  <c r="AD216" i="1" s="1"/>
  <c r="AI215" i="1"/>
  <c r="AH215" i="1"/>
  <c r="AG215" i="1"/>
  <c r="AD215" i="1"/>
  <c r="AB215" i="1"/>
  <c r="AA215" i="1"/>
  <c r="AC215" i="1" s="1"/>
  <c r="AI214" i="1"/>
  <c r="AH214" i="1"/>
  <c r="AG214" i="1"/>
  <c r="AD214" i="1"/>
  <c r="AC214" i="1"/>
  <c r="AB214" i="1"/>
  <c r="AA214" i="1"/>
  <c r="AI213" i="1"/>
  <c r="AH213" i="1"/>
  <c r="AG213" i="1"/>
  <c r="AD213" i="1"/>
  <c r="AB213" i="1"/>
  <c r="AC213" i="1" s="1"/>
  <c r="AA213" i="1"/>
  <c r="AI212" i="1"/>
  <c r="AH212" i="1"/>
  <c r="AG212" i="1"/>
  <c r="AC212" i="1"/>
  <c r="AB212" i="1"/>
  <c r="AA212" i="1"/>
  <c r="AD212" i="1" s="1"/>
  <c r="AI211" i="1"/>
  <c r="AH211" i="1"/>
  <c r="AG211" i="1"/>
  <c r="AD211" i="1"/>
  <c r="AB211" i="1"/>
  <c r="AA211" i="1"/>
  <c r="AC211" i="1" s="1"/>
  <c r="AI210" i="1"/>
  <c r="AH210" i="1"/>
  <c r="AG210" i="1"/>
  <c r="AC210" i="1"/>
  <c r="AB210" i="1"/>
  <c r="AA210" i="1"/>
  <c r="AD210" i="1" s="1"/>
  <c r="AI209" i="1"/>
  <c r="AH209" i="1"/>
  <c r="AG209" i="1"/>
  <c r="AB209" i="1"/>
  <c r="AA209" i="1"/>
  <c r="AD209" i="1" s="1"/>
  <c r="AI208" i="1"/>
  <c r="AH208" i="1"/>
  <c r="AG208" i="1"/>
  <c r="AB208" i="1"/>
  <c r="AA208" i="1"/>
  <c r="AD208" i="1" s="1"/>
  <c r="AI207" i="1"/>
  <c r="AH207" i="1"/>
  <c r="AG207" i="1"/>
  <c r="AD207" i="1"/>
  <c r="AB207" i="1"/>
  <c r="AA207" i="1"/>
  <c r="AC207" i="1" s="1"/>
  <c r="AI206" i="1"/>
  <c r="AH206" i="1"/>
  <c r="AG206" i="1"/>
  <c r="AD206" i="1"/>
  <c r="AC206" i="1"/>
  <c r="AB206" i="1"/>
  <c r="AA206" i="1"/>
  <c r="AI205" i="1"/>
  <c r="AH205" i="1"/>
  <c r="AG205" i="1"/>
  <c r="AB205" i="1"/>
  <c r="AD205" i="1" s="1"/>
  <c r="AA205" i="1"/>
  <c r="AI204" i="1"/>
  <c r="AH204" i="1"/>
  <c r="AG204" i="1"/>
  <c r="AB204" i="1"/>
  <c r="AA204" i="1"/>
  <c r="AD204" i="1" s="1"/>
  <c r="AI203" i="1"/>
  <c r="AH203" i="1"/>
  <c r="AG203" i="1"/>
  <c r="AD203" i="1"/>
  <c r="AB203" i="1"/>
  <c r="AC203" i="1" s="1"/>
  <c r="AA203" i="1"/>
  <c r="AI202" i="1"/>
  <c r="AH202" i="1"/>
  <c r="AG202" i="1"/>
  <c r="AC202" i="1"/>
  <c r="AB202" i="1"/>
  <c r="AA202" i="1"/>
  <c r="AD202" i="1" s="1"/>
  <c r="AI201" i="1"/>
  <c r="AH201" i="1"/>
  <c r="AG201" i="1"/>
  <c r="AB201" i="1"/>
  <c r="AA201" i="1"/>
  <c r="AD201" i="1" s="1"/>
  <c r="AI200" i="1"/>
  <c r="AH200" i="1"/>
  <c r="AG200" i="1"/>
  <c r="AB200" i="1"/>
  <c r="AA200" i="1"/>
  <c r="AD200" i="1" s="1"/>
  <c r="AI199" i="1"/>
  <c r="AH199" i="1"/>
  <c r="AG199" i="1"/>
  <c r="AD199" i="1"/>
  <c r="AB199" i="1"/>
  <c r="AA199" i="1"/>
  <c r="AC199" i="1" s="1"/>
  <c r="AI198" i="1"/>
  <c r="AH198" i="1"/>
  <c r="AG198" i="1"/>
  <c r="AD198" i="1"/>
  <c r="AC198" i="1"/>
  <c r="AB198" i="1"/>
  <c r="AA198" i="1"/>
  <c r="AI197" i="1"/>
  <c r="AH197" i="1"/>
  <c r="AG197" i="1"/>
  <c r="AB197" i="1"/>
  <c r="AD197" i="1" s="1"/>
  <c r="AA197" i="1"/>
  <c r="AI196" i="1"/>
  <c r="AH196" i="1"/>
  <c r="AG196" i="1"/>
  <c r="AB196" i="1"/>
  <c r="AA196" i="1"/>
  <c r="AD196" i="1" s="1"/>
  <c r="AI195" i="1"/>
  <c r="AH195" i="1"/>
  <c r="AG195" i="1"/>
  <c r="AD195" i="1"/>
  <c r="AB195" i="1"/>
  <c r="AC195" i="1" s="1"/>
  <c r="AA195" i="1"/>
  <c r="AI194" i="1"/>
  <c r="AH194" i="1"/>
  <c r="AG194" i="1"/>
  <c r="AC194" i="1"/>
  <c r="AB194" i="1"/>
  <c r="AA194" i="1"/>
  <c r="AD194" i="1" s="1"/>
  <c r="AI193" i="1"/>
  <c r="AH193" i="1"/>
  <c r="AG193" i="1"/>
  <c r="AB193" i="1"/>
  <c r="AA193" i="1"/>
  <c r="AD193" i="1" s="1"/>
  <c r="AI192" i="1"/>
  <c r="AH192" i="1"/>
  <c r="AG192" i="1"/>
  <c r="AB192" i="1"/>
  <c r="AA192" i="1"/>
  <c r="AD192" i="1" s="1"/>
  <c r="AI191" i="1"/>
  <c r="AH191" i="1"/>
  <c r="AG191" i="1"/>
  <c r="AD191" i="1"/>
  <c r="AB191" i="1"/>
  <c r="AA191" i="1"/>
  <c r="AC191" i="1" s="1"/>
  <c r="AI190" i="1"/>
  <c r="AH190" i="1"/>
  <c r="AG190" i="1"/>
  <c r="AD190" i="1"/>
  <c r="AC190" i="1"/>
  <c r="AB190" i="1"/>
  <c r="AA190" i="1"/>
  <c r="AI189" i="1"/>
  <c r="AH189" i="1"/>
  <c r="AG189" i="1"/>
  <c r="AB189" i="1"/>
  <c r="AD189" i="1" s="1"/>
  <c r="AA189" i="1"/>
  <c r="AI188" i="1"/>
  <c r="AH188" i="1"/>
  <c r="AG188" i="1"/>
  <c r="AB188" i="1"/>
  <c r="AA188" i="1"/>
  <c r="AD188" i="1" s="1"/>
  <c r="AI187" i="1"/>
  <c r="AH187" i="1"/>
  <c r="AG187" i="1"/>
  <c r="AD187" i="1"/>
  <c r="AB187" i="1"/>
  <c r="AC187" i="1" s="1"/>
  <c r="AA187" i="1"/>
  <c r="AI186" i="1"/>
  <c r="AH186" i="1"/>
  <c r="AG186" i="1"/>
  <c r="AC186" i="1"/>
  <c r="AB186" i="1"/>
  <c r="AA186" i="1"/>
  <c r="AD186" i="1" s="1"/>
  <c r="AI185" i="1"/>
  <c r="AH185" i="1"/>
  <c r="AG185" i="1"/>
  <c r="AB185" i="1"/>
  <c r="AA185" i="1"/>
  <c r="AD185" i="1" s="1"/>
  <c r="AI184" i="1"/>
  <c r="AH184" i="1"/>
  <c r="AG184" i="1"/>
  <c r="AB184" i="1"/>
  <c r="AA184" i="1"/>
  <c r="AD184" i="1" s="1"/>
  <c r="AI183" i="1"/>
  <c r="AH183" i="1"/>
  <c r="AG183" i="1"/>
  <c r="AD183" i="1"/>
  <c r="AB183" i="1"/>
  <c r="AA183" i="1"/>
  <c r="AC183" i="1" s="1"/>
  <c r="AI182" i="1"/>
  <c r="AH182" i="1"/>
  <c r="AG182" i="1"/>
  <c r="AD182" i="1"/>
  <c r="AC182" i="1"/>
  <c r="AB182" i="1"/>
  <c r="AA182" i="1"/>
  <c r="AI181" i="1"/>
  <c r="AH181" i="1"/>
  <c r="AG181" i="1"/>
  <c r="AB181" i="1"/>
  <c r="AD181" i="1" s="1"/>
  <c r="AA181" i="1"/>
  <c r="AI180" i="1"/>
  <c r="AH180" i="1"/>
  <c r="AG180" i="1"/>
  <c r="AB180" i="1"/>
  <c r="AA180" i="1"/>
  <c r="AD180" i="1" s="1"/>
  <c r="AI179" i="1"/>
  <c r="AH179" i="1"/>
  <c r="AG179" i="1"/>
  <c r="AD179" i="1"/>
  <c r="AB179" i="1"/>
  <c r="AC179" i="1" s="1"/>
  <c r="AA179" i="1"/>
  <c r="AI178" i="1"/>
  <c r="AH178" i="1"/>
  <c r="AG178" i="1"/>
  <c r="AC178" i="1"/>
  <c r="AB178" i="1"/>
  <c r="AA178" i="1"/>
  <c r="AD178" i="1" s="1"/>
  <c r="AI177" i="1"/>
  <c r="AH177" i="1"/>
  <c r="AG177" i="1"/>
  <c r="AB177" i="1"/>
  <c r="AA177" i="1"/>
  <c r="AD177" i="1" s="1"/>
  <c r="AI176" i="1"/>
  <c r="AH176" i="1"/>
  <c r="AG176" i="1"/>
  <c r="AB176" i="1"/>
  <c r="AA176" i="1"/>
  <c r="AD176" i="1" s="1"/>
  <c r="AI175" i="1"/>
  <c r="AH175" i="1"/>
  <c r="AG175" i="1"/>
  <c r="AD175" i="1"/>
  <c r="AB175" i="1"/>
  <c r="AA175" i="1"/>
  <c r="AC175" i="1" s="1"/>
  <c r="AI174" i="1"/>
  <c r="AH174" i="1"/>
  <c r="AG174" i="1"/>
  <c r="AD174" i="1"/>
  <c r="AC174" i="1"/>
  <c r="AB174" i="1"/>
  <c r="AA174" i="1"/>
  <c r="AI173" i="1"/>
  <c r="AH173" i="1"/>
  <c r="AG173" i="1"/>
  <c r="AB173" i="1"/>
  <c r="AD173" i="1" s="1"/>
  <c r="AA173" i="1"/>
  <c r="AI172" i="1"/>
  <c r="AH172" i="1"/>
  <c r="AG172" i="1"/>
  <c r="AB172" i="1"/>
  <c r="AA172" i="1"/>
  <c r="AD172" i="1" s="1"/>
  <c r="AI171" i="1"/>
  <c r="AH171" i="1"/>
  <c r="AG171" i="1"/>
  <c r="AD171" i="1"/>
  <c r="AB171" i="1"/>
  <c r="AC171" i="1" s="1"/>
  <c r="AA171" i="1"/>
  <c r="AI170" i="1"/>
  <c r="AH170" i="1"/>
  <c r="AG170" i="1"/>
  <c r="AC170" i="1"/>
  <c r="AB170" i="1"/>
  <c r="AA170" i="1"/>
  <c r="AD170" i="1" s="1"/>
  <c r="AI169" i="1"/>
  <c r="AH169" i="1"/>
  <c r="AG169" i="1"/>
  <c r="AB169" i="1"/>
  <c r="AA169" i="1"/>
  <c r="AD169" i="1" s="1"/>
  <c r="AI168" i="1"/>
  <c r="AH168" i="1"/>
  <c r="AG168" i="1"/>
  <c r="AB168" i="1"/>
  <c r="AA168" i="1"/>
  <c r="AD168" i="1" s="1"/>
  <c r="AI167" i="1"/>
  <c r="AH167" i="1"/>
  <c r="AG167" i="1"/>
  <c r="AD167" i="1"/>
  <c r="AB167" i="1"/>
  <c r="AA167" i="1"/>
  <c r="AC167" i="1" s="1"/>
  <c r="AI166" i="1"/>
  <c r="AH166" i="1"/>
  <c r="AG166" i="1"/>
  <c r="AD166" i="1"/>
  <c r="AC166" i="1"/>
  <c r="AB166" i="1"/>
  <c r="AA166" i="1"/>
  <c r="AI165" i="1"/>
  <c r="AH165" i="1"/>
  <c r="AG165" i="1"/>
  <c r="AB165" i="1"/>
  <c r="AD165" i="1" s="1"/>
  <c r="AA165" i="1"/>
  <c r="AI164" i="1"/>
  <c r="AH164" i="1"/>
  <c r="AG164" i="1"/>
  <c r="AB164" i="1"/>
  <c r="AA164" i="1"/>
  <c r="AD164" i="1" s="1"/>
  <c r="AI163" i="1"/>
  <c r="AH163" i="1"/>
  <c r="AG163" i="1"/>
  <c r="AD163" i="1"/>
  <c r="AB163" i="1"/>
  <c r="AC163" i="1" s="1"/>
  <c r="AA163" i="1"/>
  <c r="AI162" i="1"/>
  <c r="AH162" i="1"/>
  <c r="AG162" i="1"/>
  <c r="AC162" i="1"/>
  <c r="AB162" i="1"/>
  <c r="AA162" i="1"/>
  <c r="AD162" i="1" s="1"/>
  <c r="AI161" i="1"/>
  <c r="AH161" i="1"/>
  <c r="AG161" i="1"/>
  <c r="AB161" i="1"/>
  <c r="AA161" i="1"/>
  <c r="AD161" i="1" s="1"/>
  <c r="AI160" i="1"/>
  <c r="AH160" i="1"/>
  <c r="AG160" i="1"/>
  <c r="AB160" i="1"/>
  <c r="AA160" i="1"/>
  <c r="AD160" i="1" s="1"/>
  <c r="AI159" i="1"/>
  <c r="AH159" i="1"/>
  <c r="AG159" i="1"/>
  <c r="AD159" i="1"/>
  <c r="AB159" i="1"/>
  <c r="AA159" i="1"/>
  <c r="AC159" i="1" s="1"/>
  <c r="AI158" i="1"/>
  <c r="AH158" i="1"/>
  <c r="AG158" i="1"/>
  <c r="AD158" i="1"/>
  <c r="AC158" i="1"/>
  <c r="AB158" i="1"/>
  <c r="AA158" i="1"/>
  <c r="AI157" i="1"/>
  <c r="AH157" i="1"/>
  <c r="AG157" i="1"/>
  <c r="AB157" i="1"/>
  <c r="AD157" i="1" s="1"/>
  <c r="AA157" i="1"/>
  <c r="AI156" i="1"/>
  <c r="AH156" i="1"/>
  <c r="AG156" i="1"/>
  <c r="AB156" i="1"/>
  <c r="AA156" i="1"/>
  <c r="AD156" i="1" s="1"/>
  <c r="AI155" i="1"/>
  <c r="AH155" i="1"/>
  <c r="AG155" i="1"/>
  <c r="AD155" i="1"/>
  <c r="AB155" i="1"/>
  <c r="AC155" i="1" s="1"/>
  <c r="AA155" i="1"/>
  <c r="AI154" i="1"/>
  <c r="AH154" i="1"/>
  <c r="AG154" i="1"/>
  <c r="AC154" i="1"/>
  <c r="AB154" i="1"/>
  <c r="AA154" i="1"/>
  <c r="AD154" i="1" s="1"/>
  <c r="AI153" i="1"/>
  <c r="AH153" i="1"/>
  <c r="AG153" i="1"/>
  <c r="AB153" i="1"/>
  <c r="AA153" i="1"/>
  <c r="AD153" i="1" s="1"/>
  <c r="AI152" i="1"/>
  <c r="AH152" i="1"/>
  <c r="AG152" i="1"/>
  <c r="AB152" i="1"/>
  <c r="AA152" i="1"/>
  <c r="AD152" i="1" s="1"/>
  <c r="AI151" i="1"/>
  <c r="AH151" i="1"/>
  <c r="AG151" i="1"/>
  <c r="AD151" i="1"/>
  <c r="AB151" i="1"/>
  <c r="AA151" i="1"/>
  <c r="AC151" i="1" s="1"/>
  <c r="AI150" i="1"/>
  <c r="AH150" i="1"/>
  <c r="AG150" i="1"/>
  <c r="AD150" i="1"/>
  <c r="AC150" i="1"/>
  <c r="AB150" i="1"/>
  <c r="AA150" i="1"/>
  <c r="AI149" i="1"/>
  <c r="AH149" i="1"/>
  <c r="AG149" i="1"/>
  <c r="AB149" i="1"/>
  <c r="AD149" i="1" s="1"/>
  <c r="AA149" i="1"/>
  <c r="AI148" i="1"/>
  <c r="AH148" i="1"/>
  <c r="AG148" i="1"/>
  <c r="AB148" i="1"/>
  <c r="AA148" i="1"/>
  <c r="AD148" i="1" s="1"/>
  <c r="AI147" i="1"/>
  <c r="AH147" i="1"/>
  <c r="AG147" i="1"/>
  <c r="AD147" i="1"/>
  <c r="AB147" i="1"/>
  <c r="AC147" i="1" s="1"/>
  <c r="AA147" i="1"/>
  <c r="AI146" i="1"/>
  <c r="AH146" i="1"/>
  <c r="AG146" i="1"/>
  <c r="AC146" i="1"/>
  <c r="AB146" i="1"/>
  <c r="AA146" i="1"/>
  <c r="AD146" i="1" s="1"/>
  <c r="AI145" i="1"/>
  <c r="AH145" i="1"/>
  <c r="AG145" i="1"/>
  <c r="AB145" i="1"/>
  <c r="AA145" i="1"/>
  <c r="AD145" i="1" s="1"/>
  <c r="AI144" i="1"/>
  <c r="AH144" i="1"/>
  <c r="AG144" i="1"/>
  <c r="AB144" i="1"/>
  <c r="AA144" i="1"/>
  <c r="AD144" i="1" s="1"/>
  <c r="AI143" i="1"/>
  <c r="AH143" i="1"/>
  <c r="AG143" i="1"/>
  <c r="AD143" i="1"/>
  <c r="AB143" i="1"/>
  <c r="AA143" i="1"/>
  <c r="AC143" i="1" s="1"/>
  <c r="AI142" i="1"/>
  <c r="AH142" i="1"/>
  <c r="AG142" i="1"/>
  <c r="AD142" i="1"/>
  <c r="AC142" i="1"/>
  <c r="AB142" i="1"/>
  <c r="AA142" i="1"/>
  <c r="AI141" i="1"/>
  <c r="AH141" i="1"/>
  <c r="AG141" i="1"/>
  <c r="AB141" i="1"/>
  <c r="AD141" i="1" s="1"/>
  <c r="AA141" i="1"/>
  <c r="AI140" i="1"/>
  <c r="AH140" i="1"/>
  <c r="AG140" i="1"/>
  <c r="AB140" i="1"/>
  <c r="AA140" i="1"/>
  <c r="AD140" i="1" s="1"/>
  <c r="AI139" i="1"/>
  <c r="AH139" i="1"/>
  <c r="AG139" i="1"/>
  <c r="AD139" i="1"/>
  <c r="AB139" i="1"/>
  <c r="AC139" i="1" s="1"/>
  <c r="AA139" i="1"/>
  <c r="AI138" i="1"/>
  <c r="AH138" i="1"/>
  <c r="AG138" i="1"/>
  <c r="AC138" i="1"/>
  <c r="AB138" i="1"/>
  <c r="AA138" i="1"/>
  <c r="AD138" i="1" s="1"/>
  <c r="AI137" i="1"/>
  <c r="AH137" i="1"/>
  <c r="AG137" i="1"/>
  <c r="AB137" i="1"/>
  <c r="AA137" i="1"/>
  <c r="AD137" i="1" s="1"/>
  <c r="AI136" i="1"/>
  <c r="AH136" i="1"/>
  <c r="AG136" i="1"/>
  <c r="AB136" i="1"/>
  <c r="AA136" i="1"/>
  <c r="AD136" i="1" s="1"/>
  <c r="AI135" i="1"/>
  <c r="AH135" i="1"/>
  <c r="AG135" i="1"/>
  <c r="AD135" i="1"/>
  <c r="AB135" i="1"/>
  <c r="AA135" i="1"/>
  <c r="AC135" i="1" s="1"/>
  <c r="AI134" i="1"/>
  <c r="AH134" i="1"/>
  <c r="AG134" i="1"/>
  <c r="AD134" i="1"/>
  <c r="AC134" i="1"/>
  <c r="AB134" i="1"/>
  <c r="AA134" i="1"/>
  <c r="AI133" i="1"/>
  <c r="AH133" i="1"/>
  <c r="AG133" i="1"/>
  <c r="AB133" i="1"/>
  <c r="AD133" i="1" s="1"/>
  <c r="AA133" i="1"/>
  <c r="AI132" i="1"/>
  <c r="AH132" i="1"/>
  <c r="AG132" i="1"/>
  <c r="AB132" i="1"/>
  <c r="AA132" i="1"/>
  <c r="AD132" i="1" s="1"/>
  <c r="AI131" i="1"/>
  <c r="AH131" i="1"/>
  <c r="AG131" i="1"/>
  <c r="AD131" i="1"/>
  <c r="AB131" i="1"/>
  <c r="AC131" i="1" s="1"/>
  <c r="AA131" i="1"/>
  <c r="AI130" i="1"/>
  <c r="AH130" i="1"/>
  <c r="AG130" i="1"/>
  <c r="AC130" i="1"/>
  <c r="AB130" i="1"/>
  <c r="AA130" i="1"/>
  <c r="AD130" i="1" s="1"/>
  <c r="AI129" i="1"/>
  <c r="AH129" i="1"/>
  <c r="AG129" i="1"/>
  <c r="AB129" i="1"/>
  <c r="AA129" i="1"/>
  <c r="AD129" i="1" s="1"/>
  <c r="AI128" i="1"/>
  <c r="AH128" i="1"/>
  <c r="AG128" i="1"/>
  <c r="AB128" i="1"/>
  <c r="AA128" i="1"/>
  <c r="AD128" i="1" s="1"/>
  <c r="AI127" i="1"/>
  <c r="AH127" i="1"/>
  <c r="AG127" i="1"/>
  <c r="AD127" i="1"/>
  <c r="AB127" i="1"/>
  <c r="AA127" i="1"/>
  <c r="AC127" i="1" s="1"/>
  <c r="AI126" i="1"/>
  <c r="AH126" i="1"/>
  <c r="AG126" i="1"/>
  <c r="AD126" i="1"/>
  <c r="AC126" i="1"/>
  <c r="AB126" i="1"/>
  <c r="AA126" i="1"/>
  <c r="AI125" i="1"/>
  <c r="AH125" i="1"/>
  <c r="AG125" i="1"/>
  <c r="AB125" i="1"/>
  <c r="AD125" i="1" s="1"/>
  <c r="AA125" i="1"/>
  <c r="AI124" i="1"/>
  <c r="AH124" i="1"/>
  <c r="AG124" i="1"/>
  <c r="AB124" i="1"/>
  <c r="AA124" i="1"/>
  <c r="AD124" i="1" s="1"/>
  <c r="AI123" i="1"/>
  <c r="AH123" i="1"/>
  <c r="AG123" i="1"/>
  <c r="AD123" i="1"/>
  <c r="AB123" i="1"/>
  <c r="AC123" i="1" s="1"/>
  <c r="AA123" i="1"/>
  <c r="AI122" i="1"/>
  <c r="AH122" i="1"/>
  <c r="AG122" i="1"/>
  <c r="AC122" i="1"/>
  <c r="AB122" i="1"/>
  <c r="AA122" i="1"/>
  <c r="AD122" i="1" s="1"/>
  <c r="AI121" i="1"/>
  <c r="AH121" i="1"/>
  <c r="AG121" i="1"/>
  <c r="AB121" i="1"/>
  <c r="AA121" i="1"/>
  <c r="AD121" i="1" s="1"/>
  <c r="AI120" i="1"/>
  <c r="AH120" i="1"/>
  <c r="AG120" i="1"/>
  <c r="AB120" i="1"/>
  <c r="AA120" i="1"/>
  <c r="AD120" i="1" s="1"/>
  <c r="AI119" i="1"/>
  <c r="AH119" i="1"/>
  <c r="AG119" i="1"/>
  <c r="AD119" i="1"/>
  <c r="AB119" i="1"/>
  <c r="AA119" i="1"/>
  <c r="AC119" i="1" s="1"/>
  <c r="AI118" i="1"/>
  <c r="AH118" i="1"/>
  <c r="AG118" i="1"/>
  <c r="AD118" i="1"/>
  <c r="AC118" i="1"/>
  <c r="AB118" i="1"/>
  <c r="AA118" i="1"/>
  <c r="AI117" i="1"/>
  <c r="AH117" i="1"/>
  <c r="AG117" i="1"/>
  <c r="AB117" i="1"/>
  <c r="AD117" i="1" s="1"/>
  <c r="AA117" i="1"/>
  <c r="AI116" i="1"/>
  <c r="AH116" i="1"/>
  <c r="AG116" i="1"/>
  <c r="AB116" i="1"/>
  <c r="AA116" i="1"/>
  <c r="AD116" i="1" s="1"/>
  <c r="AI115" i="1"/>
  <c r="AH115" i="1"/>
  <c r="AG115" i="1"/>
  <c r="AD115" i="1"/>
  <c r="AB115" i="1"/>
  <c r="AC115" i="1" s="1"/>
  <c r="AA115" i="1"/>
  <c r="AI114" i="1"/>
  <c r="AH114" i="1"/>
  <c r="AG114" i="1"/>
  <c r="AC114" i="1"/>
  <c r="AB114" i="1"/>
  <c r="AA114" i="1"/>
  <c r="AD114" i="1" s="1"/>
  <c r="AI113" i="1"/>
  <c r="AH113" i="1"/>
  <c r="AG113" i="1"/>
  <c r="AB113" i="1"/>
  <c r="AA113" i="1"/>
  <c r="AD113" i="1" s="1"/>
  <c r="AI112" i="1"/>
  <c r="AH112" i="1"/>
  <c r="AG112" i="1"/>
  <c r="AB112" i="1"/>
  <c r="AA112" i="1"/>
  <c r="AD112" i="1" s="1"/>
  <c r="AI111" i="1"/>
  <c r="AH111" i="1"/>
  <c r="AG111" i="1"/>
  <c r="AD111" i="1"/>
  <c r="AB111" i="1"/>
  <c r="AA111" i="1"/>
  <c r="AC111" i="1" s="1"/>
  <c r="AI110" i="1"/>
  <c r="AH110" i="1"/>
  <c r="AG110" i="1"/>
  <c r="AD110" i="1"/>
  <c r="AC110" i="1"/>
  <c r="AB110" i="1"/>
  <c r="AA110" i="1"/>
  <c r="AI109" i="1"/>
  <c r="AH109" i="1"/>
  <c r="AG109" i="1"/>
  <c r="AB109" i="1"/>
  <c r="AD109" i="1" s="1"/>
  <c r="AA109" i="1"/>
  <c r="AI108" i="1"/>
  <c r="AH108" i="1"/>
  <c r="AG108" i="1"/>
  <c r="AB108" i="1"/>
  <c r="AA108" i="1"/>
  <c r="AD108" i="1" s="1"/>
  <c r="AI107" i="1"/>
  <c r="AH107" i="1"/>
  <c r="AG107" i="1"/>
  <c r="AD107" i="1"/>
  <c r="AB107" i="1"/>
  <c r="AC107" i="1" s="1"/>
  <c r="AA107" i="1"/>
  <c r="AI106" i="1"/>
  <c r="AH106" i="1"/>
  <c r="AG106" i="1"/>
  <c r="AC106" i="1"/>
  <c r="AB106" i="1"/>
  <c r="AA106" i="1"/>
  <c r="AD106" i="1" s="1"/>
  <c r="AI105" i="1"/>
  <c r="AH105" i="1"/>
  <c r="AG105" i="1"/>
  <c r="AB105" i="1"/>
  <c r="AA105" i="1"/>
  <c r="AI104" i="1"/>
  <c r="AH104" i="1"/>
  <c r="AG104" i="1"/>
  <c r="AB104" i="1"/>
  <c r="AA104" i="1"/>
  <c r="AI103" i="1"/>
  <c r="AH103" i="1"/>
  <c r="AG103" i="1"/>
  <c r="AD103" i="1"/>
  <c r="AB103" i="1"/>
  <c r="AA103" i="1"/>
  <c r="AC103" i="1" s="1"/>
  <c r="AI102" i="1"/>
  <c r="AH102" i="1"/>
  <c r="AG102" i="1"/>
  <c r="AD102" i="1"/>
  <c r="AC102" i="1"/>
  <c r="AB102" i="1"/>
  <c r="AA102" i="1"/>
  <c r="AI101" i="1"/>
  <c r="AH101" i="1"/>
  <c r="AG101" i="1"/>
  <c r="AB101" i="1"/>
  <c r="AD101" i="1" s="1"/>
  <c r="AA101" i="1"/>
  <c r="AI100" i="1"/>
  <c r="AH100" i="1"/>
  <c r="AG100" i="1"/>
  <c r="AB100" i="1"/>
  <c r="AA100" i="1"/>
  <c r="AD100" i="1" s="1"/>
  <c r="AI99" i="1"/>
  <c r="AH99" i="1"/>
  <c r="AG99" i="1"/>
  <c r="AD99" i="1"/>
  <c r="AB99" i="1"/>
  <c r="AC99" i="1" s="1"/>
  <c r="AA99" i="1"/>
  <c r="AI98" i="1"/>
  <c r="AH98" i="1"/>
  <c r="AG98" i="1"/>
  <c r="AC98" i="1"/>
  <c r="AB98" i="1"/>
  <c r="AA98" i="1"/>
  <c r="AD98" i="1" s="1"/>
  <c r="AI97" i="1"/>
  <c r="AH97" i="1"/>
  <c r="AG97" i="1"/>
  <c r="AB97" i="1"/>
  <c r="AA97" i="1"/>
  <c r="AI96" i="1"/>
  <c r="AH96" i="1"/>
  <c r="AG96" i="1"/>
  <c r="AB96" i="1"/>
  <c r="AA96" i="1"/>
  <c r="AI95" i="1"/>
  <c r="AH95" i="1"/>
  <c r="AG95" i="1"/>
  <c r="AD95" i="1"/>
  <c r="AB95" i="1"/>
  <c r="AA95" i="1"/>
  <c r="AC95" i="1" s="1"/>
  <c r="AI94" i="1"/>
  <c r="AH94" i="1"/>
  <c r="AG94" i="1"/>
  <c r="AD94" i="1"/>
  <c r="AC94" i="1"/>
  <c r="AB94" i="1"/>
  <c r="AA94" i="1"/>
  <c r="AI93" i="1"/>
  <c r="AH93" i="1"/>
  <c r="AG93" i="1"/>
  <c r="AD93" i="1"/>
  <c r="AB93" i="1"/>
  <c r="AC93" i="1" s="1"/>
  <c r="AA93" i="1"/>
  <c r="AI92" i="1"/>
  <c r="AH92" i="1"/>
  <c r="AG92" i="1"/>
  <c r="AD92" i="1"/>
  <c r="AC92" i="1"/>
  <c r="AB92" i="1"/>
  <c r="AA92" i="1"/>
  <c r="AI91" i="1"/>
  <c r="AH91" i="1"/>
  <c r="AG91" i="1"/>
  <c r="AD91" i="1"/>
  <c r="AC91" i="1"/>
  <c r="AB91" i="1"/>
  <c r="AA91" i="1"/>
  <c r="AI90" i="1"/>
  <c r="AH90" i="1"/>
  <c r="AG90" i="1"/>
  <c r="AB90" i="1"/>
  <c r="AC90" i="1" s="1"/>
  <c r="AA90" i="1"/>
  <c r="AD90" i="1" s="1"/>
  <c r="AI89" i="1"/>
  <c r="AH89" i="1"/>
  <c r="AG89" i="1"/>
  <c r="AB89" i="1"/>
  <c r="AA89" i="1"/>
  <c r="AI88" i="1"/>
  <c r="AH88" i="1"/>
  <c r="AG88" i="1"/>
  <c r="AB88" i="1"/>
  <c r="AA88" i="1"/>
  <c r="AI87" i="1"/>
  <c r="AH87" i="1"/>
  <c r="AG87" i="1"/>
  <c r="AD87" i="1"/>
  <c r="AB87" i="1"/>
  <c r="AA87" i="1"/>
  <c r="AC87" i="1" s="1"/>
  <c r="AI86" i="1"/>
  <c r="AH86" i="1"/>
  <c r="AG86" i="1"/>
  <c r="AD86" i="1"/>
  <c r="AC86" i="1"/>
  <c r="AB86" i="1"/>
  <c r="AA86" i="1"/>
  <c r="AI85" i="1"/>
  <c r="AH85" i="1"/>
  <c r="AG85" i="1"/>
  <c r="AD85" i="1"/>
  <c r="AB85" i="1"/>
  <c r="AC85" i="1" s="1"/>
  <c r="AA85" i="1"/>
  <c r="AI84" i="1"/>
  <c r="AH84" i="1"/>
  <c r="AG84" i="1"/>
  <c r="AD84" i="1"/>
  <c r="AC84" i="1"/>
  <c r="AB84" i="1"/>
  <c r="AA84" i="1"/>
  <c r="AI83" i="1"/>
  <c r="AH83" i="1"/>
  <c r="AG83" i="1"/>
  <c r="AD83" i="1"/>
  <c r="AC83" i="1"/>
  <c r="AB83" i="1"/>
  <c r="AA83" i="1"/>
  <c r="AI82" i="1"/>
  <c r="AH82" i="1"/>
  <c r="AG82" i="1"/>
  <c r="AB82" i="1"/>
  <c r="AC82" i="1" s="1"/>
  <c r="AA82" i="1"/>
  <c r="AD82" i="1" s="1"/>
  <c r="AI81" i="1"/>
  <c r="AH81" i="1"/>
  <c r="AG81" i="1"/>
  <c r="AB81" i="1"/>
  <c r="AA81" i="1"/>
  <c r="AI80" i="1"/>
  <c r="AH80" i="1"/>
  <c r="AG80" i="1"/>
  <c r="AB80" i="1"/>
  <c r="AA80" i="1"/>
  <c r="AI79" i="1"/>
  <c r="AH79" i="1"/>
  <c r="AG79" i="1"/>
  <c r="AD79" i="1"/>
  <c r="AB79" i="1"/>
  <c r="AA79" i="1"/>
  <c r="AC79" i="1" s="1"/>
  <c r="AI78" i="1"/>
  <c r="AH78" i="1"/>
  <c r="AG78" i="1"/>
  <c r="AD78" i="1"/>
  <c r="AC78" i="1"/>
  <c r="AB78" i="1"/>
  <c r="AA78" i="1"/>
  <c r="AI77" i="1"/>
  <c r="AH77" i="1"/>
  <c r="AG77" i="1"/>
  <c r="AD77" i="1"/>
  <c r="AB77" i="1"/>
  <c r="AC77" i="1" s="1"/>
  <c r="AA77" i="1"/>
  <c r="AI76" i="1"/>
  <c r="AH76" i="1"/>
  <c r="AG76" i="1"/>
  <c r="AD76" i="1"/>
  <c r="AC76" i="1"/>
  <c r="AB76" i="1"/>
  <c r="AA76" i="1"/>
  <c r="AI75" i="1"/>
  <c r="AH75" i="1"/>
  <c r="AG75" i="1"/>
  <c r="AD75" i="1"/>
  <c r="AC75" i="1"/>
  <c r="AB75" i="1"/>
  <c r="AA75" i="1"/>
  <c r="AI74" i="1"/>
  <c r="AH74" i="1"/>
  <c r="AG74" i="1"/>
  <c r="AB74" i="1"/>
  <c r="AC74" i="1" s="1"/>
  <c r="AA74" i="1"/>
  <c r="AI73" i="1"/>
  <c r="AH73" i="1"/>
  <c r="AG73" i="1"/>
  <c r="AB73" i="1"/>
  <c r="AA73" i="1"/>
  <c r="AI72" i="1"/>
  <c r="AH72" i="1"/>
  <c r="AG72" i="1"/>
  <c r="AB72" i="1"/>
  <c r="AA72" i="1"/>
  <c r="AI71" i="1"/>
  <c r="AH71" i="1"/>
  <c r="AG71" i="1"/>
  <c r="AD71" i="1"/>
  <c r="AB71" i="1"/>
  <c r="AA71" i="1"/>
  <c r="AC71" i="1" s="1"/>
  <c r="AI70" i="1"/>
  <c r="AH70" i="1"/>
  <c r="AG70" i="1"/>
  <c r="AD70" i="1"/>
  <c r="AC70" i="1"/>
  <c r="AB70" i="1"/>
  <c r="AA70" i="1"/>
  <c r="AI69" i="1"/>
  <c r="AH69" i="1"/>
  <c r="AG69" i="1"/>
  <c r="AD69" i="1"/>
  <c r="AB69" i="1"/>
  <c r="AC69" i="1" s="1"/>
  <c r="AA69" i="1"/>
  <c r="AI68" i="1"/>
  <c r="AH68" i="1"/>
  <c r="AG68" i="1"/>
  <c r="AD68" i="1"/>
  <c r="AC68" i="1"/>
  <c r="AB68" i="1"/>
  <c r="AA68" i="1"/>
  <c r="AI67" i="1"/>
  <c r="AH67" i="1"/>
  <c r="AG67" i="1"/>
  <c r="AD67" i="1"/>
  <c r="AC67" i="1"/>
  <c r="AB67" i="1"/>
  <c r="AA67" i="1"/>
  <c r="AI66" i="1"/>
  <c r="AH66" i="1"/>
  <c r="AG66" i="1"/>
  <c r="AC66" i="1"/>
  <c r="AB66" i="1"/>
  <c r="AA66" i="1"/>
  <c r="AD66" i="1" s="1"/>
  <c r="AI65" i="1"/>
  <c r="AH65" i="1"/>
  <c r="AG65" i="1"/>
  <c r="AB65" i="1"/>
  <c r="AA65" i="1"/>
  <c r="AI64" i="1"/>
  <c r="AH64" i="1"/>
  <c r="AG64" i="1"/>
  <c r="AB64" i="1"/>
  <c r="AA64" i="1"/>
  <c r="AI63" i="1"/>
  <c r="AH63" i="1"/>
  <c r="AG63" i="1"/>
  <c r="AD63" i="1"/>
  <c r="AB63" i="1"/>
  <c r="AA63" i="1"/>
  <c r="AC63" i="1" s="1"/>
  <c r="AI62" i="1"/>
  <c r="AH62" i="1"/>
  <c r="AG62" i="1"/>
  <c r="AD62" i="1"/>
  <c r="AC62" i="1"/>
  <c r="AB62" i="1"/>
  <c r="AA62" i="1"/>
  <c r="AI61" i="1"/>
  <c r="AH61" i="1"/>
  <c r="AG61" i="1"/>
  <c r="AD61" i="1"/>
  <c r="AB61" i="1"/>
  <c r="AC61" i="1" s="1"/>
  <c r="AA61" i="1"/>
  <c r="AI60" i="1"/>
  <c r="AH60" i="1"/>
  <c r="AG60" i="1"/>
  <c r="AD60" i="1"/>
  <c r="AC60" i="1"/>
  <c r="AB60" i="1"/>
  <c r="AA60" i="1"/>
  <c r="AI59" i="1"/>
  <c r="AH59" i="1"/>
  <c r="AG59" i="1"/>
  <c r="AD59" i="1"/>
  <c r="AC59" i="1"/>
  <c r="AB59" i="1"/>
  <c r="AA59" i="1"/>
  <c r="AI58" i="1"/>
  <c r="AH58" i="1"/>
  <c r="AG58" i="1"/>
  <c r="AB58" i="1"/>
  <c r="AA58" i="1"/>
  <c r="AC58" i="1" s="1"/>
  <c r="AI57" i="1"/>
  <c r="AH57" i="1"/>
  <c r="AG57" i="1"/>
  <c r="AB57" i="1"/>
  <c r="AA57" i="1"/>
  <c r="AI56" i="1"/>
  <c r="AH56" i="1"/>
  <c r="AG56" i="1"/>
  <c r="AB56" i="1"/>
  <c r="AA56" i="1"/>
  <c r="AI55" i="1"/>
  <c r="AH55" i="1"/>
  <c r="AG55" i="1"/>
  <c r="AD55" i="1"/>
  <c r="AB55" i="1"/>
  <c r="AA55" i="1"/>
  <c r="AC55" i="1" s="1"/>
  <c r="AI54" i="1"/>
  <c r="AH54" i="1"/>
  <c r="AG54" i="1"/>
  <c r="AD54" i="1"/>
  <c r="AC54" i="1"/>
  <c r="AB54" i="1"/>
  <c r="AA54" i="1"/>
  <c r="AI53" i="1"/>
  <c r="AH53" i="1"/>
  <c r="AG53" i="1"/>
  <c r="AD53" i="1"/>
  <c r="AB53" i="1"/>
  <c r="AC53" i="1" s="1"/>
  <c r="AA53" i="1"/>
  <c r="AI52" i="1"/>
  <c r="AH52" i="1"/>
  <c r="AG52" i="1"/>
  <c r="AD52" i="1"/>
  <c r="AC52" i="1"/>
  <c r="AB52" i="1"/>
  <c r="AA52" i="1"/>
  <c r="AI51" i="1"/>
  <c r="AH51" i="1"/>
  <c r="AG51" i="1"/>
  <c r="AD51" i="1"/>
  <c r="AC51" i="1"/>
  <c r="AB51" i="1"/>
  <c r="AA51" i="1"/>
  <c r="AI50" i="1"/>
  <c r="AH50" i="1"/>
  <c r="AG50" i="1"/>
  <c r="AC50" i="1"/>
  <c r="AB50" i="1"/>
  <c r="AA50" i="1"/>
  <c r="AI49" i="1"/>
  <c r="AH49" i="1"/>
  <c r="AG49" i="1"/>
  <c r="AB49" i="1"/>
  <c r="AA49" i="1"/>
  <c r="AI48" i="1"/>
  <c r="AH48" i="1"/>
  <c r="AG48" i="1"/>
  <c r="AB48" i="1"/>
  <c r="AA48" i="1"/>
  <c r="AI47" i="1"/>
  <c r="AH47" i="1"/>
  <c r="AG47" i="1"/>
  <c r="AD47" i="1"/>
  <c r="AB47" i="1"/>
  <c r="AA47" i="1"/>
  <c r="AC47" i="1" s="1"/>
  <c r="AI46" i="1"/>
  <c r="AH46" i="1"/>
  <c r="AG46" i="1"/>
  <c r="AD46" i="1"/>
  <c r="AC46" i="1"/>
  <c r="AB46" i="1"/>
  <c r="AA46" i="1"/>
  <c r="AI45" i="1"/>
  <c r="AH45" i="1"/>
  <c r="AG45" i="1"/>
  <c r="AB45" i="1"/>
  <c r="AC45" i="1" s="1"/>
  <c r="AA45" i="1"/>
  <c r="AI44" i="1"/>
  <c r="AH44" i="1"/>
  <c r="AG44" i="1"/>
  <c r="AB44" i="1"/>
  <c r="AA44" i="1"/>
  <c r="AD44" i="1" s="1"/>
  <c r="AI43" i="1"/>
  <c r="AH43" i="1"/>
  <c r="AG43" i="1"/>
  <c r="AD43" i="1"/>
  <c r="AC43" i="1"/>
  <c r="AB43" i="1"/>
  <c r="AA43" i="1"/>
  <c r="AI42" i="1"/>
  <c r="AH42" i="1"/>
  <c r="AG42" i="1"/>
  <c r="AC42" i="1"/>
  <c r="AB42" i="1"/>
  <c r="AA42" i="1"/>
  <c r="AI41" i="1"/>
  <c r="AH41" i="1"/>
  <c r="AG41" i="1"/>
  <c r="AB41" i="1"/>
  <c r="AA41" i="1"/>
  <c r="AI40" i="1"/>
  <c r="AH40" i="1"/>
  <c r="AG40" i="1"/>
  <c r="AB40" i="1"/>
  <c r="AA40" i="1"/>
  <c r="AI39" i="1"/>
  <c r="AH39" i="1"/>
  <c r="AG39" i="1"/>
  <c r="AD39" i="1"/>
  <c r="AB39" i="1"/>
  <c r="AA39" i="1"/>
  <c r="AC39" i="1" s="1"/>
  <c r="AI38" i="1"/>
  <c r="AH38" i="1"/>
  <c r="AG38" i="1"/>
  <c r="AD38" i="1"/>
  <c r="AC38" i="1"/>
  <c r="AB38" i="1"/>
  <c r="AA38" i="1"/>
  <c r="AI37" i="1"/>
  <c r="AH37" i="1"/>
  <c r="AG37" i="1"/>
  <c r="AD37" i="1"/>
  <c r="AB37" i="1"/>
  <c r="AC37" i="1" s="1"/>
  <c r="AA37" i="1"/>
  <c r="AI36" i="1"/>
  <c r="AH36" i="1"/>
  <c r="AG36" i="1"/>
  <c r="AC36" i="1"/>
  <c r="AB36" i="1"/>
  <c r="AA36" i="1"/>
  <c r="AD36" i="1" s="1"/>
  <c r="AI35" i="1"/>
  <c r="AH35" i="1"/>
  <c r="AG35" i="1"/>
  <c r="AB35" i="1"/>
  <c r="AD35" i="1" s="1"/>
  <c r="AA35" i="1"/>
  <c r="AI34" i="1"/>
  <c r="AH34" i="1"/>
  <c r="AG34" i="1"/>
  <c r="AB34" i="1"/>
  <c r="AA34" i="1"/>
  <c r="AI33" i="1"/>
  <c r="AH33" i="1"/>
  <c r="AG33" i="1"/>
  <c r="AB33" i="1"/>
  <c r="AA33" i="1"/>
  <c r="AI32" i="1"/>
  <c r="AH32" i="1"/>
  <c r="AG32" i="1"/>
  <c r="AB32" i="1"/>
  <c r="AA32" i="1"/>
  <c r="AI31" i="1"/>
  <c r="AH31" i="1"/>
  <c r="AG31" i="1"/>
  <c r="AD31" i="1"/>
  <c r="AB31" i="1"/>
  <c r="AA31" i="1"/>
  <c r="AC31" i="1" s="1"/>
  <c r="AI30" i="1"/>
  <c r="AH30" i="1"/>
  <c r="AG30" i="1"/>
  <c r="AD30" i="1"/>
  <c r="AC30" i="1"/>
  <c r="AB30" i="1"/>
  <c r="AA30" i="1"/>
  <c r="AI29" i="1"/>
  <c r="AH29" i="1"/>
  <c r="AG29" i="1"/>
  <c r="AB29" i="1"/>
  <c r="AC29" i="1" s="1"/>
  <c r="AA29" i="1"/>
  <c r="AI28" i="1"/>
  <c r="AH28" i="1"/>
  <c r="AG28" i="1"/>
  <c r="AC28" i="1"/>
  <c r="AB28" i="1"/>
  <c r="AA28" i="1"/>
  <c r="AD28" i="1" s="1"/>
  <c r="AI27" i="1"/>
  <c r="AH27" i="1"/>
  <c r="AG27" i="1"/>
  <c r="AB27" i="1"/>
  <c r="AD27" i="1" s="1"/>
  <c r="AA27" i="1"/>
  <c r="AI26" i="1"/>
  <c r="AH26" i="1"/>
  <c r="AG26" i="1"/>
  <c r="AB26" i="1"/>
  <c r="AA26" i="1"/>
  <c r="AD26" i="1" s="1"/>
  <c r="AI25" i="1"/>
  <c r="AH25" i="1"/>
  <c r="AG25" i="1"/>
  <c r="AB25" i="1"/>
  <c r="AA25" i="1"/>
  <c r="AI24" i="1"/>
  <c r="AH24" i="1"/>
  <c r="AG24" i="1"/>
  <c r="AB24" i="1"/>
  <c r="AA24" i="1"/>
  <c r="AI23" i="1"/>
  <c r="AH23" i="1"/>
  <c r="AG23" i="1"/>
  <c r="AD23" i="1"/>
  <c r="AB23" i="1"/>
  <c r="AA23" i="1"/>
  <c r="AC23" i="1" s="1"/>
  <c r="AI22" i="1"/>
  <c r="AH22" i="1"/>
  <c r="AG22" i="1"/>
  <c r="AD22" i="1"/>
  <c r="AC22" i="1"/>
  <c r="AB22" i="1"/>
  <c r="AA22" i="1"/>
  <c r="AI21" i="1"/>
  <c r="AH21" i="1"/>
  <c r="AG21" i="1"/>
  <c r="AD21" i="1"/>
  <c r="AB21" i="1"/>
  <c r="AC21" i="1" s="1"/>
  <c r="AA21" i="1"/>
  <c r="AI20" i="1"/>
  <c r="AH20" i="1"/>
  <c r="AG20" i="1"/>
  <c r="AD20" i="1"/>
  <c r="AC20" i="1"/>
  <c r="AB20" i="1"/>
  <c r="AA20" i="1"/>
  <c r="AI19" i="1"/>
  <c r="AH19" i="1"/>
  <c r="AG19" i="1"/>
  <c r="AC19" i="1"/>
  <c r="AB19" i="1"/>
  <c r="AD19" i="1" s="1"/>
  <c r="AA19" i="1"/>
  <c r="AI18" i="1"/>
  <c r="AH18" i="1"/>
  <c r="AG18" i="1"/>
  <c r="AB18" i="1"/>
  <c r="AA18" i="1"/>
  <c r="AD18" i="1" s="1"/>
  <c r="AI17" i="1"/>
  <c r="AH17" i="1"/>
  <c r="AG17" i="1"/>
  <c r="AB17" i="1"/>
  <c r="AA17" i="1"/>
  <c r="AI16" i="1"/>
  <c r="AH16" i="1"/>
  <c r="AG16" i="1"/>
  <c r="AB16" i="1"/>
  <c r="AA16" i="1"/>
  <c r="AI15" i="1"/>
  <c r="AH15" i="1"/>
  <c r="AG15" i="1"/>
  <c r="AD15" i="1"/>
  <c r="AB15" i="1"/>
  <c r="AA15" i="1"/>
  <c r="AC15" i="1" s="1"/>
  <c r="AI14" i="1"/>
  <c r="AH14" i="1"/>
  <c r="AG14" i="1"/>
  <c r="AD14" i="1"/>
  <c r="AC14" i="1"/>
  <c r="AB14" i="1"/>
  <c r="AA14" i="1"/>
  <c r="AI13" i="1"/>
  <c r="AH13" i="1"/>
  <c r="AG13" i="1"/>
  <c r="AB13" i="1"/>
  <c r="AD13" i="1" s="1"/>
  <c r="AA13" i="1"/>
  <c r="AI12" i="1"/>
  <c r="AH12" i="1"/>
  <c r="AG12" i="1"/>
  <c r="AB12" i="1"/>
  <c r="AA12" i="1"/>
  <c r="AC12" i="1" s="1"/>
  <c r="AI11" i="1"/>
  <c r="AH11" i="1"/>
  <c r="AG11" i="1"/>
  <c r="AC11" i="1"/>
  <c r="AB11" i="1"/>
  <c r="AA11" i="1"/>
  <c r="AD11" i="1" s="1"/>
  <c r="AI10" i="1"/>
  <c r="AH10" i="1"/>
  <c r="AG10" i="1"/>
  <c r="AB10" i="1"/>
  <c r="AD10" i="1" s="1"/>
  <c r="AA10" i="1"/>
  <c r="AC10" i="1" s="1"/>
  <c r="AI9" i="1"/>
  <c r="AH9" i="1"/>
  <c r="AG9" i="1"/>
  <c r="AB9" i="1"/>
  <c r="AA9" i="1"/>
  <c r="AI8" i="1"/>
  <c r="AH8" i="1"/>
  <c r="AG8" i="1"/>
  <c r="AD8" i="1"/>
  <c r="AB8" i="1"/>
  <c r="AA8" i="1"/>
  <c r="AI7" i="1"/>
  <c r="AH7" i="1"/>
  <c r="AG7" i="1"/>
  <c r="AB7" i="1"/>
  <c r="AA7" i="1"/>
  <c r="AD7" i="1" s="1"/>
  <c r="AI6" i="1"/>
  <c r="AH6" i="1"/>
  <c r="AG6" i="1"/>
  <c r="AB6" i="1"/>
  <c r="AA6" i="1"/>
  <c r="AC6" i="1" s="1"/>
  <c r="AI5" i="1"/>
  <c r="AH5" i="1"/>
  <c r="AG5" i="1"/>
  <c r="AB5" i="1"/>
  <c r="AB2" i="1" s="1"/>
  <c r="AA5" i="1"/>
  <c r="AA2" i="1" s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Y1" i="1"/>
  <c r="Z1" i="1" s="1"/>
  <c r="M1" i="1"/>
  <c r="N1" i="1" s="1"/>
  <c r="O1" i="1" s="1"/>
  <c r="P1" i="1" s="1"/>
  <c r="Q1" i="1" s="1"/>
  <c r="R1" i="1" s="1"/>
  <c r="S1" i="1" s="1"/>
  <c r="T1" i="1" s="1"/>
  <c r="U1" i="1" s="1"/>
  <c r="V1" i="1" s="1"/>
  <c r="W1" i="1" s="1"/>
  <c r="AC1" i="1" s="1"/>
  <c r="AD12" i="1" l="1"/>
  <c r="AD16" i="1"/>
  <c r="AC16" i="1"/>
  <c r="AD41" i="1"/>
  <c r="AC41" i="1"/>
  <c r="AD80" i="1"/>
  <c r="AC80" i="1"/>
  <c r="AC5" i="1"/>
  <c r="AD6" i="1"/>
  <c r="AD9" i="1"/>
  <c r="AD24" i="1"/>
  <c r="AC24" i="1"/>
  <c r="AD29" i="1"/>
  <c r="AD49" i="1"/>
  <c r="AC49" i="1"/>
  <c r="AD74" i="1"/>
  <c r="AD88" i="1"/>
  <c r="AC88" i="1"/>
  <c r="AD32" i="1"/>
  <c r="AC32" i="1"/>
  <c r="AD57" i="1"/>
  <c r="AC57" i="1"/>
  <c r="AD96" i="1"/>
  <c r="AC96" i="1"/>
  <c r="AD5" i="1"/>
  <c r="AC8" i="1"/>
  <c r="AC9" i="1"/>
  <c r="AC27" i="1"/>
  <c r="AD40" i="1"/>
  <c r="AC40" i="1"/>
  <c r="AD45" i="1"/>
  <c r="AD65" i="1"/>
  <c r="AC65" i="1"/>
  <c r="AC18" i="1"/>
  <c r="AD34" i="1"/>
  <c r="AC35" i="1"/>
  <c r="AC44" i="1"/>
  <c r="AD48" i="1"/>
  <c r="AC48" i="1"/>
  <c r="AD73" i="1"/>
  <c r="AC73" i="1"/>
  <c r="AD105" i="1"/>
  <c r="AD17" i="1"/>
  <c r="AC17" i="1"/>
  <c r="AC26" i="1"/>
  <c r="AD42" i="1"/>
  <c r="AD56" i="1"/>
  <c r="AC56" i="1"/>
  <c r="AD81" i="1"/>
  <c r="AC81" i="1"/>
  <c r="AC7" i="1"/>
  <c r="AC13" i="1"/>
  <c r="AD25" i="1"/>
  <c r="AC25" i="1"/>
  <c r="AC34" i="1"/>
  <c r="AD50" i="1"/>
  <c r="AD64" i="1"/>
  <c r="AC64" i="1"/>
  <c r="AD89" i="1"/>
  <c r="AC89" i="1"/>
  <c r="AD33" i="1"/>
  <c r="AC33" i="1"/>
  <c r="AD58" i="1"/>
  <c r="AD72" i="1"/>
  <c r="AC72" i="1"/>
  <c r="AD97" i="1"/>
  <c r="AD104" i="1"/>
  <c r="AC104" i="1"/>
  <c r="AD251" i="1"/>
  <c r="AD259" i="1"/>
  <c r="AD265" i="1"/>
  <c r="AD291" i="1"/>
  <c r="AD297" i="1"/>
  <c r="AC377" i="1"/>
  <c r="AD377" i="1"/>
  <c r="AD381" i="1"/>
  <c r="AC381" i="1"/>
  <c r="AD402" i="1"/>
  <c r="AC402" i="1"/>
  <c r="AC409" i="1"/>
  <c r="AD409" i="1"/>
  <c r="AD413" i="1"/>
  <c r="AC413" i="1"/>
  <c r="AD437" i="1"/>
  <c r="AC437" i="1"/>
  <c r="AD453" i="1"/>
  <c r="AC453" i="1"/>
  <c r="AD469" i="1"/>
  <c r="AC469" i="1"/>
  <c r="AC97" i="1"/>
  <c r="AC105" i="1"/>
  <c r="AC113" i="1"/>
  <c r="AC121" i="1"/>
  <c r="AC129" i="1"/>
  <c r="AC137" i="1"/>
  <c r="AC145" i="1"/>
  <c r="AC153" i="1"/>
  <c r="AC161" i="1"/>
  <c r="AC169" i="1"/>
  <c r="AC177" i="1"/>
  <c r="AC185" i="1"/>
  <c r="AC193" i="1"/>
  <c r="AC201" i="1"/>
  <c r="AC209" i="1"/>
  <c r="AC217" i="1"/>
  <c r="AC233" i="1"/>
  <c r="AC241" i="1"/>
  <c r="AC249" i="1"/>
  <c r="AC257" i="1"/>
  <c r="AC277" i="1"/>
  <c r="AC283" i="1"/>
  <c r="AC289" i="1"/>
  <c r="AC313" i="1"/>
  <c r="AD319" i="1"/>
  <c r="AD336" i="1"/>
  <c r="AC336" i="1"/>
  <c r="AC354" i="1"/>
  <c r="AC362" i="1"/>
  <c r="AC369" i="1"/>
  <c r="AD369" i="1"/>
  <c r="AD388" i="1"/>
  <c r="AD420" i="1"/>
  <c r="AC112" i="1"/>
  <c r="AC120" i="1"/>
  <c r="AC128" i="1"/>
  <c r="AC136" i="1"/>
  <c r="AC144" i="1"/>
  <c r="AC152" i="1"/>
  <c r="AC160" i="1"/>
  <c r="AC168" i="1"/>
  <c r="AC176" i="1"/>
  <c r="AC184" i="1"/>
  <c r="AC192" i="1"/>
  <c r="AC200" i="1"/>
  <c r="AC208" i="1"/>
  <c r="AC216" i="1"/>
  <c r="AC224" i="1"/>
  <c r="AC232" i="1"/>
  <c r="AC240" i="1"/>
  <c r="AC248" i="1"/>
  <c r="AC256" i="1"/>
  <c r="AC270" i="1"/>
  <c r="AC276" i="1"/>
  <c r="AC282" i="1"/>
  <c r="AC302" i="1"/>
  <c r="AD308" i="1"/>
  <c r="AC318" i="1"/>
  <c r="AD321" i="1"/>
  <c r="AD332" i="1"/>
  <c r="AC340" i="1"/>
  <c r="AC341" i="1"/>
  <c r="AC345" i="1"/>
  <c r="AC361" i="1"/>
  <c r="AD361" i="1"/>
  <c r="AD373" i="1"/>
  <c r="AC373" i="1"/>
  <c r="AD394" i="1"/>
  <c r="AC394" i="1"/>
  <c r="AC401" i="1"/>
  <c r="AD401" i="1"/>
  <c r="AD405" i="1"/>
  <c r="AC405" i="1"/>
  <c r="AD426" i="1"/>
  <c r="AC426" i="1"/>
  <c r="AD436" i="1"/>
  <c r="AC436" i="1"/>
  <c r="AD452" i="1"/>
  <c r="AC452" i="1"/>
  <c r="AD468" i="1"/>
  <c r="AC468" i="1"/>
  <c r="AD263" i="1"/>
  <c r="AD280" i="1"/>
  <c r="AC287" i="1"/>
  <c r="AC288" i="1"/>
  <c r="AD295" i="1"/>
  <c r="AC311" i="1"/>
  <c r="AD344" i="1"/>
  <c r="AC344" i="1"/>
  <c r="AD349" i="1"/>
  <c r="AC349" i="1"/>
  <c r="AD365" i="1"/>
  <c r="AC365" i="1"/>
  <c r="AC316" i="1"/>
  <c r="AD329" i="1"/>
  <c r="AC330" i="1"/>
  <c r="AD352" i="1"/>
  <c r="AC352" i="1"/>
  <c r="AD357" i="1"/>
  <c r="AC357" i="1"/>
  <c r="AD368" i="1"/>
  <c r="AC368" i="1"/>
  <c r="AD386" i="1"/>
  <c r="AC386" i="1"/>
  <c r="AC393" i="1"/>
  <c r="AD393" i="1"/>
  <c r="AD397" i="1"/>
  <c r="AC397" i="1"/>
  <c r="AD418" i="1"/>
  <c r="AC418" i="1"/>
  <c r="AC425" i="1"/>
  <c r="AD425" i="1"/>
  <c r="AD429" i="1"/>
  <c r="AC429" i="1"/>
  <c r="AD445" i="1"/>
  <c r="AC445" i="1"/>
  <c r="AD461" i="1"/>
  <c r="AC461" i="1"/>
  <c r="AC101" i="1"/>
  <c r="AC109" i="1"/>
  <c r="AC117" i="1"/>
  <c r="AC125" i="1"/>
  <c r="AC133" i="1"/>
  <c r="AC141" i="1"/>
  <c r="AC149" i="1"/>
  <c r="AC157" i="1"/>
  <c r="AC165" i="1"/>
  <c r="AC173" i="1"/>
  <c r="AC181" i="1"/>
  <c r="AC189" i="1"/>
  <c r="AC197" i="1"/>
  <c r="AC205" i="1"/>
  <c r="AD320" i="1"/>
  <c r="AC320" i="1"/>
  <c r="AD335" i="1"/>
  <c r="AD360" i="1"/>
  <c r="AC360" i="1"/>
  <c r="AD372" i="1"/>
  <c r="AD404" i="1"/>
  <c r="AC100" i="1"/>
  <c r="AC108" i="1"/>
  <c r="AC116" i="1"/>
  <c r="AC124" i="1"/>
  <c r="AC132" i="1"/>
  <c r="AC140" i="1"/>
  <c r="AC148" i="1"/>
  <c r="AC156" i="1"/>
  <c r="AC164" i="1"/>
  <c r="AC172" i="1"/>
  <c r="AC180" i="1"/>
  <c r="AC188" i="1"/>
  <c r="AC196" i="1"/>
  <c r="AC204" i="1"/>
  <c r="AC220" i="1"/>
  <c r="AC292" i="1"/>
  <c r="AC298" i="1"/>
  <c r="AD316" i="1"/>
  <c r="AC325" i="1"/>
  <c r="AC329" i="1"/>
  <c r="AD378" i="1"/>
  <c r="AC378" i="1"/>
  <c r="AC385" i="1"/>
  <c r="AD385" i="1"/>
  <c r="AD389" i="1"/>
  <c r="AC389" i="1"/>
  <c r="AD410" i="1"/>
  <c r="AC410" i="1"/>
  <c r="AC417" i="1"/>
  <c r="AD417" i="1"/>
  <c r="AD421" i="1"/>
  <c r="AC421" i="1"/>
  <c r="AD444" i="1"/>
  <c r="AC444" i="1"/>
  <c r="AD460" i="1"/>
  <c r="AC460" i="1"/>
  <c r="AD264" i="1"/>
  <c r="AC271" i="1"/>
  <c r="AC272" i="1"/>
  <c r="AD279" i="1"/>
  <c r="AD296" i="1"/>
  <c r="AC303" i="1"/>
  <c r="AC304" i="1"/>
  <c r="AD328" i="1"/>
  <c r="AC328" i="1"/>
  <c r="AD343" i="1"/>
  <c r="AD356" i="1"/>
  <c r="AD396" i="1"/>
  <c r="AD428" i="1"/>
  <c r="AC376" i="1"/>
  <c r="AC384" i="1"/>
  <c r="AC392" i="1"/>
  <c r="AC400" i="1"/>
  <c r="AC408" i="1"/>
  <c r="AC416" i="1"/>
  <c r="AC424" i="1"/>
  <c r="AC432" i="1"/>
  <c r="AD433" i="1"/>
  <c r="AC440" i="1"/>
  <c r="AD441" i="1"/>
  <c r="AC448" i="1"/>
  <c r="AD449" i="1"/>
  <c r="AC456" i="1"/>
  <c r="AD457" i="1"/>
  <c r="AC464" i="1"/>
  <c r="AD465" i="1"/>
  <c r="AC472" i="1"/>
  <c r="AD473" i="1"/>
  <c r="AC480" i="1"/>
  <c r="AD481" i="1"/>
  <c r="AC488" i="1"/>
  <c r="AD489" i="1"/>
  <c r="AC496" i="1"/>
  <c r="AD497" i="1"/>
  <c r="AC504" i="1"/>
  <c r="AD505" i="1"/>
  <c r="AC512" i="1"/>
  <c r="AD513" i="1"/>
  <c r="AC520" i="1"/>
  <c r="AD521" i="1"/>
  <c r="AC528" i="1"/>
  <c r="AD529" i="1"/>
  <c r="AC536" i="1"/>
  <c r="AD537" i="1"/>
  <c r="AC550" i="1"/>
  <c r="AD563" i="1"/>
  <c r="AD579" i="1"/>
  <c r="AC587" i="1"/>
  <c r="AD560" i="1"/>
  <c r="AC567" i="1"/>
  <c r="AC573" i="1"/>
  <c r="AC577" i="1"/>
  <c r="AC586" i="1"/>
  <c r="AD586" i="1"/>
  <c r="AC477" i="1"/>
  <c r="AC485" i="1"/>
  <c r="AC493" i="1"/>
  <c r="AC501" i="1"/>
  <c r="AC509" i="1"/>
  <c r="AC517" i="1"/>
  <c r="AC547" i="1"/>
  <c r="AC553" i="1"/>
  <c r="AC476" i="1"/>
  <c r="AC484" i="1"/>
  <c r="AC492" i="1"/>
  <c r="AC500" i="1"/>
  <c r="AC508" i="1"/>
  <c r="AC516" i="1"/>
  <c r="AC524" i="1"/>
  <c r="AC532" i="1"/>
  <c r="AC540" i="1"/>
  <c r="AC546" i="1"/>
  <c r="AC580" i="1"/>
  <c r="AC581" i="1"/>
  <c r="AC588" i="1"/>
  <c r="AC589" i="1"/>
  <c r="AC523" i="1"/>
  <c r="AC531" i="1"/>
  <c r="AC539" i="1"/>
  <c r="AC434" i="1"/>
  <c r="AC442" i="1"/>
  <c r="AC450" i="1"/>
  <c r="AC458" i="1"/>
  <c r="AC466" i="1"/>
  <c r="AC474" i="1"/>
  <c r="AC482" i="1"/>
  <c r="AC490" i="1"/>
  <c r="AC498" i="1"/>
  <c r="AC506" i="1"/>
  <c r="AC514" i="1"/>
  <c r="AC522" i="1"/>
  <c r="AC530" i="1"/>
  <c r="AD588" i="1"/>
  <c r="AC543" i="1"/>
  <c r="AC544" i="1"/>
  <c r="AD551" i="1"/>
  <c r="AD568" i="1"/>
  <c r="AD569" i="1"/>
  <c r="AD578" i="1"/>
  <c r="AC583" i="1"/>
  <c r="AC593" i="1"/>
  <c r="AD594" i="1"/>
  <c r="AC601" i="1"/>
  <c r="AD602" i="1"/>
  <c r="AD610" i="1"/>
  <c r="AD618" i="1"/>
  <c r="AD626" i="1"/>
  <c r="AD634" i="1"/>
  <c r="AD642" i="1"/>
  <c r="AC649" i="1"/>
  <c r="AC657" i="1"/>
  <c r="AD658" i="1"/>
  <c r="AC665" i="1"/>
  <c r="AC673" i="1"/>
  <c r="AC681" i="1"/>
  <c r="AC689" i="1"/>
  <c r="AC697" i="1"/>
  <c r="AC705" i="1"/>
  <c r="AD706" i="1"/>
  <c r="AC713" i="1"/>
  <c r="AD714" i="1"/>
  <c r="AC721" i="1"/>
  <c r="AD722" i="1"/>
  <c r="AD730" i="1"/>
  <c r="AD738" i="1"/>
  <c r="AD746" i="1"/>
  <c r="AC761" i="1"/>
  <c r="AC769" i="1"/>
  <c r="AD770" i="1"/>
  <c r="AC777" i="1"/>
  <c r="AD778" i="1"/>
  <c r="AC785" i="1"/>
  <c r="AD786" i="1"/>
  <c r="AC793" i="1"/>
  <c r="AD794" i="1"/>
  <c r="AC801" i="1"/>
  <c r="AD802" i="1"/>
  <c r="AC809" i="1"/>
  <c r="AD810" i="1"/>
  <c r="AC817" i="1"/>
  <c r="AD818" i="1"/>
  <c r="AC825" i="1"/>
  <c r="AD826" i="1"/>
  <c r="AC833" i="1"/>
  <c r="AD834" i="1"/>
  <c r="AC841" i="1"/>
  <c r="AD842" i="1"/>
  <c r="AC849" i="1"/>
  <c r="AD850" i="1"/>
  <c r="AC857" i="1"/>
  <c r="AD858" i="1"/>
  <c r="AC865" i="1"/>
  <c r="AD866" i="1"/>
  <c r="AC873" i="1"/>
  <c r="AD874" i="1"/>
  <c r="AC881" i="1"/>
  <c r="AD882" i="1"/>
  <c r="AC889" i="1"/>
  <c r="AD890" i="1"/>
  <c r="AC897" i="1"/>
  <c r="AC905" i="1"/>
  <c r="AC592" i="1"/>
  <c r="AC672" i="1"/>
  <c r="AC680" i="1"/>
  <c r="AC768" i="1"/>
  <c r="AC776" i="1"/>
  <c r="AC784" i="1"/>
  <c r="AC792" i="1"/>
  <c r="AC800" i="1"/>
  <c r="AC808" i="1"/>
  <c r="AC816" i="1"/>
  <c r="AC824" i="1"/>
  <c r="AC832" i="1"/>
  <c r="AC904" i="1"/>
  <c r="AC703" i="1"/>
  <c r="AC711" i="1"/>
  <c r="AC719" i="1"/>
  <c r="AC727" i="1"/>
  <c r="AC735" i="1"/>
  <c r="AC743" i="1"/>
  <c r="AC751" i="1"/>
  <c r="AC895" i="1"/>
  <c r="AC903" i="1"/>
  <c r="AC662" i="1"/>
  <c r="AC702" i="1"/>
  <c r="AC710" i="1"/>
  <c r="AC718" i="1"/>
  <c r="AC726" i="1"/>
  <c r="AC734" i="1"/>
  <c r="AC742" i="1"/>
  <c r="AC750" i="1"/>
  <c r="AC758" i="1"/>
  <c r="AC766" i="1"/>
  <c r="AC910" i="1"/>
  <c r="AC653" i="1"/>
  <c r="AC661" i="1"/>
  <c r="AC677" i="1"/>
  <c r="AC685" i="1"/>
  <c r="AC693" i="1"/>
  <c r="AC701" i="1"/>
  <c r="AC709" i="1"/>
  <c r="AC717" i="1"/>
  <c r="AC725" i="1"/>
  <c r="AC733" i="1"/>
  <c r="AC741" i="1"/>
  <c r="AC749" i="1"/>
  <c r="AC757" i="1"/>
  <c r="AC765" i="1"/>
  <c r="AC773" i="1"/>
  <c r="AC781" i="1"/>
  <c r="AC789" i="1"/>
  <c r="AC797" i="1"/>
  <c r="AC805" i="1"/>
  <c r="AC813" i="1"/>
  <c r="AC821" i="1"/>
  <c r="AC845" i="1"/>
  <c r="AC853" i="1"/>
  <c r="AC861" i="1"/>
  <c r="AC869" i="1"/>
  <c r="AC893" i="1"/>
  <c r="AC909" i="1"/>
  <c r="AC596" i="1"/>
  <c r="AC604" i="1"/>
  <c r="AC612" i="1"/>
  <c r="AC620" i="1"/>
  <c r="AC628" i="1"/>
  <c r="AC636" i="1"/>
  <c r="AC644" i="1"/>
  <c r="AC652" i="1"/>
  <c r="AC660" i="1"/>
  <c r="AC668" i="1"/>
  <c r="AC676" i="1"/>
  <c r="AC684" i="1"/>
  <c r="AC692" i="1"/>
  <c r="AC700" i="1"/>
  <c r="AC724" i="1"/>
  <c r="AC732" i="1"/>
  <c r="AC740" i="1"/>
  <c r="AC748" i="1"/>
  <c r="AC756" i="1"/>
  <c r="AC764" i="1"/>
  <c r="AC908" i="1"/>
  <c r="AC595" i="1"/>
  <c r="AC603" i="1"/>
  <c r="AC611" i="1"/>
  <c r="AC619" i="1"/>
  <c r="AC627" i="1"/>
  <c r="AC635" i="1"/>
  <c r="AC907" i="1"/>
  <c r="AC2" i="1" l="1"/>
  <c r="A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pttsale</author>
  </authors>
  <commentList>
    <comment ref="AD3" authorId="0" shapeId="0" xr:uid="{3D1573B3-162D-4A78-9D2B-413AFD8D51A2}">
      <text>
        <r>
          <rPr>
            <b/>
            <sz val="9"/>
            <color indexed="81"/>
            <rFont val="Tahoma"/>
            <family val="2"/>
          </rPr>
          <t>บางรายการที่เปลี่ยนความหนา จะให้Forecast เดิม = 0</t>
        </r>
      </text>
    </comment>
  </commentList>
</comments>
</file>

<file path=xl/sharedStrings.xml><?xml version="1.0" encoding="utf-8"?>
<sst xmlns="http://schemas.openxmlformats.org/spreadsheetml/2006/main" count="6790" uniqueCount="1535">
  <si>
    <t>SECC-16/16_1.2_1219_CHINA STEEL</t>
  </si>
  <si>
    <t>RM600ST000027</t>
  </si>
  <si>
    <t>Copy สูตรใหม่ทุกครั้ง</t>
  </si>
  <si>
    <t>SO-003  20.05.2026</t>
  </si>
  <si>
    <t>Material Code</t>
  </si>
  <si>
    <t>Material Spec</t>
  </si>
  <si>
    <t>PTT Spec</t>
  </si>
  <si>
    <t>FG Code</t>
  </si>
  <si>
    <t>Customer</t>
  </si>
  <si>
    <t>Delivery Place</t>
  </si>
  <si>
    <t>Mat Kind</t>
  </si>
  <si>
    <t>DO Mat Spec</t>
  </si>
  <si>
    <t>T</t>
  </si>
  <si>
    <t>W</t>
  </si>
  <si>
    <t>L</t>
  </si>
  <si>
    <t>Summary</t>
  </si>
  <si>
    <t>Jan'25-Mar'2026</t>
  </si>
  <si>
    <t>Total PO (kg)</t>
  </si>
  <si>
    <t>Delvered (kg)</t>
  </si>
  <si>
    <t>Bal (kg)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</si>
  <si>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</si>
  <si>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</si>
  <si>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</si>
  <si>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</si>
  <si>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</si>
  <si>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</si>
  <si>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</si>
  <si>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</si>
  <si>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</si>
  <si>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</si>
  <si>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</si>
  <si>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</si>
  <si>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Total</t>
  </si>
  <si>
    <t>Avereage</t>
  </si>
  <si>
    <t>Remark RD004</t>
  </si>
  <si>
    <t>SECD_0.5_1219_Common</t>
  </si>
  <si>
    <t>SECCD</t>
  </si>
  <si>
    <t>101140</t>
  </si>
  <si>
    <t>GINFONG</t>
  </si>
  <si>
    <t>EG</t>
  </si>
  <si>
    <t xml:space="preserve">          SECD</t>
  </si>
  <si>
    <t>COIL</t>
  </si>
  <si>
    <t>ห่อพลาสติกใส ล้มวางพาเลทไม้_x000D_
รัดสายเขียว 2 เส้น ครีบคว่ำ ครีบหงาย แยกพาเลท_x000D_
ครีบคว่ำ ครีบหงาย แยกพาเลท FG ระบุพาเลทและคีบคว่ำหงายลง Remark ในระบบด้วย</t>
  </si>
  <si>
    <t>SPFH590-P/O_2_1219_Common</t>
  </si>
  <si>
    <t>SPFH590-P/O</t>
  </si>
  <si>
    <t>4168065</t>
  </si>
  <si>
    <t>WISDOM  AUTO</t>
  </si>
  <si>
    <t>HR</t>
  </si>
  <si>
    <t>ห่อพลาสติกใส วางพาเลทไม้</t>
  </si>
  <si>
    <t>4535289</t>
  </si>
  <si>
    <t>SPFH590 P/O</t>
  </si>
  <si>
    <t>ห่อพลาสติกใส วางพาเลทไม้ วาง 2 ตอน</t>
  </si>
  <si>
    <t>4671626</t>
  </si>
  <si>
    <t>SGCC-Z22_0.5_1219_Common</t>
  </si>
  <si>
    <t>SGCC-Z22</t>
  </si>
  <si>
    <t>0209000752</t>
  </si>
  <si>
    <t>HONESTY</t>
  </si>
  <si>
    <t>GI</t>
  </si>
  <si>
    <t>SGCC Z22</t>
  </si>
  <si>
    <t>แนบ Cer. POSCO เท่านั้น  ห่อพลาสติกใส
แนบ INSPECTION  DATA_x000D_</t>
  </si>
  <si>
    <t>SPCC-SD_2.8_1219_Common</t>
  </si>
  <si>
    <t>SPCC-SD</t>
  </si>
  <si>
    <t>1010128001</t>
  </si>
  <si>
    <t>CR</t>
  </si>
  <si>
    <t>SPCC</t>
  </si>
  <si>
    <t>เน้นผิวและคุณภาพ  _x000D_
ห่อพลาสติกใส ล้มวางไม้พาเลท 1 แถบ/พาเลท_x000D_
ครีบคว่ำ ครีบหงาย แยกพาเลท FG ระบุพาเลทและคีบคว่ำหงายลง Remark ในระบบด้วย</t>
  </si>
  <si>
    <t>SGCC-Z22_0.8_1350_CHINA STEEL</t>
  </si>
  <si>
    <t>SGCC-Z18</t>
  </si>
  <si>
    <t>SGUR-0012-(65)</t>
  </si>
  <si>
    <t>UKKARIT</t>
  </si>
  <si>
    <t>GI/SGCC-Z18/Z22</t>
  </si>
  <si>
    <t>เน้นผิวและคุณภาพ_x000D_
ห่อพลาสติกใส วางไม้พาเลท วาง 3 แถว_x000D_</t>
  </si>
  <si>
    <t>SGCC-Z27_1.5_1219_POSCO/BAO</t>
  </si>
  <si>
    <t>1010415004</t>
  </si>
  <si>
    <t xml:space="preserve">         SGCC Z18</t>
  </si>
  <si>
    <t xml:space="preserve">ห่อพลาสติกใส  ล้มวางไม้พาเลท 1 แถบ/พาเลท ครีบคว่ำ ครีบหงาย FG ระบุพาเลทและคีบคว่ำหงายลง Remark ในระบบด้วย ลูกค้าเน้นสีผิวแมทห้ามมีสีต่างกัน_x000D_
INSPECTION  DATA_x000D_
</t>
  </si>
  <si>
    <t>SECC-16/16_0.8_1219_Common</t>
  </si>
  <si>
    <t>SECC-16/16</t>
  </si>
  <si>
    <t>SECC</t>
  </si>
  <si>
    <t>1010508003</t>
  </si>
  <si>
    <t xml:space="preserve">          SECC</t>
  </si>
  <si>
    <t>ลูกค้าเน้น ห้ามมีรอย Roller Mark  รัดสายเขียว 2 เส้น ครีบคว่ำ ครีบหงาย แยกพาเลท ไม้คั่น 40 mm._x000D_
ครีบคว่ำ ครีบหงาย แยกพาเลท FG ระบุพาเลทและคีบคว่ำหงายลง Remark ในระบบด้วย</t>
  </si>
  <si>
    <t>SECC-E16/E16_1_1180_Common</t>
  </si>
  <si>
    <t>1010510009</t>
  </si>
  <si>
    <t xml:space="preserve">            SECC</t>
  </si>
  <si>
    <t>ลูกค้าไม่ยอมรับรอย Roller Mark, ห่อพลาสติกใส   ล้มวางไม้พาเลท  2 แถบ/พาเลท **  มีไม้คั่น  ** ครีบคว่ำ ครีบหงาย แยกพาเลท FG ระบุพาเลทและคีบคว่ำหงายลง Remark ในระบบด้วย_x000D_
แนบ INSPECTION  DATA</t>
  </si>
  <si>
    <t>1011405004</t>
  </si>
  <si>
    <t>เน้นผิวและคุณภาพ, ห่อพลาสติกใส ล้มวางไม้พาเลท 1 แถบ/พาเลท_x000D_
ลูกค้ายอมรับรอย Roller mark ได้ให้รอยอยู่ด้านในของม้วน Maker BAO/CSC 
น้ำหนัก 1,000 kg./Pallat น้ำหนัก 400-600 kg./Coil
 แนบ INSPECTION_x000D__x000D_
ครีบคว่ำ ครีบหงาย แยกพาเลท</t>
  </si>
  <si>
    <t>SGUR-0012-(66)</t>
  </si>
  <si>
    <t>เน้นผิวและคุณภาพ
ห่อพลาสติกใส วางไม้พาเลท วาง 1 แถว_x000D_
แนบ INSPECTION_x000D_</t>
  </si>
  <si>
    <t>SPCC-SD_0.4_1219_Common</t>
  </si>
  <si>
    <t>0.400X90.00XCOIL</t>
  </si>
  <si>
    <t xml:space="preserve">SHENGTAI </t>
  </si>
  <si>
    <t xml:space="preserve">        SPCC</t>
  </si>
  <si>
    <t>ห่อพลาสติกใส   ล้มวางไม้พาเลท
แนบ INSPECTION  DATA_x000D_</t>
  </si>
  <si>
    <t>0.4X116XCOIL</t>
  </si>
  <si>
    <t>WEIGHT MAX 1,000 KG._x000D_
ห่อพลาสติกใส ล้มวางพาเลทไม้</t>
  </si>
  <si>
    <t>0.4X130.5XCOIL</t>
  </si>
  <si>
    <t xml:space="preserve">          SPCC</t>
  </si>
  <si>
    <t>SPCC-SD_0.5_1219_Common</t>
  </si>
  <si>
    <t>0.500X27.00XCOIL</t>
  </si>
  <si>
    <t>MING TAI</t>
  </si>
  <si>
    <t>C</t>
  </si>
  <si>
    <t>EYE UP.</t>
  </si>
  <si>
    <t>SECC-16/16_0.5_1219_Common</t>
  </si>
  <si>
    <t>0.500X70.00XCOIL</t>
  </si>
  <si>
    <t>FEITI</t>
  </si>
  <si>
    <t xml:space="preserve">         SECC</t>
  </si>
  <si>
    <t>เน้นผิวและคุณภาพ_x000D_
น้ำหนัก 500-1000  กก. ห่อพลาสติกใส ล้มวางไม้ 3 แถบ/พาเลท  มีไม้คั่น_x000D_
ลูกค้ายอมรับรอย Roller mark ได้</t>
  </si>
  <si>
    <t>SGCD1-Z08_0.5_1219_Common</t>
  </si>
  <si>
    <t>SGCD</t>
  </si>
  <si>
    <t>0.50X170.00XCOIL</t>
  </si>
  <si>
    <t xml:space="preserve">          SGCD</t>
  </si>
  <si>
    <t>QC เช็คผิวเหล็กก่อนทำการตัด_x000D_
ลูกค้าเน้นสีผิวเหล็ก ไม่มีลายตามตัวอย่าง Approve วันที่ 02/03/2023 เช็คผิวเหล็กจริงได้ที่ห้องคิวซี คุณภควัต_x000D_
ใช้ Maker BAO/CSC/POSCO_x000D_
น้ำหนัก 1,000 kg./Palat น้ำหนัก 400-800 kg./Coil_x000D_
น้ำหนักตามชั่งจริง_x000D_
ครีบคว่ำ ครีบหงาย</t>
  </si>
  <si>
    <t>0.50x370x600</t>
  </si>
  <si>
    <t xml:space="preserve">SAN HO PRECISION </t>
  </si>
  <si>
    <t/>
  </si>
  <si>
    <t>0.50x488X610</t>
  </si>
  <si>
    <t>0.5x163xCoil</t>
  </si>
  <si>
    <t xml:space="preserve">XINGGAOSHENG </t>
  </si>
  <si>
    <t>SGUR-0012-(67)</t>
  </si>
  <si>
    <t>0.5x200xCoil</t>
  </si>
  <si>
    <t xml:space="preserve">SCRAP OVER 10mm RETURN CUSTOMER! </t>
  </si>
  <si>
    <t>SGUR-0012-(74)</t>
  </si>
  <si>
    <t>0.5x472xCoil</t>
  </si>
  <si>
    <t>0.5x67xCoil</t>
  </si>
  <si>
    <t>SPCC-SD_0.6_1219_Common</t>
  </si>
  <si>
    <t>0.60x500x1000</t>
  </si>
  <si>
    <t>0.60x55.00xCOIL</t>
  </si>
  <si>
    <t>DIAMOND SAT</t>
  </si>
  <si>
    <t>น้ำหนักตัดจริงห้ามเกิน PO หรือต้องไม่เกินน้ำหนักในใบแพลนระบุ ***เน้นย้ำห้ามเกินใบแพลนระบุ*** ห่อพลาสติกใส   ล้มวางไม้พาเลท  1  แถบ/พาเลท_x000D_
แนบ INSPECTION  DATA_x000D_</t>
  </si>
  <si>
    <t>SECC-16/16_0.6_1219_Common</t>
  </si>
  <si>
    <t>0.6x133xCoil</t>
  </si>
  <si>
    <t xml:space="preserve">           SECC</t>
  </si>
  <si>
    <t>0.6X133XCOIL ห่อพลาสติกใส ล้มวางไม้พาเลท 3 แถบ/พาเลท มีไม้คั่น_x000D_
แนบ INSPECTION_x000D_</t>
  </si>
  <si>
    <t>0.6x155xCoil</t>
  </si>
  <si>
    <t>HC340LA_0.6_1120_BAOSHAN</t>
  </si>
  <si>
    <t>HC340LA</t>
  </si>
  <si>
    <t>0.6X556X561</t>
  </si>
  <si>
    <t>WISDOM  AUTO 1</t>
  </si>
  <si>
    <t xml:space="preserve"> เน้นผิวและคุณภาพ_x000D_
ห่อพลาสติกใส วางไม้พาเลท วาง 1 แถว_x000D_
แนบ INSPECTION  DATA_x000D_</t>
  </si>
  <si>
    <t>SPCC-SD_0.7_1219_Common</t>
  </si>
  <si>
    <t>0.70x55.00xCOIL</t>
  </si>
  <si>
    <t>ลูกค้ารับน้ำหนักที่ 310-457 kg./ม้วน
แนบ INSPECTION  DATA_x000D__x000D_
ห่อพลาสติกใส ล้มวางไม้พาเลท 2 แถบ/เลท ไม้คั่น 40 มม. รัดสายเขียว 2 เส้น ครีบคว่ำ ครีบหงาย แยกพาเลท ครีบคว่ำ ครีบหงาย แยกพาเลท FG ระบุพาเลทและคีบคว่ำหงายลง Remark ในระบบด้วย</t>
  </si>
  <si>
    <t>0.7X210X570</t>
  </si>
  <si>
    <t>SPCC-SD_0.8_1219_Common</t>
  </si>
  <si>
    <t>0.80x83.00xCOIL</t>
  </si>
  <si>
    <t xml:space="preserve">        SPCC-SD</t>
  </si>
  <si>
    <t>ห่อพลาสติกใส ล้มวางไม้พาเลท   5  แถบ/พาเลท  ** มีไม้คั่น **_x000D_
แนบ INSPECTION  DATA_x000D_ รัดสายเขียว 2 เส้น ครีบคว่ำ ครีบหงาย แยกพาเลท_x000D_
ครีบคว่ำ ครีบหงาย แยกพาเลท FG ระบุพาเลทและคีบคว่ำหงายลง Remark ในระบบด้วย</t>
  </si>
  <si>
    <t>SECC-20/20</t>
  </si>
  <si>
    <t>0.800X50.00X1219.00</t>
  </si>
  <si>
    <t>AAA MANU</t>
  </si>
  <si>
    <t xml:space="preserve">       SECC-F20</t>
  </si>
  <si>
    <t>SGUR-0006-(44)</t>
  </si>
  <si>
    <t>เน้นผิวและคุณภาพ_x000D_
แนบINSPECTION_x000D_
ห่อพลาสติกใส วางไม้พาเลท</t>
  </si>
  <si>
    <t>SGUR-0012-(05)</t>
  </si>
  <si>
    <t>GI-SGCC Z18/Z22</t>
  </si>
  <si>
    <t>SGCC-Z18_0.8_1219_CHINA STEEL</t>
  </si>
  <si>
    <t>SGCC-Z08</t>
  </si>
  <si>
    <t>14SG08-E07-00</t>
  </si>
  <si>
    <t>SGCC</t>
  </si>
  <si>
    <t>SGUR-0012-(71)</t>
  </si>
  <si>
    <t>14SG08-E08-00</t>
  </si>
  <si>
    <t>SGUR-0012-(75)</t>
  </si>
  <si>
    <t>SGCC-Z12_0.6_1140_CHINA STEEL</t>
  </si>
  <si>
    <t>13SG06-D45-02</t>
  </si>
  <si>
    <t>เน้นผิวและคุณภาพ
แนบ INSPECTION 
ห่อพลาสติกใส วางไม้พาเลท</t>
  </si>
  <si>
    <t>0.8x164x1219</t>
  </si>
  <si>
    <t>0.800X110.00XCOIL</t>
  </si>
  <si>
    <t>SECC  V2X</t>
  </si>
  <si>
    <t>ห่อพลาสติกใส วางพาเลทไม้_x000D_
Wt STD 300 kg./Coil up</t>
  </si>
  <si>
    <t>SGCC-F08_1.6_1219_Common</t>
  </si>
  <si>
    <t>SPGA-D</t>
  </si>
  <si>
    <t>1.60X315X550</t>
  </si>
  <si>
    <t>SY MANU</t>
  </si>
  <si>
    <t>GA</t>
  </si>
  <si>
    <t xml:space="preserve">          SPGA-D</t>
  </si>
  <si>
    <t>เน้นผิวและคุณภาพ_x000D_ 100 PCS./PACK
_x000D_
แนบ INSPECTION_x000D_</t>
  </si>
  <si>
    <t>SGCC-Z18_1_1219_Common</t>
  </si>
  <si>
    <t>1.0 x 34.1 x 582.3</t>
  </si>
  <si>
    <t>582.3</t>
  </si>
  <si>
    <t>PIE 9960 G</t>
  </si>
  <si>
    <t>YUANDENG</t>
  </si>
  <si>
    <t>425</t>
  </si>
  <si>
    <t>0.80X155.00X267</t>
  </si>
  <si>
    <t>SCN PRECISION</t>
  </si>
  <si>
    <t>500 แผ่น/แพ็ค
เน้นผิวและคุณภาพ
ห่อพลาสติกใส วางไม้พาเลท</t>
  </si>
  <si>
    <t>0.80X172.00X190</t>
  </si>
  <si>
    <t>SPFC540_0.9_1219_Common</t>
  </si>
  <si>
    <t>SPFC540</t>
  </si>
  <si>
    <t>0.900X155.00X390.00</t>
  </si>
  <si>
    <t xml:space="preserve">         SPFC540</t>
  </si>
  <si>
    <t>ห่อพลาสติกใส วางพาเลทไม้ 2แถว 2 ตอน</t>
  </si>
  <si>
    <t>SPCC-SD_0.9_1219_Common</t>
  </si>
  <si>
    <t>0.9X375X610</t>
  </si>
  <si>
    <t>SCRAP OVER 10MM RERTURN CUSTOMER ! P06</t>
  </si>
  <si>
    <t>0.9x400x500</t>
  </si>
  <si>
    <t>PrE (0MB) 9950 G</t>
  </si>
  <si>
    <t>SPCEN-SD_1_1219_Common</t>
  </si>
  <si>
    <t>SPCEN-SD</t>
  </si>
  <si>
    <t>1.00X186.00XCOIL</t>
  </si>
  <si>
    <t xml:space="preserve">        SPCEN</t>
  </si>
  <si>
    <t xml:space="preserve">_x000D_ห่อพลาสติกใส  ล้มวางไม้พาเลท   1  แถบ/พาเลท   _x000D_
ครีบคว่ำ ครีบหงาย แยกพาเลท FG ระบุพาเลทและคีบคว่ำหงายลง Remark ในระบบด้วย_x000D__x000D_
แนบ INSPECTION  DATA_x000D_
</t>
  </si>
  <si>
    <t>1.00x34.10x582.30</t>
  </si>
  <si>
    <t xml:space="preserve">              SGCC</t>
  </si>
  <si>
    <t xml:space="preserve">500 kg./pack, ห่อพลาสติกใส  วางบนไม้พาเลท_x000D_
แนบ INSPECTION DATA_x000D_
</t>
  </si>
  <si>
    <t>SPCC-SD_1_1219_Common</t>
  </si>
  <si>
    <t>1.00x40.00xCOIL</t>
  </si>
  <si>
    <t xml:space="preserve">Coil </t>
  </si>
  <si>
    <t>เน้นผิวและคุณภาพ
แนบ INSPECTION 
ห่อพลาสติกใส ล้มวางไม้พาเลท</t>
  </si>
  <si>
    <t>1.0x113x1219</t>
  </si>
  <si>
    <t>เน้นผิวและคุณภาพ_x000D_
ห่อพลาสติกใส วางไม้พาเลท</t>
  </si>
  <si>
    <t>SPHC-P/O_1.6_1219_Common</t>
  </si>
  <si>
    <t>SPHC-P/O</t>
  </si>
  <si>
    <t>1.60x87.00x550</t>
  </si>
  <si>
    <t xml:space="preserve">        SPHC</t>
  </si>
  <si>
    <t>ห่อพลาสติกใส วางพาเลทไม้ ___ แถบ/เลท ___ ตอน/เลท</t>
  </si>
  <si>
    <t>0.80x270.00x1219.00</t>
  </si>
  <si>
    <t>SGCC Z18</t>
  </si>
  <si>
    <t>SGCC-Z18_1.2_1219_POSCO/BAO</t>
  </si>
  <si>
    <t>1.20X132.90XCOIL</t>
  </si>
  <si>
    <t>ห่อพลาสติกใส วางไม้พาเลท_x000D_
แนบ INSPECTION เน้นห้ามมีขอบดำหรือสีผิวต่าง_x000D_
ครีบคว่ำ ครีบหงาย แยกพาเลท FG ระบุพาเลทและคีบคว่ำหงายลง Remark ในระบบด้วย</t>
  </si>
  <si>
    <t>1.20x153.40xCoil</t>
  </si>
  <si>
    <t>แนบ INSPECTION 
ห่อพลาสติกใส ล้มวางไม้พาเลท วาง 1 แถบ/เลท_x000D__x000D_
ลูกค้าโชว์ผิวเน้นห้ามมีขอบดำหรือสีผิวต่าง_x000D_
ครีบคว่ำ ครีบหงาย แยกพาเลท FG ระบุพาเลทและคีบคว่ำหงายลง Remark ในระบบด้วย</t>
  </si>
  <si>
    <t>SAE1065_1_36_Coil_Common</t>
  </si>
  <si>
    <t>S65C(SB)</t>
  </si>
  <si>
    <t>1.0x36xCoil</t>
  </si>
  <si>
    <t>HOPE TECH</t>
  </si>
  <si>
    <t xml:space="preserve">       S65C(SB)</t>
  </si>
  <si>
    <t>ห่อพลาสติกใส+พันผ้าสาน ล้มวางไม้พาเลท</t>
  </si>
  <si>
    <t>1.0x370x610</t>
  </si>
  <si>
    <t>SAE1065_1_44_Coil_Common</t>
  </si>
  <si>
    <t>1.0x44xCoil</t>
  </si>
  <si>
    <t>1.0x61xCOIL</t>
  </si>
  <si>
    <t>SINO</t>
  </si>
  <si>
    <t xml:space="preserve">               SECC</t>
  </si>
  <si>
    <t>SINOเเน้น1X61XC Max120 kg./ (+0/-3 kg.Min 80 kg./C(-3kg.OK)_x000D_
ระยะความกว้างขาพาเลท720-740mm.&gt;ระยะห่างวัดจากด้านในของพาเลท&gt;ความสูงจากพื้นวัดจากขอบด้านล่าง120-140mm. Roller mark OK หาก Roller mark ห่างจากขอบเกิน15มม.ติดป้ายชี้บ่ง FG ระบุลงระบบ (&gt;15 mm.)</t>
  </si>
  <si>
    <t>1.0x78.0xCoil</t>
  </si>
  <si>
    <t xml:space="preserve"> ห่อพลาสติกใส   ล้มวางไม้พาเลท  2 แถบ/พาเลท **  มีไม้คั่น  **_x000D_
แนบ INSPECTION  DATA_x000D_</t>
  </si>
  <si>
    <t>1.2 X 92 X COIL</t>
  </si>
  <si>
    <t>TSE LUP</t>
  </si>
  <si>
    <t xml:space="preserve">       SECC 16/16,AF</t>
  </si>
  <si>
    <t>** ชั่งน้ำหนักจริงทุกแถบ **_x000D_
ตาชั่งพื้น_x000D_
ระบุ COIL NO ในใบแพลนทุกครั้ง</t>
  </si>
  <si>
    <t>1.20x172.00xCOIL</t>
  </si>
  <si>
    <t>ห่อพลาสติกใส  ล้มวางไม้พาเลท  1  แถบ/พาเลท_x000D_
แนบ INSPECTION  DATA_x000D_ ลูกค้าโชว์ผิวเน้นห้ามมีขอบดำหรือสีผิวต่าง_x000D_
ครีบคว่ำ ครีบหงาย แยกพาเลท FG ระบุพาเลทและคีบคว่ำหงายลง Remark ในระบบด้วย</t>
  </si>
  <si>
    <t>1.20X195.40XCOIL</t>
  </si>
  <si>
    <t>เน้นผิวและคุณภาพ _x000D_
ห่อพลาสติกใส วางไม้พาเลท วาง 1 แถว_x000D_
ครีบคว่ำ ครีบหงาย แยกพาเลท FG ระบุพาเลทและคีบคว่ำหงายลง Remark ในระบบด้วย</t>
  </si>
  <si>
    <t>SGCC-Z18_2_1219_Common</t>
  </si>
  <si>
    <t>2.0x192xCoil</t>
  </si>
  <si>
    <t>TAKAFUNE</t>
  </si>
  <si>
    <t>แนบ INSPECTION 
ห่อพลาสติกใส ล้มวางไม้พาเลท_x000D_
น้ำหนัก 200-900 กก./ม้วน</t>
  </si>
  <si>
    <t>SECC-16/16_1.6_1219_CHINA STEEL</t>
  </si>
  <si>
    <t>1.6x140xCoil</t>
  </si>
  <si>
    <t>** ชั่งน้ำหนักจริงทุกแถบ ***  ตาชั่งพื้น_x000D_
  แนบใบ Cer ทุกครั้งที่ส่งงาน_x000D_
ระบุ COIL NO ในใบแพลนทุกครั้ง</t>
  </si>
  <si>
    <t>SPFH590-P/O_1.6_1219_Common</t>
  </si>
  <si>
    <t>M192AD4343362</t>
  </si>
  <si>
    <t>XCELLENT</t>
  </si>
  <si>
    <t xml:space="preserve">       SPFH590</t>
  </si>
  <si>
    <t>1.200X108.00XCOIL</t>
  </si>
  <si>
    <t>อพลาสติกใส   ล้มวางไม้พาเลท  1  แถบ/พาเลท_x000D_
แนบ INSPECTION  DATA_x000D__x000D_
ครีบคว่ำ ครีบหงาย แยกพาเลท FG ระบุพาเลทและคีบคว่ำหงายลง Remark ในระบบด้วย</t>
  </si>
  <si>
    <t>1.20x290.80xCOIL</t>
  </si>
  <si>
    <t>เน้นผิวและคุณภาพ
ห่อพลาสติกใส ล้มวางไม้พาเลท 1 แถบ/พาเลท *** รัดสายรัด 4 มุม ***_x000D_
แนบ INSPECTION _x000D_
ครีบคว่ำ ครีบหงาย แยกพาเลท FG ระบุพาเลทและคีบคว่ำหงายลง Remark ในระบบด้วย</t>
  </si>
  <si>
    <t>1.20x51xCOIL</t>
  </si>
  <si>
    <t>SECC1-SD,E20/E20</t>
  </si>
  <si>
    <t>น้ำหนัก/Coil150-230 kg.หากน้ำหนักต่ำกว่าให้ทำการแจ้งหรือตกลงกับลูกค้าก่อนทำการแพลนตัดงาน,width51+0/-0.2
End user Panasonic Ginfong ยอมรับรอย Roller Mark ห่อพลาสติกใส ล้มวางไม้พาเลท3แถบ/พาเลท*มีไม้คั่น 40mm.*รัดสายเขียว2เส้น ครีบคว่ำ/หงาย แยกพาเลท</t>
  </si>
  <si>
    <t>SPCEN-SD_1.2_1219_Common</t>
  </si>
  <si>
    <t>1.20X54.00XCOIL</t>
  </si>
  <si>
    <t>SPCEN</t>
  </si>
  <si>
    <t>ห่อพลาสติกใส   ล้มวางไม้พาเลท  2  แถบ/พาเลท ไม้คั่น 40 มม._x000D_
น้ำหนัก 250-300 กก./ม้วน_x000D_
แนบ INSPECTION  DATA_x000D_รัดสายเขียว 2 เส้น ครีบคว่ำ ครีบหงาย แยกพาเลท FG ระบุพาเลทและคีบคว่ำหงายลง Remark ในระบบด้วย</t>
  </si>
  <si>
    <t>1.2X1220x2440</t>
  </si>
  <si>
    <t>DRYER</t>
  </si>
  <si>
    <t>เน้นผิวและคุณภาพ (W+-2 , L+-2)   _x000D_
ห่อกระดาษ วางไม้พาเลท แพ็คละ 20 แผ่น _x000D_
ใช้ฝาครอบเหล็ก และแผ่นเหล็กรองสายรัด พาเลท ตีแบบ G  _x000D_
LABEL 1.2*1220*2440_x000D_</t>
  </si>
  <si>
    <t>1.2x142.5x800</t>
  </si>
  <si>
    <t xml:space="preserve">         SECC 16/16,AF</t>
  </si>
  <si>
    <t>** ชั่งน้ำหนักจริงทุกแถบ **ตาชั่งพื้น / ระบุ COIL NO ในใบแพลนทุกครั้ง_x000D_
ลูกค้าเน้นห้ามมีรอย Roller Mark</t>
  </si>
  <si>
    <t>1.2x180x535</t>
  </si>
  <si>
    <t>** ชั่งน้ำหนักจริงทุกแถบ *** ตาชั่งพื้น / ระบุ COIL NO ในใบแพลนทุกครั้ง_x000D_
ลูกค้าเน้นห้ามมีรอย Roller Mark</t>
  </si>
  <si>
    <t>1.2x90x1219</t>
  </si>
  <si>
    <t>SECC-F20</t>
  </si>
  <si>
    <t xml:space="preserve"> ห่อพลาสติกใส   วางบนไม้พาเลท
แนบ INSPECTION  DATA_x000D_
</t>
  </si>
  <si>
    <t>SECC-16/16_1.5_1219_CHINA STEEL</t>
  </si>
  <si>
    <t>1.50X113XCOIL</t>
  </si>
  <si>
    <t>SECC E16/16,AF</t>
  </si>
  <si>
    <t>** ชั่งน้ำหนักจริงทุกแถบ *** ตาชั่งพื้น
น้ำหนัก : coil ต้องไม่เกิน 450-500kg/coil, พันผ้าสาน   ล้มวางไม้พาเลท   1  แถบ/พาเลท _x000D_
ระบุ COIL NO ในใบแพลนทุกครั้ง_x000D_
แนบ INSPECTION  DATA_x000D_</t>
  </si>
  <si>
    <t>SGCC-Z27</t>
  </si>
  <si>
    <t>1.50x160.00xcoil</t>
  </si>
  <si>
    <t>SGCC-ZSNCX Z27</t>
  </si>
  <si>
    <t>ห่อพลาสติกใส  ล้มวางไม้พาเลท  1  แถบ/พาเลท_x000D_
แนบ INSPECTION  DATA_x000D__x000D_
ครีบคว่ำ ครีบหงาย แยกพาเลท FG ระบุพาเลทและคีบคว่ำหงายลง Remark ในระบบด้วย</t>
  </si>
  <si>
    <t>1.50X167XCOIL</t>
  </si>
  <si>
    <t xml:space="preserve">** ชั่งน้ำหนักจริงทุกแถบ **ตาชั่งพื้น
น้ำหนัก : coil ต้องไม่เกิน 450-500kg/coil
พันผ้าสาน   ล้มวางไม้พาเลท   1  แถบ/พาเลท _x000D_
ระบุ COIL NO ในใบแพลนทุกครั้ง_x000D_
แนบ INSPECTION  DATA_x000D_
</t>
  </si>
  <si>
    <t>1.50X210XCOIL</t>
  </si>
  <si>
    <t>** ชั่งน้ำหนักจริงทุกแถบ **ตาชั่งพื้น
น้ำหนัก : coil ต้องไม่เกิน 800-900kg/coilพันผ้าสาน   ล้มวางไม้พาเลท   1  แถบ/พาเลท _x000D_
แนบ INSPECTION  DATA_x000D__x000D_
ระบุ COIL NO ในใบแพลนทุกครั้ง</t>
  </si>
  <si>
    <t>1.50X246XCOIL</t>
  </si>
  <si>
    <t>** ชั่งน้ำหนักจริงทุกแถบ **_x000D_
ตาชั่งพื้น ล้มวางไม้พาเลท_x000D_
ระบุ COIL NO ในใบแพลนทุกครั้ง</t>
  </si>
  <si>
    <t>1.5x270xCOIL</t>
  </si>
  <si>
    <t>1.5x81xCoil</t>
  </si>
  <si>
    <t>** ชั่งน้ำหนักจริงทุกแถบ *** ตาชั่งพื้น_x000D_
น้ำหนัก : coil ต้องไม่เกิน 420-460kg/coil_x000D_
ระบุ COIL NO ในใบแพลนทุกครั้ง</t>
  </si>
  <si>
    <t>1.5x88xCoil</t>
  </si>
  <si>
    <t>** ชั่งน้ำหนักจริงทุกแถบ **  ตาชั่งพื้น_x000D_
น้ำหนัก : coil ต้องไม่เกิน 450-500kg/coil_x000D_
ระบุ COIL NO ในใบแพลนทุกครั้ง</t>
  </si>
  <si>
    <t>A5052 1.6X300.00X1250.00</t>
  </si>
  <si>
    <t>1.6X300.00X1250.00</t>
  </si>
  <si>
    <t>B.S. TOOLS</t>
  </si>
  <si>
    <t>AL</t>
  </si>
  <si>
    <t>A5052</t>
  </si>
  <si>
    <t>1250</t>
  </si>
  <si>
    <t>ห่อพลาสติกใส  วางบนไม้พาเลท  1 แถว/พาเลท_x000D_
แนบINSPECTION_x000D_</t>
  </si>
  <si>
    <t>GA-SGCC-F08</t>
  </si>
  <si>
    <t>X-DD92-00</t>
  </si>
  <si>
    <t>X-DD95-00</t>
  </si>
  <si>
    <t>SPCC-SD_1.6_1219_Common</t>
  </si>
  <si>
    <t>JSC270C</t>
  </si>
  <si>
    <t>1.20X108.00XCOIL</t>
  </si>
  <si>
    <t>ครีบคว่ำ ครีบหงาย แยกพาเลท FG ระบุพาเลทและคีบคว่ำหงายลง Remark ในระบบด้วย</t>
  </si>
  <si>
    <t>SGCC-Z18_2.3_1219_Common</t>
  </si>
  <si>
    <t>2.3x42xCoil</t>
  </si>
  <si>
    <t>Coil</t>
  </si>
  <si>
    <t>น้ำหนักต่อ Coil  110 กก.</t>
  </si>
  <si>
    <t>1x127x705</t>
  </si>
  <si>
    <t>SAKOLCHAI 2</t>
  </si>
  <si>
    <t>705</t>
  </si>
  <si>
    <t>JSH270C1.6x30x1219</t>
  </si>
  <si>
    <t>JSH270C</t>
  </si>
  <si>
    <t>1.20x144.00xcoil</t>
  </si>
  <si>
    <t>JSH270C1.6x43x1219</t>
  </si>
  <si>
    <t>SGCC-Z18_1.2_1219_CHINA STEEL</t>
  </si>
  <si>
    <t>TAKAFUNE_SGCC Z18_1.2_74.4_509</t>
  </si>
  <si>
    <t>509</t>
  </si>
  <si>
    <t>TOS050004</t>
  </si>
  <si>
    <t>0.5x175.0x1135</t>
  </si>
  <si>
    <t>ห่อพลาสติกใส  วางบนไม้พาเลท
แนบ INSPECTION  DATA</t>
  </si>
  <si>
    <t>0.5x295.1x692.4</t>
  </si>
  <si>
    <t>ลูกค้าเน้นไม่เอาผิวลายน้ำ ห่อพลาสติกใส   วางบนไม้พาเลท  1 แถว/พาเลท_x000D_
แนบ INSPECTION  DATA_x000D_</t>
  </si>
  <si>
    <t>CPK_JSH270C_1.6_50_1219</t>
  </si>
  <si>
    <t>CPK_JSH270C_1.6_61_1219</t>
  </si>
  <si>
    <t>SGCC-Z12</t>
  </si>
  <si>
    <t>13SG06-D13-01</t>
  </si>
  <si>
    <t>SGCC-Z12_0.6_1270_CHINA STEEL</t>
  </si>
  <si>
    <t>13SG06-D28-01</t>
  </si>
  <si>
    <t>SGCC-Z12_0.6_1180_CHINA STEEL</t>
  </si>
  <si>
    <t>13SG06-D29-01</t>
  </si>
  <si>
    <t>13SG06-D30-01</t>
  </si>
  <si>
    <t>13SG06-D31-01</t>
  </si>
  <si>
    <t>1.00X198.00XCOIL</t>
  </si>
  <si>
    <t>แนบ INSPECTION 
ห่อพลาสติกใส ล้มวางไม้พาเลท_x000D_
ครีบคว่ำ ครีบหงาย แยกพาเลท FG ระบุพาเลทและคีบคว่ำหงายลง Remark ในระบบด้วย</t>
  </si>
  <si>
    <t>0.5x148.0x685.0</t>
  </si>
  <si>
    <t xml:space="preserve">ห่อพลาสติกใส  วางบนไม้พาเลท
_x000D_แนบ INSPECTION  DATA_x000D_
</t>
  </si>
  <si>
    <t>14SG06-D23-01</t>
  </si>
  <si>
    <t>SPCEN-SD_0.5_1219_Common</t>
  </si>
  <si>
    <t>14SP05-K18-01</t>
  </si>
  <si>
    <t>14SP05-K20-01</t>
  </si>
  <si>
    <t>14SP05-K38-01</t>
  </si>
  <si>
    <t>0.80x186.00x1097.00</t>
  </si>
  <si>
    <t>500 แผ่น/แพ็ค, ห่อพลาสติกใส  วางบนไม้พาเลท  3 แถว/พาเลท_x000D_
แนบ INSPECTION  DATA_x000D_</t>
  </si>
  <si>
    <t>14SP10-A26-02</t>
  </si>
  <si>
    <t>SPCC-SD_1.8_1219_Common</t>
  </si>
  <si>
    <t>14SP18-A22-02</t>
  </si>
  <si>
    <t>SPCC-SD_2_1219_Common</t>
  </si>
  <si>
    <t>14SP20-C265-00</t>
  </si>
  <si>
    <t>14SP20-C266-00</t>
  </si>
  <si>
    <t>SPCEN-SD_3.2_1219_Common</t>
  </si>
  <si>
    <t>14SP32-K77-01</t>
  </si>
  <si>
    <t>SPHC-P/O_4.5_1219_Common</t>
  </si>
  <si>
    <t>16278-851YM-01</t>
  </si>
  <si>
    <t>KRC AUTOPART</t>
  </si>
  <si>
    <t>SAPH440-P/O_2_1219_Common</t>
  </si>
  <si>
    <t>SAPH440-P/O</t>
  </si>
  <si>
    <t>1678-BZ120-03</t>
  </si>
  <si>
    <t>SAPH440</t>
  </si>
  <si>
    <t>1678-BZ120-04</t>
  </si>
  <si>
    <t>SGCC-Z08 1.0X1220.00X2440.00</t>
  </si>
  <si>
    <t>Sanshin High 1</t>
  </si>
  <si>
    <t>2440</t>
  </si>
  <si>
    <t>14SG06-D104-00</t>
  </si>
  <si>
    <t>X-D2D104-00</t>
  </si>
  <si>
    <t>X-D2D45-02E</t>
  </si>
  <si>
    <t>1M816C2C001</t>
  </si>
  <si>
    <t>1X1220x2440</t>
  </si>
  <si>
    <t>งานห่อกระดาษ _x000D_
แนบใน Cer ทุกครั้งที่ส่งงาน FIX MAKER POSCO</t>
  </si>
  <si>
    <t>1x52xcoil</t>
  </si>
  <si>
    <t xml:space="preserve">JO TECH </t>
  </si>
  <si>
    <t>น้ำหนักตามชั่งจริง 1,000 Kg./Pack (eye up)
เน้นผิวและคุณภาพ
ห่อพลาสติกใส วางบนไม้พาเลท</t>
  </si>
  <si>
    <t>SECC-16/16_2_1219_CHINA STEEL</t>
  </si>
  <si>
    <t>2.0 X 100 X COIL</t>
  </si>
  <si>
    <t>2.000X108.00XCOIL</t>
  </si>
  <si>
    <t>ห่อพลาสติกใส ล้มวางพาเลทไม้ weight 100-150 kg. (ไม้คั่น 15 mm.)_x000D_
ระยะห่างความกว้างของขาพาเลท 720-740mm.&gt;ระยะห่างวัดจากด้านในของไม้พาเลท&gt;ระยะความสูงจากพื้นวัดจากขอบด้านล่าง 120-140mm.</t>
  </si>
  <si>
    <t>SGCC-Z27_2_1219_Common</t>
  </si>
  <si>
    <t>2.000x31.00xcoil</t>
  </si>
  <si>
    <t>SGCC ZDNX Z27</t>
  </si>
  <si>
    <t>น้ำหนัก 150-240 ต่อม้วน
ห่อพลาสติกใส ล้มวางไม้พาเลท มีไม้คั่น 15 mm. รัดสายเขียว 2 เส้น ครีบคว่ำ ครีบหงาย แยกพาเลท FG ระบุพาเลทและคีบคว่ำหงายลง Remark ในระบบ_x000D_
แนบ INSPECTION DATA_x000D__x000D_
Process semi width +/- 0.3 mm.</t>
  </si>
  <si>
    <t>SPHC-P/O_2_1219_Common</t>
  </si>
  <si>
    <t>2.00X112.00X1220.00</t>
  </si>
  <si>
    <t>2.00X130XCOIL</t>
  </si>
  <si>
    <t xml:space="preserve">           SECC-E16/16,AF</t>
  </si>
  <si>
    <t>** ชั่งน้ำหนักจริงทุกแถบ *** ตาชั่งพื้น พันผ้าสาน วางไม้พาเลท วาง 1 แถบ/เลท_x000D_
แนบ INSPECTION  DATA_x000D__x000D_
ระบุ COIL NO ในใบแพลนทุกครั้ง</t>
  </si>
  <si>
    <t>2.00x262.00xcoil</t>
  </si>
  <si>
    <t>SGCC ZCX Z22</t>
  </si>
  <si>
    <t>แนบ INSPECTION  DATA_x000D__x000D_
ครีบคว่ำ ครีบหงาย แยกพาเลท FG ระบุพาเลทและคีบคว่ำหงายลง Remark ในระบบด้วย</t>
  </si>
  <si>
    <t>2.00X360.00XCOIL</t>
  </si>
  <si>
    <t>SGCC Z27</t>
  </si>
  <si>
    <t>2.00X75.00X1220.00</t>
  </si>
  <si>
    <t>2.00X80.00X1220.00</t>
  </si>
  <si>
    <t>2.00x86.00x1220.00</t>
  </si>
  <si>
    <t>SPHC P/O</t>
  </si>
  <si>
    <t>2.0x108x1220</t>
  </si>
  <si>
    <t>2.0x156xCoil</t>
  </si>
  <si>
    <t>** ชั่งน้ำหนักจริงทุกแถบ *** ตาชั่งพื้น
น้ำหนัก : coil ต้องไม่เกิน 450-500kg/coil พันผ้าสาน วางไม้พาเลท วาง 1 แถบ/เลท_x000D_
แนบ INSPECTION  DATA_x000D__x000D_
ระบุ COIL NO ในใบแพลนทุกครั้ง</t>
  </si>
  <si>
    <t>14SG06D104-00</t>
  </si>
  <si>
    <t>2.0x230XCOIL</t>
  </si>
  <si>
    <t>** ชั่งน้ำหนักจริงทุกแถบ **
ตาชั่งพื้น ห่อพลาสติกใส  วางบนไม้พาเลท  2 ตอน /พาเลท_x000D_
แนบ  INSPECTION  DATA_x000D__x000D_
ระบุ COIL NO ในใบแพลนทุกครั้ง</t>
  </si>
  <si>
    <t>2.0x295x558</t>
  </si>
  <si>
    <t>** ชั่งน้ำหนักจริงทุกแถบ ** ตาชั่งพื้น
slit หน้า 295 เท่านั้น วัดความสูงของแพ็คงาน  ตาชั่งพื้น , วางพาเลทเป็น 2ตอน ห่อพลาสติกใส
แนบ  INSPECTION  _x000D_
DATA_x000D__x000D_
ระบุ COIL NO ในใบแพลนทุกครั้ง</t>
  </si>
  <si>
    <t>2.0X36X1220 SAPH440</t>
  </si>
  <si>
    <t>2.0X45X1220</t>
  </si>
  <si>
    <t xml:space="preserve">         SPHC-P/O</t>
  </si>
  <si>
    <t>2.0x49x1220</t>
  </si>
  <si>
    <t>2.0X73x1220</t>
  </si>
  <si>
    <t>2.0x78x1220</t>
  </si>
  <si>
    <t>2.0x85xCoil</t>
  </si>
  <si>
    <t>** ชั่งน้ำหนักจริงทุกแถบ **  ตาชั่งพื้น
น้ำหนัก : coil ต้องไม่เกิน 440-480kg/coil พันผ้าสาน วางไม้พาเลท วาง 1 แถบ/เลท_x000D_
แนบ INSPECTION  DATA_x000D__x000D_
ระบุ COIL NO ในใบแพลนทุกครั้ง</t>
  </si>
  <si>
    <t>SPCC-SD_2.3_1219_Common</t>
  </si>
  <si>
    <t>2.300X80.00X1219.00</t>
  </si>
  <si>
    <t xml:space="preserve">ห่อพลาสติกใส วางพาเลทไม้ ______ แถว/เลท  ______ ตอน/เลท  </t>
  </si>
  <si>
    <t>2.30x42.00xcoil</t>
  </si>
  <si>
    <t>แนบ INSPECTION 
ห่อพลาสติกใส ล้มวางไม้พาเลท_x000D_
น้ำหนัก 110 ขึ้นไป</t>
  </si>
  <si>
    <t>2.30x68.00x687.00</t>
  </si>
  <si>
    <t>แพลนเข้าเครื่อง ML2 เท่านั้น
ห่อพลาสติกใส วางไม้พาเลท วาง 2 แถว_x000D_</t>
  </si>
  <si>
    <t>SPCC-SD_2.5_1219_Common</t>
  </si>
  <si>
    <t>2.39X50.00XCOIL</t>
  </si>
  <si>
    <t>THAIXON</t>
  </si>
  <si>
    <t>เน้นผิวและคุณภาพ                                          _x000D_
 แนบ INSPECTION 
กำหนด OD 800-1000</t>
  </si>
  <si>
    <t>SPCEN-SD_2.5_1219_Common</t>
  </si>
  <si>
    <t>2.500x1219.00x2200.00</t>
  </si>
  <si>
    <t xml:space="preserve">***  ( Hardness  Control 50-71   HRB  )  ***_x000D_
แนบ  INSPECTION  DATA_x000D_
</t>
  </si>
  <si>
    <t>SPHC-P/O_2.6_1219_Common</t>
  </si>
  <si>
    <t>2.500X123.00XCOIL</t>
  </si>
  <si>
    <t>2.500X52.00XCOIL</t>
  </si>
  <si>
    <t>2.50x50xCOIL</t>
  </si>
  <si>
    <t>TAI FOU LONG</t>
  </si>
  <si>
    <t xml:space="preserve">เน้นผิวและคุณภาพ_x000D_
ห่อพลาสติกใส ล้มวางไม้พาเลท_x000D_
แนบINSPECTION_x000D_
</t>
  </si>
  <si>
    <t>SPCC-8D</t>
  </si>
  <si>
    <t>2.5x87xCOIL</t>
  </si>
  <si>
    <t>*SINO ลูกค้าควบคุมน้ำหนัก 120-150 kg./ Coil **HRB 50-71ONLY Control JIS 3141 ระยะห่างความกว้างของขาพาเลท 720-740 mm.&gt;ระยะห่างวัดจากด้านในของไม้พาเลท&gt;ระยะความสูงจากพื้นวัดจากขอบด้านล่าง 120-140mm.</t>
  </si>
  <si>
    <t>SPFH590-P/O_2.6_1219_Common</t>
  </si>
  <si>
    <t>2.600X76.00X1219.00</t>
  </si>
  <si>
    <t xml:space="preserve">SIAM ADVANCE </t>
  </si>
  <si>
    <t>เน้นผิวและคุณภาพ       
ห่อพลาสติกใส   วางบนไม้พาเลท  3 แถว/พาเลท_x000D_
แนบ INSPECTION  DATA_x000D__x000D_
ระบุ Coil Number ในสติ๊กเกอร์ทุกครั้ง/ทุกแพ็ค</t>
  </si>
  <si>
    <t>2.6x75x1220</t>
  </si>
  <si>
    <t>2.6x76x1220</t>
  </si>
  <si>
    <t>2x101xcoil</t>
  </si>
  <si>
    <t>เน้นผิวและคุณภาพ_x000D_ Weight 400-600 kgs./coil
ห่อพลาสติกใส วาง 2 แถบ/พาเลท
แนบ INSPECTION_x000D_</t>
  </si>
  <si>
    <t>2x167xcoil</t>
  </si>
  <si>
    <t>Weight 400-700 kgs./coil
ห่อพลาสติกใส วาง 1 แถบ/พาเลท
แนบ INSPECTION  DATA_x000D_</t>
  </si>
  <si>
    <t>SPGC</t>
  </si>
  <si>
    <t>2x330xCoil</t>
  </si>
  <si>
    <t xml:space="preserve">          SPGC</t>
  </si>
  <si>
    <t xml:space="preserve">ห่อพลาสติกใส   ล้มวางไม้พาเลท  1  แถบ/พาเลท   _x000D_
แนบ INSPECTION  DATA_x000D_                                                    </t>
  </si>
  <si>
    <t>SPHC-P/O_3_1219_Common</t>
  </si>
  <si>
    <t>3.000X1219.00X70.00</t>
  </si>
  <si>
    <t xml:space="preserve">             SPHC</t>
  </si>
  <si>
    <t>แนบ INSPECTION 
ห่อพลาสติกใส วางไม้พาเลท</t>
  </si>
  <si>
    <t>SPHC-P/O_3.2_1219_Common</t>
  </si>
  <si>
    <t>3.20x205.00x1219.00</t>
  </si>
  <si>
    <t xml:space="preserve">         SPHC</t>
  </si>
  <si>
    <t>ห่อพลาสติกใส วางพาเลทไม้      แถว/เลท_x000D_
จำนวนห้ามเกินใบแพลนละบุ</t>
  </si>
  <si>
    <t>SPHC-P/O_3.5_1219_Common</t>
  </si>
  <si>
    <t>3.500X123.00X1219.00</t>
  </si>
  <si>
    <t>Thickness +/- JIS</t>
  </si>
  <si>
    <t>SAPH440-P/O_4_1219_Common</t>
  </si>
  <si>
    <t>4.0 x 176 x 1219</t>
  </si>
  <si>
    <t>SAPH440 P/O</t>
  </si>
  <si>
    <t>ห่อพลาสติก ใสวางพาเลทไม้</t>
  </si>
  <si>
    <t>SAPH400-P/O</t>
  </si>
  <si>
    <t>4.0x1200x2438</t>
  </si>
  <si>
    <t>UK ENGINEERING</t>
  </si>
  <si>
    <t>ห่อพลาสติกใส วางไม้พาเลท</t>
  </si>
  <si>
    <t>SPHC-P/O_4_1219_Common</t>
  </si>
  <si>
    <t>4.0X150XCOIL</t>
  </si>
  <si>
    <t xml:space="preserve">        SPHC P/O</t>
  </si>
  <si>
    <t>SPFH590-P/O_4.5_1219_CHINA STEEL</t>
  </si>
  <si>
    <t>4.500X112.00X1219.00</t>
  </si>
  <si>
    <t>ห่อพลาสติกใส วางพาเลทไม้_x000D_
ระบุ Coil Number ในสติ๊กเกอร์ทุกครั้ง/ทุกแพ็ค</t>
  </si>
  <si>
    <t>4.5x63x1220</t>
  </si>
  <si>
    <t>4.5x67x1220</t>
  </si>
  <si>
    <t>4.5X68X1220</t>
  </si>
  <si>
    <t>SPFH590-P/O_3_1219_Common</t>
  </si>
  <si>
    <t>4162540(4162317)</t>
  </si>
  <si>
    <t>1.6x62x1219</t>
  </si>
  <si>
    <t>49721A00P-B1</t>
  </si>
  <si>
    <t>49721A00P-B2</t>
  </si>
  <si>
    <t>SPHC-P/O_2.3_1219_Common</t>
  </si>
  <si>
    <t>49721A00P-B3</t>
  </si>
  <si>
    <t>SPFH590-P/O_5_1219_Common</t>
  </si>
  <si>
    <t>5.0X136X1220</t>
  </si>
  <si>
    <t>เน้นผิวและคุณภาพ_x000D_ 
ห่อพลาสติกใส  วางบนไม้พาเลท  2 ตอน/พาเลท_x000D_
แนบ INSPECTION_x000D_ ใช้ Maker CSC และแนบ cer. CSC เท่านั้น_x000D_
ห้ามใช้  Maker SSI ส่งลูกค้า</t>
  </si>
  <si>
    <t>SPFH590-P/O_2.5_1219_Common</t>
  </si>
  <si>
    <t>5592215(5619977)</t>
  </si>
  <si>
    <t>592217(5619980)</t>
  </si>
  <si>
    <t>592218(5619980)</t>
  </si>
  <si>
    <t>5X130X1220</t>
  </si>
  <si>
    <t>เน้นผิวและคุณภาพ_x000D_ ห่อพลาสติกใส  วางบนไม้พาเลท  2 ตอน/พาเลท_x000D_
แนบ INSPECTION แนบ Cer. CSC เท่านั้น_x000D_</t>
  </si>
  <si>
    <t>SAPH440-P/O_6_1219_Common</t>
  </si>
  <si>
    <t>SAPH270C-P/O</t>
  </si>
  <si>
    <t>SAPH</t>
  </si>
  <si>
    <t>6.000X135.00X1048.00</t>
  </si>
  <si>
    <t xml:space="preserve">         SAPH</t>
  </si>
  <si>
    <t>SAPH400-P/O, SAPH400-P/O</t>
  </si>
  <si>
    <t>6.00X135.00X1048.00</t>
  </si>
  <si>
    <t>SPHC-P/O_6_1219_COMMON</t>
  </si>
  <si>
    <t>6.0x75x1220</t>
  </si>
  <si>
    <t>SS400_6.4_1330_Common</t>
  </si>
  <si>
    <t>SS400</t>
  </si>
  <si>
    <t>6.40X164.00X920.00</t>
  </si>
  <si>
    <t xml:space="preserve">             SS400</t>
  </si>
  <si>
    <t>เน้นผิวและคุณภาพ _x000D_ ***ลูกค้าเน้นขอบมาก***
ห่อพลาสติกใส วางไม้พาเลท
แนบ INSPECTION_x000D_</t>
  </si>
  <si>
    <t>SS400_7.0_Common</t>
  </si>
  <si>
    <t>7.000X116.00X1198.00</t>
  </si>
  <si>
    <t xml:space="preserve">         SS400</t>
  </si>
  <si>
    <t>ห่อพลาสติกใส วางพาเลทไม้ 2 แถว/พาเลท</t>
  </si>
  <si>
    <t>7.000x130.00x986.00</t>
  </si>
  <si>
    <t xml:space="preserve"> เน้นผิวและคุณภาพ_x000D_
 ห่อพลาสติกใส วางไม้พาเลท วาง 2 แถว_x000D_
แนบ INSPECTION  DATA_x000D_
SALE: KUNG.</t>
  </si>
  <si>
    <t>S45C_7.25_1256_CHINA STEEL</t>
  </si>
  <si>
    <t>S45C</t>
  </si>
  <si>
    <t>7.25x104x1219</t>
  </si>
  <si>
    <t xml:space="preserve">          S45C</t>
  </si>
  <si>
    <t>เน้นผิวและคุณภาพ       _x000D_
 กรณีงานโก่งส่งรีดงานโก่ง &gt; ห่อพลาสสติกใส วางไม้พาเลท 3 แถว_x000D__x000D_
ระบุ Coil Number ในสติ๊กเกอร์ทุกครั้ง/ทุกแพ็ค</t>
  </si>
  <si>
    <t>SAPH440C-P/O_9_1125_Common</t>
  </si>
  <si>
    <t>9.00x160.00x771.00</t>
  </si>
  <si>
    <t>CO-DENSO-001</t>
  </si>
  <si>
    <t xml:space="preserve">EK 8750 T/B </t>
  </si>
  <si>
    <t>EK 8862 T</t>
  </si>
  <si>
    <t>ห่อพลาสติกใส  ล้มวางบนไม้พาเลท _x000D__x000D_
แนบ INSPECTION  DATA_x000D_</t>
  </si>
  <si>
    <t>EK 9143 T/B</t>
  </si>
  <si>
    <t>EK 9143 T2</t>
  </si>
  <si>
    <t>เน้นผิวและคุณภาพ ห่อพลาสติกใส วางไม้พาเลท</t>
  </si>
  <si>
    <t>13SG06D29-01</t>
  </si>
  <si>
    <t>1010410007</t>
  </si>
  <si>
    <t>ห่อพลาสติกใส ล้มวางพาเลทไม้  1  แถบ/เลท_x000D_
คิวซีเช็คสีผิวเหล็กก่อนทำการตัดงาน สีผิวต้องเสมอกันทั้งม้วน หากพบสีผิวไม่เสมอกันให้เช็คระยะของสีผิวและส่งใบแพลนกลับคืนทำการแก้ไขขนาดงาน_x000D_
ครีบคว่ำ ครีบหงาย แยกพาเลท FG ระบุพาเลทและคีบคว่ำหงายลง Remark ในระบบด้ว</t>
  </si>
  <si>
    <t>5020000537</t>
  </si>
  <si>
    <t>KING SHING 1</t>
  </si>
  <si>
    <t xml:space="preserve">เน้นผิวและคุณภาพ _x000D_
ห่อพลาสติกใส วางไม้พาเลท วาง  1 แถว
</t>
  </si>
  <si>
    <t>EK 9277 T</t>
  </si>
  <si>
    <t xml:space="preserve">         SPCC-SD</t>
  </si>
  <si>
    <t>ห่อพลาสติกใส  ล้มวางไม้พาเลท 1  แถบ/พาเลท_x000D_
แนบ INSAPECTION  DATA_x000D_</t>
  </si>
  <si>
    <t>EK 9372 T</t>
  </si>
  <si>
    <t xml:space="preserve"> ห่อพลาสติกใส  วางบนไม้พาเลท  2  ตอน/พาเลท_x000D_
แนบ INSPECTION DATA_x000D_</t>
  </si>
  <si>
    <t>EK 9372 T/B</t>
  </si>
  <si>
    <t>1.200x144.00xCOIL</t>
  </si>
  <si>
    <t>ลูกค้าต้องการ เน้นสีผิวเหล็ก ตามรูปถ่ายแนบ
QC สามารถดูสีผิวงานจริงได้ที่ห้อง QC คุณภควัต
ห่อพลาสติกใส   ล้มวางไม้พาเลท  2  แถบ/พาเลท  ** มีไม้คั่น **_x000D_
แนบ INSPECTION  DATA_x000D__x000D_
ครีบคว่ำ ครีบหงาย แยกพาเลท FG ระบุพาเลทและคีบคว่ำหงายลง Remark ในระบบด้วย</t>
  </si>
  <si>
    <t>1.200x290.800xCOIL</t>
  </si>
  <si>
    <t>ห่อพลาสติกใส ล้มวางไม้พาเลท วาง 1 แถบ/เลท_x000D_
แนบ INSPECTION  DATA_x000D_
ครีบคว่ำ ครีบหงาย แยกพาเลท FG ระบุพาเลทและคีบคว่ำหงายลง Remark ในระบบด้วย</t>
  </si>
  <si>
    <t>1.6x94x1219</t>
  </si>
  <si>
    <t>EK 9586 T</t>
  </si>
  <si>
    <t>เน้นผิวและคุณภาพ_x000D_
ห่อพลาสติกใส ล้มวางไม้พาเลท 1 แถบ/พาเลท _x000D_</t>
  </si>
  <si>
    <t>EK 9602 T/B</t>
  </si>
  <si>
    <t>_x000D_ลูกค้าเน้นผิว ห้ามมีรอยจิก หากมีรอยให้แจ้ง QCคุณภควัต รับทราบปัญหา และใช้ Marker วงจุดที่พบปัญหา - แยกแพ็ค ติดป้ายชี้บ่งให้ชัดเจน &gt;&gt; FG กรอก Out Put ลง Remark ในระบบให้ด้วย
ห่อพลาสติกใส วางไม้พาเลท วาง 2 ตอน_x000D_
แนบ INSPECTION_x000D_</t>
  </si>
  <si>
    <t>THAI SUMMITGOL1</t>
  </si>
  <si>
    <t>CPK</t>
  </si>
  <si>
    <t>EK 9735 T</t>
  </si>
  <si>
    <t>SGUR-0012-(31)</t>
  </si>
  <si>
    <t>_x000D_ ห่อพลาสติกใส  วาง 1 แถว/พาเลท_x000D_
แนบ INsPECTION   DATA_x000D_</t>
  </si>
  <si>
    <t>SGUR-0012-(57)</t>
  </si>
  <si>
    <t>ห่อพลาสติกใส   วางบนไม้พาเลท   3  แถว 2  ตอน /พาเลท_x000D_
แนบ INSPECTION  DATA_x000D_</t>
  </si>
  <si>
    <t>EK 9758 T</t>
  </si>
  <si>
    <t xml:space="preserve">       SPHC P/O</t>
  </si>
  <si>
    <t>เน้นผิวและคุณภาพ_x000D_
ห่อพลาสติกใส วางไม้พาเลท วาง 1 แถว_x000D_</t>
  </si>
  <si>
    <t>0.80X265XC</t>
  </si>
  <si>
    <t>0.80X250.00X1219.00</t>
  </si>
  <si>
    <t xml:space="preserve">เน้นผิวและคุณภาพ 
_x000D_500 แผ่น/แพ็ค ห่อพลาสติกใส
แนบ INSPECTION 
</t>
  </si>
  <si>
    <t>0.80x360x546</t>
  </si>
  <si>
    <t>YETHA 3</t>
  </si>
  <si>
    <t>เน้นผิวและคุณภาพ
ห่อพลาสติกใส วางไม้พาเลท</t>
  </si>
  <si>
    <t>SAPH440-P/O_4.5_1219_CHINA STEEL</t>
  </si>
  <si>
    <t>K13-34453</t>
  </si>
  <si>
    <t>4.5X50XCOIL ห่อพลาสติกใส ล้มวางไม้พาเลท 4 แถบ/พาเลท เน้นผิวและคุณภาพ แนบ INSPECTION ระวังเรื่องฝุ่นผ้า และ รอย จิกลึกเข้าเนื้อ/ติดสติกเกอร์เล็ก เรียงหมายเลขจากน้อยลงไปหามาก อย่าสลับ_x000D_
SALE:Pakjira</t>
  </si>
  <si>
    <t>S700MC-P/O_5_1219_Common</t>
  </si>
  <si>
    <t>S700MC-P/O</t>
  </si>
  <si>
    <t>L001737167NCP</t>
  </si>
  <si>
    <t>S700MCP/O</t>
  </si>
  <si>
    <t xml:space="preserve"> เน้นผิวและคุณภาพ_x000D_
ห่อพลาสติกใส วางไม้พาเลท วาง 1 แถว</t>
  </si>
  <si>
    <t>S550MC-P/O_3.5_1219_Common</t>
  </si>
  <si>
    <t>S550MC-P/O</t>
  </si>
  <si>
    <t>L002505590NCP S550MC-P/O</t>
  </si>
  <si>
    <t>L002528096NCP S550MC-P/O</t>
  </si>
  <si>
    <t>S355MC-P/O_2.5_1219_CHINA STEEL</t>
  </si>
  <si>
    <t>S355MC-P/O</t>
  </si>
  <si>
    <t>M092TVA-20108-301-1</t>
  </si>
  <si>
    <t>S355MC</t>
  </si>
  <si>
    <t>ห่อพลาสติกใส ล้มวางพาเลทไม้ 1 แถบ/เลท</t>
  </si>
  <si>
    <t>186</t>
  </si>
  <si>
    <t>M192RMSPK40105</t>
  </si>
  <si>
    <t>NN 8724 T</t>
  </si>
  <si>
    <t>ห่อพลาสติกใส ล้มวางพาเลทไม้</t>
  </si>
  <si>
    <t>NN 8733 T</t>
  </si>
  <si>
    <t>ห่อพลาสติกใส ล้มวางไม้พาเลท</t>
  </si>
  <si>
    <t>NN 9180 H3</t>
  </si>
  <si>
    <t>SECC AF E16/E16</t>
  </si>
  <si>
    <t>เน้นผิวและคุณภาพ _x000D_
ห่อพลาสติกใส ล้มวางไม้พาเลท 1 แถบ/พาเลท_x000D_</t>
  </si>
  <si>
    <t>NN 9497 T</t>
  </si>
  <si>
    <t>NN 9598 H</t>
  </si>
  <si>
    <t>SECC-AF,E16/E16</t>
  </si>
  <si>
    <t>NN 9610 H</t>
  </si>
  <si>
    <t>NN 9646 T5</t>
  </si>
  <si>
    <t>เน้นผิวและคุณภาพ _x000D_
ห่อพลาสติกใส วางไม้พาเลท วาง 2 แถว_x000D_</t>
  </si>
  <si>
    <t>NN 9652 H</t>
  </si>
  <si>
    <t xml:space="preserve">เน้นผิวและคุณภาพ_x000D_
ห่อพลาสติกใส วางไม้พาเลท วาง 2 แถว_x000D_
</t>
  </si>
  <si>
    <t>NN 9770 H</t>
  </si>
  <si>
    <t xml:space="preserve">เน้นผิวและคุณภาพ _x000D_
ห่อพลาสติกใส วางไม้พาเลท วาง 1 แถว_x000D_
</t>
  </si>
  <si>
    <t>NN 9771 H</t>
  </si>
  <si>
    <t>NN 9774 T2</t>
  </si>
  <si>
    <t>เน้นผิวและคุณภาพ_x000D_
ห่อพลาสติกใส วางไม้พาเลท วาง 2 แถว_x000D_</t>
  </si>
  <si>
    <t>NN 9775 H</t>
  </si>
  <si>
    <t>NN 9910 H</t>
  </si>
  <si>
    <t>SECC-16/16,AF</t>
  </si>
  <si>
    <t>0.80X270.00X1219</t>
  </si>
  <si>
    <t>500 แผ่น/แพ็ค  ห่อพลาสติกใส  วางบนไม้พาเลท  3 แถว/พาเลท_x000D_
แนบ INSPECTION  DATA_x000D_</t>
  </si>
  <si>
    <t>0.8x63.50x289.2</t>
  </si>
  <si>
    <t>PG-G011L-PS-YL</t>
  </si>
  <si>
    <t xml:space="preserve">                SPCC-SD</t>
  </si>
  <si>
    <t>ค่า Hardness 55-70 HRB  (TS 370 UP)_x000D_
แนบ INSPECTION _x000D_
ห่อพลาสติกไม้วางพาเลท2แถบ/พาเลท มีไม้คั่น</t>
  </si>
  <si>
    <t>PG-G011U-PS-YU</t>
  </si>
  <si>
    <t xml:space="preserve">ค่า Hardness 55-70 HRB (TS 370 UP)_x000D_
แนบ INSPECTION </t>
  </si>
  <si>
    <t>PLATE 35030</t>
  </si>
  <si>
    <t>SPHC-P/O_6_1219_China steel/Cherry serina</t>
  </si>
  <si>
    <t>SPH270C-OD</t>
  </si>
  <si>
    <t>RCS14001004</t>
  </si>
  <si>
    <t>CHERRY SERINA 1</t>
  </si>
  <si>
    <t xml:space="preserve">        SPH270C-OD</t>
  </si>
  <si>
    <t>แนบใบเซอร์ HYUNDAI เท่านั้น 
น้ำหนักไม่เกิน 500-650 kg. แพ็คแบบพาเลท CS.NON
ห่อพลาสติกใส ล้มวางไม้พาเลท 1 แถบ/พาเลท</t>
  </si>
  <si>
    <t>หากค่า + ความหนามากกว่า 0.13 ให้เป็นความหนา 4.50 mm._x000D_
ครีบ ไม่เกิน 0.10 , โก่ง 5.0 MM , โค้ง 2.0 MM / 2 M ถ้า โค้ง เกิน 2 MM แต่ไม่เกิน 5 MM ให้แจ้ง SALE และติด TAG ,แนบ INSPECTION _x000D_
เน้่นคุณภาพทุกอย่าง 100 % น้ำหนักไม่เกิน 250/coil</t>
  </si>
  <si>
    <t>SPCC-SD_3_1219_Common</t>
  </si>
  <si>
    <t>RMT-300017</t>
  </si>
  <si>
    <t>3.0X60XCOIL ห่อพลาสติกใส ล้มวางไม้พาเลท 4 แถบ/พาเลท เน้นผิวและคุณภาพ แนบ INSPECTION ระวังเรื่องฝุ่นผ้า และ รอย จิกลึกเข้าเนื้อ/ติดสติกเกอร์เล็ก เรียงหมายเลขจากน้อยลงไปหามาก อย่าสลับ_x000D_
SALE:Pakjira</t>
  </si>
  <si>
    <t>SAPH440-P/O_4.35_1219_CHINA STEEL</t>
  </si>
  <si>
    <t>RMT-300020</t>
  </si>
  <si>
    <t>หากค่า + ความหนามากกว่า 0.13 ให้เป็นความหนา 4.50 mm._x000D_
ครีบ ไม่เกิน 0.10 , โก่ง 5.0 MM , โค้ง 2.0 MM / 2 M ถ้า โค้ง เกิน 2 MM แต่ไม่เกิน 5 MM ให้แจ้ง SALE และติด TAG ,แนบ INSPECTION _x000D_
เน้่นคุณภาพทุกอย่าง 100 % น้ำหนักไม่เกิน 250/coil (Hardness 150-280</t>
  </si>
  <si>
    <t>SGCC-Z22 0.5*53.5*Coil</t>
  </si>
  <si>
    <t>ADVANEX 1</t>
  </si>
  <si>
    <t>น้ำหนัก  Max 150 kg/coil</t>
  </si>
  <si>
    <t>0.80X195.00X1219</t>
  </si>
  <si>
    <t xml:space="preserve">500 แผ่น/แพ็ค, ห่อพลาสติกใส  วางบนไม้พาเลท  2  แถว/พาเลท_x000D_
_x000D_แนบ INSPECTION   DATA_x000D_
</t>
  </si>
  <si>
    <t>SGUR-0006-(46)</t>
  </si>
  <si>
    <t>ลูกค้าเน้นไม่เอาผิวลายน้ำ
ห่อพลาสติกใส  วางบนไม้พาเลท  วาง 1  แถว/พาเลท_x000D_
_x000D_แนบ INSPECTION   DATA_x000D_</t>
  </si>
  <si>
    <t>SGUR-0006-(47)</t>
  </si>
  <si>
    <t>SGUR-0008-(03)</t>
  </si>
  <si>
    <t>ห่อพลาสติกใส  วางบนไม้พาเลท  วาง 3 แถว/พาเลท_x000D_
แนบ INSPECTION  DATA_x000D_</t>
  </si>
  <si>
    <t>0.80x546X360</t>
  </si>
  <si>
    <t>UNI 9968 T/B</t>
  </si>
  <si>
    <t>379.5</t>
  </si>
  <si>
    <t>UNI 9982 T</t>
  </si>
  <si>
    <t>ห่อพลาสติกใส ล้มวางพาเลทไม้ 2 แถบ/เลท มีไม้คั่น</t>
  </si>
  <si>
    <t>UNI 9972 T</t>
  </si>
  <si>
    <t>299.5</t>
  </si>
  <si>
    <t>UNI 9967 T</t>
  </si>
  <si>
    <t>222</t>
  </si>
  <si>
    <t>UNI 9968 T</t>
  </si>
  <si>
    <t>198</t>
  </si>
  <si>
    <t>0.80x56.50x795.00</t>
  </si>
  <si>
    <t>795.00</t>
  </si>
  <si>
    <t>SPCC-FB-SD_1_1086_QINGDAO HBIS</t>
  </si>
  <si>
    <t>0.8x8.1xCoil</t>
  </si>
  <si>
    <t>SPCC-4B</t>
  </si>
  <si>
    <t>SPCC-4D 0.8</t>
  </si>
  <si>
    <t>0.8 X 88 X COIL</t>
  </si>
  <si>
    <t>JINRONG</t>
  </si>
  <si>
    <t>SPCC-4D</t>
  </si>
  <si>
    <t>0.8 x 56.5 x 795</t>
  </si>
  <si>
    <t>500 kg./pack
เน้นผิวและคุณภาพ
ห่อพลาสติกใส วางไม้พาเลท</t>
  </si>
  <si>
    <t>0.8 x 56.5 x 900</t>
  </si>
  <si>
    <t>แนบ INSPECTION  DATA_x000D_, Std =  500 kg./pack</t>
  </si>
  <si>
    <t>1M886C0A001</t>
  </si>
  <si>
    <t>SGUR-0012-(04)</t>
  </si>
  <si>
    <t>1181.6</t>
  </si>
  <si>
    <t>SN 8459 T</t>
  </si>
  <si>
    <t>เน้นผิวและคุณภาพ
ห่อพลาสติกใส ล้มวางไม้พาเลท 2 แถบ/พาเลท มีไม้คั่น_x000D_</t>
  </si>
  <si>
    <t>SPCC 0.6x200xC</t>
  </si>
  <si>
    <t>น้ำหนักไม่เกิน 400 Kg/Coil เท่านั้น</t>
  </si>
  <si>
    <t>SPCC 0.6x400x610P</t>
  </si>
  <si>
    <t>เน้นผิวและคุณภาพ</t>
  </si>
  <si>
    <t>SPCC 0.9x239x488-P</t>
  </si>
  <si>
    <t>SPCC 0.9x244x490-P</t>
  </si>
  <si>
    <t>SPCC 0.9x406x610-P</t>
  </si>
  <si>
    <t>SPCD-SD_2.3_1219_Common</t>
  </si>
  <si>
    <t>SPCD-SD</t>
  </si>
  <si>
    <t>SPCD 2.300x532.00x580.00</t>
  </si>
  <si>
    <t>ห่อพลาสติกใส วางพาเลทไม้ ______ แถว/เลท  ______ ตอน/เลท  _x000D_
ห้ามตัดเกินจำนวนในใบแพลนระบุ</t>
  </si>
  <si>
    <t>t2.0x65x1220</t>
  </si>
  <si>
    <t>TM 9813 T</t>
  </si>
  <si>
    <t>เน้นผิวและคุณภาพ _x000D_
ห่อพลาสติกใส วางไม้พาเลท 1 แถบ/พาเลท_x000D_</t>
  </si>
  <si>
    <t>TM 9884 T</t>
  </si>
  <si>
    <t>ห่อพลาสติกใส วางพาเลทไม้ ___ แถบ/เลท **มากกว่า 1 แถบ/เลท มีไม้คั่น 15 mm. ทุกแถบ**</t>
  </si>
  <si>
    <t>TM 9885 T</t>
  </si>
  <si>
    <t>1.20x149xCOIL</t>
  </si>
  <si>
    <t>เน้นผิวและคุณภาพ
ห่อพลาสติกใส ล้มวางไม้พาเลท 1 แถบ/พาเลท *** รัดสายรัด 4 มุม ***_x000D_
แนบ INSPECTION _x000D__x000D_
ครีบคว่ำ ครีบหงาย แยกพาเลท FG ระบุพาเลทและคีบคว่ำหงายลง Remark ในระบบด้วย</t>
  </si>
  <si>
    <t>CH 9911 G-1</t>
  </si>
  <si>
    <t>14SP08-C195-00</t>
  </si>
  <si>
    <t>วางไม้พาเลท</t>
  </si>
  <si>
    <t>EK 9758 T/B</t>
  </si>
  <si>
    <t>EK9592T</t>
  </si>
  <si>
    <t>EK 9720 T</t>
  </si>
  <si>
    <t xml:space="preserve">เน้นผิวและคุณภาพ ห่อพลาสติกใส วางไม้พาเลท วาง 2 แถว_x000D_
</t>
  </si>
  <si>
    <t xml:space="preserve">EK 9172 </t>
  </si>
  <si>
    <t>SPC440_1_1219_Common</t>
  </si>
  <si>
    <t>SPC440</t>
  </si>
  <si>
    <t>1.0X80X1000</t>
  </si>
  <si>
    <t>PROGRESS PART</t>
  </si>
  <si>
    <t>เน้นผวแบบะคุณภาพ ห่อพลาสติคใส วางบนไม้พาเลท</t>
  </si>
  <si>
    <t>EK 9172 T</t>
  </si>
  <si>
    <t>ห่อพลาสติกใส   ล้มวางไม้พาเลท   4 แถบ/พาเลท  ***  มีไม้คั่น ***_x000D_
แนบ INSPECTION  DATA_x000D_</t>
  </si>
  <si>
    <t>2.0X140xCOIL</t>
  </si>
  <si>
    <t>** ชั่งน้ำหนักจริงทุกแถบ *** ตาชั่งพื้น_x000D_
น้ำหนัก : coil ต้องไม่เกิน 450-500kg/coil_x000D_
เน้นผิวและคุณภาพ _x000D_
พันผ้าสาน ล้มวางพาเลทไม้ วาง1แถบฝพาเลท_x000D_
ระบุ COIL NO ในใบแพลนทุกครั้ง</t>
  </si>
  <si>
    <t>1.5x360xCoil</t>
  </si>
  <si>
    <t>coil</t>
  </si>
  <si>
    <t>** ชั่งน้ำหนักจริงทุกแถบ *** ตาชั่งพื้น_x000D_
น้ำหนัก : coil ต้องไม่เกิน 800-900kg/coil_x000D_
ระบุ COIL NO ในใบแพลนทุกครั้ง</t>
  </si>
  <si>
    <t>1.5x55xCoil</t>
  </si>
  <si>
    <t>** ชั่งน้ำหนักจริงทุกแถบ *** ตาชั่งพื้น
พันผ้าสาน   ล้มวางไม้พาเลท   1  แถบ/พาเลท _x000D_
แนบ INSPECTION  DATA_x000D_
ระบุ COIL NO ในใบแพลนทุกครั้ง</t>
  </si>
  <si>
    <t>1.50X284XCOIL</t>
  </si>
  <si>
    <t xml:space="preserve">** ชั่งน้ำหนักจริงทุกแถบ **
ตาชั่งพื้นพันผ้าสาน   ล้มวางไม้พาเลท   1  แถบ/พาเลท _x000D_
ระบุ COIL NO ในใบแพลนทุกครั้ง_x000D_
แนบ INSPECTION  DATA_x000D_
</t>
  </si>
  <si>
    <t xml:space="preserve">CH 9911 G </t>
  </si>
  <si>
    <t>863</t>
  </si>
  <si>
    <t>1.5X1220x2440</t>
  </si>
  <si>
    <t xml:space="preserve">                  SGCC</t>
  </si>
  <si>
    <t>งานห่อกระดาษ วางไม้พาเลท วาง  1 แถว
แนบใน Cer ทุกครั้งที่ส่งงาน FIX Mill =  POSCO
แนบ INSPECTION  DATA_x000D_</t>
  </si>
  <si>
    <t>2.0X1220X2440</t>
  </si>
  <si>
    <t>งานห่อกระดาษ 
แนบใน Cer ทุกครั้งที่ส่งงาน FIX MAKER POSCO</t>
  </si>
  <si>
    <t>SAPH440-P/O_2.3_1219_Common</t>
  </si>
  <si>
    <t>2.3x65.0x1220.0</t>
  </si>
  <si>
    <t xml:space="preserve">SAPH440  </t>
  </si>
  <si>
    <t>16278-0E010-08</t>
  </si>
  <si>
    <t>49721A00P-B1-B2</t>
  </si>
  <si>
    <t>77006068</t>
  </si>
  <si>
    <t>LOUIS ENGINEERING CO.,LTD.</t>
  </si>
  <si>
    <t>1219</t>
  </si>
  <si>
    <t>CH 9911 G</t>
  </si>
  <si>
    <t>ห่อพลาสติกใส วางพาเลทไม้_x000D_
งาน Special Lot</t>
  </si>
  <si>
    <t>1.0x103x1220</t>
  </si>
  <si>
    <t>ห่อพลาสติกใส   วางบนไม้พาเลท
แนบ INSPECTION  DATA_x000D_</t>
  </si>
  <si>
    <t>6.40x164.00x920</t>
  </si>
  <si>
    <t xml:space="preserve">          SS400</t>
  </si>
  <si>
    <t>EK 9272 T</t>
  </si>
  <si>
    <t>ห่อพลาสติกใส วางพาเลทไม้ แนบ Inspection</t>
  </si>
  <si>
    <t>SAPH440-P/O_5_1219_Common</t>
  </si>
  <si>
    <t>5.00x66.00x1490</t>
  </si>
  <si>
    <t xml:space="preserve">
ห่อพลาสติกใส วางไม้พาเลท_x000D_
เน้นผิวและคุณภาพ  ลูกค้าเน้นขอบ  *** เน้นห้ามมี ครีบ มีดแตก ฟันปลา***  _x000D_
คิวซีวัดหน้ากว้างทั้งด้านบนและด้านล่างเป็นระยะ 5.0X66XC   +/-0.5 = 66.50-65.50  ตั้งมีด 66.55%0.8_x000D_
เขียนลงใน INSPECTIONด้วย_x000D_
5.0X66XC &gt;&gt;&gt; 5.0X66X1490 </t>
  </si>
  <si>
    <t>13SP20-C212-00</t>
  </si>
  <si>
    <t>1M73100F001.</t>
  </si>
  <si>
    <t>SPCC-SD_1.5_1219_Common</t>
  </si>
  <si>
    <t>1.50X216.00XCOIL</t>
  </si>
  <si>
    <t>แนบ INSPECTION 
ห่อพลาสติกใส ล้มวางไม้พาเลท</t>
  </si>
  <si>
    <t>TAKAFUNE_SGCC-Z18_1.2_74.4_709</t>
  </si>
  <si>
    <t>709</t>
  </si>
  <si>
    <t>JSH590R_1.6_1219_2438</t>
  </si>
  <si>
    <t>JSH590R</t>
  </si>
  <si>
    <t>NN 9910 H/B</t>
  </si>
  <si>
    <t>EK 9486 T</t>
  </si>
  <si>
    <t>EK 9490 T</t>
  </si>
  <si>
    <t>S500MC-P/O_2_1219</t>
  </si>
  <si>
    <t>S500MC</t>
  </si>
  <si>
    <t>2.00X37.00X1220</t>
  </si>
  <si>
    <t>SANGPRATEEP</t>
  </si>
  <si>
    <t xml:space="preserve">         S500MC</t>
  </si>
  <si>
    <t xml:space="preserve">เน้นผิวและคุณภาพ  _x000D_,Weight Max 1000 kg./pack  Min 500 kg./pack
งานบิด+โก่งเกิน 5 mm. ให้นำงานไปรีด_x000D_
ห่อพลาสติคใส วางไม้พาเลต วาง 3 แถว  </t>
  </si>
  <si>
    <t>73023044</t>
  </si>
  <si>
    <t>1000</t>
  </si>
  <si>
    <t>SAPH440-P/O_1.6_1219_Common</t>
  </si>
  <si>
    <t>1.6X61x1220</t>
  </si>
  <si>
    <t>2.0x86x1220</t>
  </si>
  <si>
    <t>21021A290P-04</t>
  </si>
  <si>
    <t>16268-730YL-01</t>
  </si>
  <si>
    <t>2.6x80x1220</t>
  </si>
  <si>
    <t>1.500X166.00XCOIL</t>
  </si>
  <si>
    <t>SGCC ZSNCX Z27</t>
  </si>
  <si>
    <t>EK 9372 T2</t>
  </si>
  <si>
    <t>EK 9508 T</t>
  </si>
  <si>
    <t>เน้นผิวทั้ง 2 ด้าน และคุณภาพ
ห่อพลาสติกใส ล้มวางไม้พาเลท 1 แถบ/พาเลท_x000D_</t>
  </si>
  <si>
    <t>2.00x45.00x1219.00</t>
  </si>
  <si>
    <t>1020640001</t>
  </si>
  <si>
    <t xml:space="preserve">ห่อพลาสติกใส  วางบนไม้พาเลท  1  ตอน/พาเลท_x000D_
แนบ INSPECTION  DATA_x000D_
</t>
  </si>
  <si>
    <t>NN 9497 T3</t>
  </si>
  <si>
    <t>_x000D_ห่อพลาสติกใส ล้มวางไม้พาเลท</t>
  </si>
  <si>
    <t>RM600ST000024</t>
  </si>
  <si>
    <t>เน้นผิวและคุณภาพ_x000D_
แนบ INSPECTION _x000D_
ห่อพลาสติกใส ล้มวางไม้พาเลท 1แถบ/พาเลท</t>
  </si>
  <si>
    <t>0.6x488X610</t>
  </si>
  <si>
    <t>1.50X226X1219</t>
  </si>
  <si>
    <t>SGCC-Z18/22</t>
  </si>
  <si>
    <t>เน้นผิวและคุณภาพ _x000D_,ห่อพลาสติกใส วางไม้พาเลท วาง 2 แถว_x000D_
500 แผ่น/แพ็ค, แนบ INSPECTION_x000D_</t>
  </si>
  <si>
    <t>2.300x532.00x580.00</t>
  </si>
  <si>
    <t>SPCD</t>
  </si>
  <si>
    <t>EK 9719 T</t>
  </si>
  <si>
    <t>SECC1.6X36</t>
  </si>
  <si>
    <t>14SP10-A16-00</t>
  </si>
  <si>
    <t>SECC 1.6X53</t>
  </si>
  <si>
    <t>1.600X310.00X1219.00</t>
  </si>
  <si>
    <t>SECC-V2X</t>
  </si>
  <si>
    <t>1.60X96.00XCOIL</t>
  </si>
  <si>
    <t>SGCC-Z22_1.6_1219_CHINA STEEL</t>
  </si>
  <si>
    <t>1.600X190.00X1219.00</t>
  </si>
  <si>
    <t>TEXFOCUS 02</t>
  </si>
  <si>
    <t>1.20X280.00X1170.00</t>
  </si>
  <si>
    <t>2.0x504x295</t>
  </si>
  <si>
    <t>** ชั่งน้ำหนักจริงทุกแถบ ** ตาชั่งพื้น_x000D_
slit หน้า 295 เท่านั้น วัดความสูงของแพ็คงาน  ตาชั่งพื้น ,น้ำหนัก 800-900kg/coil วางพาเลทแบบ 2ตอน_x000D_
ระบุ COIL NO ในใบแพลนทุกครั้ง</t>
  </si>
  <si>
    <t>SGCC-F08</t>
  </si>
  <si>
    <t>14SG16-D95-00</t>
  </si>
  <si>
    <t>SGCC MN F08</t>
  </si>
  <si>
    <t>EK 9750 T</t>
  </si>
  <si>
    <t>เน้นผิวและคุณภาพ
ห่อพลาสติกใส ล้มวางไม้พาเลท 1 แถบ/พาเลท_x000D_</t>
  </si>
  <si>
    <t>EK 9751 T</t>
  </si>
  <si>
    <t>14SG16D92-00</t>
  </si>
  <si>
    <t>13049-7MA0A</t>
  </si>
  <si>
    <t>2.0x232xCoil</t>
  </si>
  <si>
    <t>** ชั่งน้ำหนักจริงทุกแถบ **ตาชั่งพื้น ห่อพลาสติกใส  วางบนไม้พาเลท  2 ตอน /พาเลท_x000D_
ระบุ COIL NO ในใบแพลนทุกครั้ง_x000D_
แนบ  INSPECTION  DATA_x000D_</t>
  </si>
  <si>
    <t>14SG16-D92-00</t>
  </si>
  <si>
    <t>TD 9926 H</t>
  </si>
  <si>
    <t>TOS050005</t>
  </si>
  <si>
    <t>EK 9735 T/B</t>
  </si>
  <si>
    <t>เน้นผิวทั้ง 2 ด้าน</t>
  </si>
  <si>
    <t>5.0X130X1220</t>
  </si>
  <si>
    <t>แนบ Cer. CSC เท่านั้น</t>
  </si>
  <si>
    <t>2.0*132*Coil</t>
  </si>
  <si>
    <t>SGUR-0006-(59)</t>
  </si>
  <si>
    <t>1220</t>
  </si>
  <si>
    <t>NSH482 P147</t>
  </si>
  <si>
    <t>แนบ INSPECTION 
ห่อพลาสติกใส วางไม้พาเลท_x000D_
China Steel TW,POSCO,BAOSHAN,HYUNDAI_x000D_
สามารถใช้ความหนา 1.61 เช็คความหนา JIS 1.60 ไม่เกิน JIS OK</t>
  </si>
  <si>
    <t>NSH480 P147</t>
  </si>
  <si>
    <t>UNI 9973 G</t>
  </si>
  <si>
    <t>0.80x250.00x1219</t>
  </si>
  <si>
    <t>SS400_7_Common</t>
  </si>
  <si>
    <t>7.00x119.00x1110.00</t>
  </si>
  <si>
    <t>SGCC-Z22_0.4_1219_Common</t>
  </si>
  <si>
    <t>1M816C1R001</t>
  </si>
  <si>
    <t>เน้นผิวและคุณภาพ
ห่อพลาสติกใส วางบนไม้พาเลท   3   แถว/พาเลท_x000D_
แนบ INSPECTION  DATA_x000D_</t>
  </si>
  <si>
    <t>5.0 x 66 x 1550</t>
  </si>
  <si>
    <t>1550</t>
  </si>
  <si>
    <t>A5052 2.50x345.00x1300.00</t>
  </si>
  <si>
    <t>2.50x345.00x1300.00</t>
  </si>
  <si>
    <t>1300</t>
  </si>
  <si>
    <t>ห่อพลาสติกใส   วางบนไม้พาเลท  1  แถว/พาเลท_x000D_
แนบ INSPECTION  DATA_x000D_</t>
  </si>
  <si>
    <t>SPCD-SD_0.9_1219_Common</t>
  </si>
  <si>
    <t>0.900X37.00XCOIL</t>
  </si>
  <si>
    <t>SPHC-P/O 2.0x51x1220</t>
  </si>
  <si>
    <t>16278-BZ170-01</t>
  </si>
  <si>
    <t>EK 8951 T/B</t>
  </si>
  <si>
    <t>ห่อพลาสติกใส วางพาเลทไม้ ____ แถว/เลท _____ ตอน/เลท</t>
  </si>
  <si>
    <t>TOS030014</t>
  </si>
  <si>
    <t>780</t>
  </si>
  <si>
    <t>1.60x19.80xcoil</t>
  </si>
  <si>
    <t>SGCC ZNX Z18</t>
  </si>
  <si>
    <t>ห่อพลาสติกใส   ล้มวางบนไม้พาเลท_x000D_
น้ำหนักห้ามต่ำกว่า 80 กก./coil มีไม้คั่นทุกแถบ_x000D_
Process semi width +0.3/-0.3 mm._x000D_
แนบ INSPECTION  DATA_x000D_รัดสายเขียว 2 เส้น ครีบคว่ำ ครีบหงาย แยกพาเลท_x000D_
ครีบคว่ำ ครีบหงาย แยกพาเลท FG ระบุพาเลทและคีบคว่ำหงายลง Remark ในระ</t>
  </si>
  <si>
    <t>SPHC P/O 2.5x101xCoil</t>
  </si>
  <si>
    <t>12ST0010</t>
  </si>
  <si>
    <t>PC TAKASHIMA</t>
  </si>
  <si>
    <t>UNI 9966 T</t>
  </si>
  <si>
    <t>324</t>
  </si>
  <si>
    <t>EK 9752 T</t>
  </si>
  <si>
    <t>เน้นผิวและคุณภาพ _x000D_
ห่อพลาสติกใส ล้มวางไม้พาเลท 1 แถบ/พาเลท _x000D_</t>
  </si>
  <si>
    <t>EK 9753 T</t>
  </si>
  <si>
    <t>UNI 9970 T</t>
  </si>
  <si>
    <t>360</t>
  </si>
  <si>
    <t>UNI 9971 T</t>
  </si>
  <si>
    <t>372</t>
  </si>
  <si>
    <t>EK9172</t>
  </si>
  <si>
    <t>EK9490T</t>
  </si>
  <si>
    <t>EK9505 T</t>
  </si>
  <si>
    <t>5.00x200.00x1239.00</t>
  </si>
  <si>
    <t>1239</t>
  </si>
  <si>
    <t>EK8548T</t>
  </si>
  <si>
    <t>RM600ST000028</t>
  </si>
  <si>
    <t>4.5X50XCOIL ห่อพลาสติกใส ล้มวางไม้พาเลท 4 แถบ/พาเลท เน้นผิวและคุณภาพ แนบ INSPECTION ระวังเรื่องฝุ่นผ้า และ รอย จิกลึกเข้าเนื้อ/ติดสติกเกอร์เล็ก เรียงหมายเลขจากน้อยลงไปหามาก อย่าสลับ ท้าย Coil ให้วัด camber ด้วย ,  Steel Strips ID x3 per 1coil_x000D_
SALE:P</t>
  </si>
  <si>
    <t>SPCC-SD 1.2_1219_Common</t>
  </si>
  <si>
    <t>1.20X43.00XCOIL</t>
  </si>
  <si>
    <t>เน้นผิวและคุณภาพ_x000D_
ห่อพลาสติกใส ล้มวางไม้พาเลท</t>
  </si>
  <si>
    <t>A5754-H26 2.0_141_1219</t>
  </si>
  <si>
    <t>2.000X141.00X1219.00</t>
  </si>
  <si>
    <t>A5754-H26</t>
  </si>
  <si>
    <t>หากต้อง Repack ให้ใช้ Packing P07</t>
  </si>
  <si>
    <t>5.0 x 66 x 1490</t>
  </si>
  <si>
    <t>1490</t>
  </si>
  <si>
    <t>12ST0013</t>
  </si>
  <si>
    <t>1.20x165.00xCoil</t>
  </si>
  <si>
    <t xml:space="preserve">เน้นผิวและคุณภาพ_x000D_
ห่อพลาสติกใส วางไม้พาเลท 1 แถบ/พาเลท_x000D_
ครีบคว่ำ ครีบหงาย แยกพาเลท FG ระบุพาเลทและคีบคว่ำหงายลง Remark ในระบบด้วย_x000D_
</t>
  </si>
  <si>
    <t>0334305100</t>
  </si>
  <si>
    <t>SECC-AF,16/16</t>
  </si>
  <si>
    <t>1.5x206xCoil</t>
  </si>
  <si>
    <t>** ชั่งน้ำหนักจริงทุกแถบ *** ตาชั่งพื้น_x000D_
ระบุ COIL NO ในใบแพลนทุกครั้ง</t>
  </si>
  <si>
    <t>1010108001</t>
  </si>
  <si>
    <t>ห่อพลาสติกใส ล้มวางพาเลทไม้ ไม้คั่น 15 มม.</t>
  </si>
  <si>
    <t>SPCD-SD 0.5_1219_Common</t>
  </si>
  <si>
    <t>0.500X56.00XCOIL</t>
  </si>
  <si>
    <t>ห่อพลาสติกใส ล้มวางพาเลทไม้ "มีไม้คั่น"</t>
  </si>
  <si>
    <t>1.50X175XCOIL</t>
  </si>
  <si>
    <t>A5754-H22 1.5_107_1219</t>
  </si>
  <si>
    <t>1.500X107.00X1219.00</t>
  </si>
  <si>
    <t>A5754-H22</t>
  </si>
  <si>
    <t>1.0x127x1093</t>
  </si>
  <si>
    <t>SGCC-Z180</t>
  </si>
  <si>
    <t xml:space="preserve">กำหนดค่า EL ต้องอยู่ใน EL OK % 44-45 , ห่อพลาสติกใส   วางบนไม้พาเลท  3 แถว/พาเลท_x000D_ แนบ INSPECTION  DATA
</t>
  </si>
  <si>
    <t>A5052 2.50x185.00x1600.00</t>
  </si>
  <si>
    <t>2.50x185.00x1600.00</t>
  </si>
  <si>
    <t>1600</t>
  </si>
  <si>
    <t>ห่อพลาสติกใส   วางบนไม้พาเลท  1  แถว/พาเลท _x000D_
แนบ INSPECTION  DATA_x000D_</t>
  </si>
  <si>
    <t>A5052-O 2.500X1219.00X1750.00</t>
  </si>
  <si>
    <t>2.500X1219.00X1750.00</t>
  </si>
  <si>
    <t>A5052-O</t>
  </si>
  <si>
    <t>1750</t>
  </si>
  <si>
    <t>ห่อพลาสติกใส วางพาเลทไม้ รองกระดาษแข็งด้านบน_x000D_
Si&lt;0.10 , EL%&gt;=23%</t>
  </si>
  <si>
    <t>13SP05-A20-00</t>
  </si>
  <si>
    <t>1.0x127x1340</t>
  </si>
  <si>
    <t>กำหนดค่า EL ต้องอยู่ใน EL OK % 44-45, ห่อพลาสติกใส  วางบนไม้พาเลท    1  แถว  /พาเลท_x000D_
แนบ INSPECTION  DATA_x000D_</t>
  </si>
  <si>
    <t>2.0X295X504</t>
  </si>
  <si>
    <t>504</t>
  </si>
  <si>
    <t>** ชั่งน้ำหนักจริงทุกแถบ ** ตาชั่งพื้น_x000D_
SLIT หน้า 295 เท่านั้น ชั่งน้ำหนักจริงทุกแพ็ค / วัดความสูงของแพ็คงาน      วางบนพาเลทแบบ 2ตอน_x000D_
ระบุ COIL NO ในใบแพลนทุกครั้ง</t>
  </si>
  <si>
    <t>16278-BZ120-2</t>
  </si>
  <si>
    <t>1.2 x 70 x coil</t>
  </si>
  <si>
    <t>1.20X84XCOIL</t>
  </si>
  <si>
    <t>SECC 16/16,AF</t>
  </si>
  <si>
    <t>1.6x218x1219</t>
  </si>
  <si>
    <t>SPHC-P/O_7_1219_Common</t>
  </si>
  <si>
    <t>16025-851YL-01</t>
  </si>
  <si>
    <t>1170</t>
  </si>
  <si>
    <t>EK 9506 T</t>
  </si>
  <si>
    <t>NN 95998 H</t>
  </si>
  <si>
    <t>0.80x54.00x888</t>
  </si>
  <si>
    <t>ห่อพลาสติกใส วางพาเลทไม้_x000D_
500 kg./pack
แนบ INSPECTION  DATA_x000D_</t>
  </si>
  <si>
    <t>EK 9505 T</t>
  </si>
  <si>
    <t>0.80X40.00XCOIL</t>
  </si>
  <si>
    <t>EK 8750 T</t>
  </si>
  <si>
    <t>UNI 9993 T</t>
  </si>
  <si>
    <t>3.500X190.00X1120.00</t>
  </si>
  <si>
    <t>1120</t>
  </si>
  <si>
    <t>L002528096NCP</t>
  </si>
  <si>
    <t>1.0x127x641.4</t>
  </si>
  <si>
    <t>กำหนดค่า EL ต้องอยู่ใน EL OK % 44-45 , ห่อพลาสติกใส  วางบนไม้พาเลท    1  แถว  /พาเลท_x000D_
แนบ INSPECTION  DATA_x000D_</t>
  </si>
  <si>
    <t>1.0x127x705</t>
  </si>
  <si>
    <t xml:space="preserve">กำหนดค่า EL ต้องอยู่ใน EL OK % 44-45 ,ห่อพลาสติกใส   วางบนไม้พาเลท  3 แถว/พาเลท_x000D_ แนบ INSPECTION  DATA
</t>
  </si>
  <si>
    <t>0.6 x 116 x 906</t>
  </si>
  <si>
    <t>906</t>
  </si>
  <si>
    <t>UNI 9995 T</t>
  </si>
  <si>
    <t>212</t>
  </si>
  <si>
    <t>EK 9485 T</t>
  </si>
  <si>
    <t>1.0x127x77</t>
  </si>
  <si>
    <t>กำหนดค่า EL ต้องอยู่ใน EL OK % 44-45,  ห่อพลาสติกใส  วางบนไม้พาเลท    1  แถว  /พาเลท_x000D_
แนบ INSPECTION  DATA_x000D_</t>
  </si>
  <si>
    <t>1.20x167.80xCOIL</t>
  </si>
  <si>
    <t>1.0x1093x127</t>
  </si>
  <si>
    <t>127</t>
  </si>
  <si>
    <t>1M73100F001</t>
  </si>
  <si>
    <t>1M886C0G001</t>
  </si>
  <si>
    <t>2.390X50.00XCOIL</t>
  </si>
  <si>
    <t>GLOBAL-THAIXON</t>
  </si>
  <si>
    <t>EK 8949 T</t>
  </si>
  <si>
    <t>0.80X70XCOIL</t>
  </si>
  <si>
    <t>RM600ST000023</t>
  </si>
  <si>
    <t>RM600ST000026</t>
  </si>
  <si>
    <t xml:space="preserve">        SAPH440</t>
  </si>
  <si>
    <t>SAPH440-P/O 2.3x165.00x1147.00</t>
  </si>
  <si>
    <t>1147</t>
  </si>
  <si>
    <t>1.600X1210.00X1000.00</t>
  </si>
  <si>
    <t>1.60x43.80x593</t>
  </si>
  <si>
    <t>SGCC-Z27_1.5_1219_China steel</t>
  </si>
  <si>
    <t>1072425100</t>
  </si>
  <si>
    <t>1072405100</t>
  </si>
  <si>
    <t>SGCC-Z220</t>
  </si>
  <si>
    <t>1.000X61.00XCOIL</t>
  </si>
  <si>
    <t>1.60X43.80X627.00</t>
  </si>
  <si>
    <t>1.60X43.80X745</t>
  </si>
  <si>
    <t>T-EK 9536 T</t>
  </si>
  <si>
    <t>UNI 9965 G/A</t>
  </si>
  <si>
    <t>165</t>
  </si>
  <si>
    <t>UNI 9965 G/B</t>
  </si>
  <si>
    <t>145</t>
  </si>
  <si>
    <t>PIE (QMB) 9960 G</t>
  </si>
  <si>
    <t>IHI10006T</t>
  </si>
  <si>
    <t>100</t>
  </si>
  <si>
    <t>1.60X43.80X820</t>
  </si>
  <si>
    <t>0.700X1219.00X2000.00</t>
  </si>
  <si>
    <t>MAXXBUILD</t>
  </si>
  <si>
    <t>2000</t>
  </si>
  <si>
    <t>EK 8779 T</t>
  </si>
  <si>
    <t>SGCC-Z22_1.2_1219_CHINA STEEL_Minimum spangle</t>
  </si>
  <si>
    <t>1.20x171xCoil</t>
  </si>
  <si>
    <t>ชั่งน้ำหนักจริงทุกแถบ *ตาชั่งพื้น_x000D_
ระบุ COIL NO ในใบแพลนทุกครั้ง</t>
  </si>
  <si>
    <t>1.60X43.80X830</t>
  </si>
  <si>
    <t>0.6x406X610</t>
  </si>
  <si>
    <t>610</t>
  </si>
  <si>
    <t>EK 9172</t>
  </si>
  <si>
    <t>1.6X43.8X795</t>
  </si>
  <si>
    <t>RM600ST000009</t>
  </si>
  <si>
    <t>RM600ST000011</t>
  </si>
  <si>
    <t>RMT-300021</t>
  </si>
  <si>
    <t xml:space="preserve">          SAPH440</t>
  </si>
  <si>
    <t>SECC01500860</t>
  </si>
  <si>
    <t>1.6X43.8X855</t>
  </si>
  <si>
    <t>1.60X43.80X795</t>
  </si>
  <si>
    <t>1.000X1000.00X1219.00</t>
  </si>
  <si>
    <t>1219.00</t>
  </si>
  <si>
    <t>1.000X1000.00X1500.00</t>
  </si>
  <si>
    <t>1500</t>
  </si>
  <si>
    <t>1.000X1219.00X1650.00</t>
  </si>
  <si>
    <t>1650</t>
  </si>
  <si>
    <t>1.60X43.80X855</t>
  </si>
  <si>
    <t>1.60x43.80x900</t>
  </si>
  <si>
    <t>EK 9565 T</t>
  </si>
  <si>
    <t>1M73100D002</t>
  </si>
  <si>
    <t>1M886C0G001.</t>
  </si>
  <si>
    <t>1M816C2D001</t>
  </si>
  <si>
    <t xml:space="preserve">ห่อพลาสติกใส วางพาเลท </t>
  </si>
  <si>
    <t>1M886C0C001</t>
  </si>
  <si>
    <t>1M886C0D001</t>
  </si>
  <si>
    <t>1M886C0E001</t>
  </si>
  <si>
    <t>SGUR-0012-(08)</t>
  </si>
  <si>
    <t>ห่อพลาสติกใส   วางบนไม้พาเลท   3  แถว _x000D_
แนบ INSPECTION  DATA_x000D_</t>
  </si>
  <si>
    <t>SGUR-0012-(32)</t>
  </si>
  <si>
    <t>0.800x459.80x1181.60</t>
  </si>
  <si>
    <t>1.2X74.4x509</t>
  </si>
  <si>
    <t>1.2X74.4x709</t>
  </si>
  <si>
    <t>SGUR-0026-(05)</t>
  </si>
  <si>
    <t xml:space="preserve">เน้นผิวและคุณภาพ
ห่อพลาสติกใส วางไม้พาเลท 8 แถว/พาเลท_x000D_
แนบ INSPECTION _x000D_
</t>
  </si>
  <si>
    <t>1.2X326XCOIL</t>
  </si>
  <si>
    <t>** ชั่งน้ำหนักจริงทุกแถบ **ตาชั่งพื้น_x000D_
 Packing coil by coil &amp; แนบ Mill sheet ทุกครั้ง_x000D_
น้ำหนัก : coil ต้องไม่เกิน 800-1000kg/coil_x000D_
ระบุ COIL NO ในใบแพลนทุกครั้ง</t>
  </si>
  <si>
    <t>1M71900K001</t>
  </si>
  <si>
    <t>1M73100E001</t>
  </si>
  <si>
    <t>D14</t>
  </si>
  <si>
    <t>1.00X52XCOIL</t>
  </si>
  <si>
    <t>1.5x167xCoil</t>
  </si>
  <si>
    <t>2.00X150XC</t>
  </si>
  <si>
    <t>SECC-VNX E16/16</t>
  </si>
  <si>
    <t>2.00X220XC</t>
  </si>
  <si>
    <t>UNI 9962 G</t>
  </si>
  <si>
    <t>450</t>
  </si>
  <si>
    <t>L002505590NCP</t>
  </si>
  <si>
    <t>EK 8754 T</t>
  </si>
  <si>
    <t>EK9751T</t>
  </si>
  <si>
    <t>SPCEN-SD_0.8_1219_Common</t>
  </si>
  <si>
    <t>0.8X88XCOIL</t>
  </si>
  <si>
    <t>EK 9277T</t>
  </si>
  <si>
    <t>EK 9536 T</t>
  </si>
  <si>
    <t>EK 9536 T/B</t>
  </si>
  <si>
    <t>0.80X55.00XCOIL</t>
  </si>
  <si>
    <t xml:space="preserve">น้ำหนักตัดจริงห้ามเกิน PO หรือต้องไม่เกินน้ำหนักในใบแพลนระบุ ห่อพลาสติกใส    ล้มวางไม้พาเลท  4  แถบ/พาเลท  มีไม้คั่น_x000D__x000D_
แนบ INSPECTION  DATA_x000D_
</t>
  </si>
  <si>
    <t>EK8754T/B</t>
  </si>
  <si>
    <t>0.800X300.00X520.00</t>
  </si>
  <si>
    <t>520</t>
  </si>
  <si>
    <t>MISC09 IHI10006T</t>
  </si>
  <si>
    <t>1.6X43.8X830</t>
  </si>
  <si>
    <t>NSH4082 P111</t>
  </si>
  <si>
    <t>1.60x43.80x795.00</t>
  </si>
  <si>
    <t>795</t>
  </si>
  <si>
    <t>1.60X43.80X400</t>
  </si>
  <si>
    <t>400</t>
  </si>
  <si>
    <t>1.600X1120.00X1219.00</t>
  </si>
  <si>
    <t>TAKAFUNE_SGCC-Z18_1.6_43.8_745</t>
  </si>
  <si>
    <t>745</t>
  </si>
  <si>
    <t>TAKAFUNE_SGCC-Z18_1.6_43.8_795</t>
  </si>
  <si>
    <t>JSH270C3.2x78x1219</t>
  </si>
  <si>
    <t>TAKAFUNE_SGCC-Z18_1.6_43.8_820</t>
  </si>
  <si>
    <t>820</t>
  </si>
  <si>
    <t>TAKAFUNE_SGCC-Z18_1.6_43.8_830</t>
  </si>
  <si>
    <t>830</t>
  </si>
  <si>
    <t>TAKAFUNE_SGCC-Z18_1.6_43.8_855</t>
  </si>
  <si>
    <t>855</t>
  </si>
  <si>
    <t>JSC270C1.0x55x1219</t>
  </si>
  <si>
    <t>TOS030015</t>
  </si>
  <si>
    <t>TOS030016</t>
  </si>
  <si>
    <t>JSH270C2.0x178x1219</t>
  </si>
  <si>
    <t>JSH270C4.0x55x1219</t>
  </si>
  <si>
    <t>JSH270C2.0x60x1219</t>
  </si>
  <si>
    <t>1.60x200.00x1166.00</t>
  </si>
  <si>
    <t xml:space="preserve">เน้นผิวและคุณภาพ
ห่อพลาสติกใส   วางบนไม้พาเลท   2  แถว/พาเลท
แนบ INSPECTION  DATA_x000D_
</t>
  </si>
  <si>
    <t>0101033-G1</t>
  </si>
  <si>
    <t>ระบุ COIL NO ในใบแพลนทุกครั้ง_x000D_
แนบ INSPECTION  DATA_x000D__x000D_
ชั่งน้ำหนักจริง 250-300 kgs/coil พันผ้าสาน_x000D_
ระบุ COIL NO ในใบแพลนทุกครั้ง_x000D_
*ขั้นตอนการชั่งงานของ TSE LUP	*				_x000D_
1.พันผ้าสาน+วางไม้ท่อน					2.ชั่งน้ำหนักจริงทุกแถบเสร็จแล้วล้มวางไม้พาเลท ***ห้ามชั่</t>
  </si>
  <si>
    <t>0101030-G1</t>
  </si>
  <si>
    <t>** ชั่งน้ำหนักจริงทุกแถบ **
ตาชั่งพื้น น้ำหนัก800-900kg/coil  พันผ้าสาน  ล้มวางไม้พาเลท   1  แถบ/พาเลท _x000D_
ระบุ COIL NO ในใบแพลนทุกครั้ง_x000D_
แนบ INSPECTION  DATA_x000D_</t>
  </si>
  <si>
    <t>1.6X205XCOIL</t>
  </si>
  <si>
    <t>1.6X355XCOIL...</t>
  </si>
  <si>
    <t>** ชั่งน้ำหนักจริงทุกแถบ **ตาชั่งพื้น
 Packing coil by coil &amp; แนบ Mill sheet ทุกครั้ง
น้ำหนัก : coil ต้องไม่เกิน 800-1000kg/coilเน้นผิวและคุณภาพ_x000D_
ห่อพลาสติกใส วางไม้พาเลท วาง 1 แถบ/เลท_x000D__x000D_
ระบุ COIL NO ในใบแพลนทุกครั้ง</t>
  </si>
  <si>
    <t>1.6X87XCOIL</t>
  </si>
  <si>
    <t>** ชั่งน้ำหนักจริงทุกแถบ ***  ตาชั่งพื้น_x000D_
Packing coil by coil &amp; แนบ Mill sheet ทุกครั้ง_x000D_
น้ำหนัก : coil ต้องไม่เกิน 450-500kg/coil_x000D_
ระบุ COIL NO ในใบแพลนทุกครั้ง</t>
  </si>
  <si>
    <t>1.6X98XCOIL</t>
  </si>
  <si>
    <t>** ชั่งน้ำหนักจริงทุกแถบ *** ตาชั่งพื้น _x000D_
Packing coil by coil &amp; แนบ Mill sheet ทุกครั้ง_x000D_
น้ำหนัก : coil ต้องไม่เกิน 450-500kg/coil_x000D_
ระบุ COIL NO ในใบแพลนทุกครั้ง</t>
  </si>
  <si>
    <t>SPHC-PO_3.6_1219_COMMON</t>
  </si>
  <si>
    <t>SGCC-Z27_1.6_1219_Common</t>
  </si>
  <si>
    <t>13SG16-D22-01</t>
  </si>
  <si>
    <t>SPHC-PO_2.9_1219_COMMON</t>
  </si>
  <si>
    <t>CPK_JSH270C_2.9_155_1219</t>
  </si>
  <si>
    <t>13SG16-D67-01</t>
  </si>
  <si>
    <t>13SG16D22-01</t>
  </si>
  <si>
    <t>SGCD3-Z18_1.6_1219_Common</t>
  </si>
  <si>
    <t>SGCD3-Z18</t>
  </si>
  <si>
    <t>1.6x113xCoil</t>
  </si>
  <si>
    <t>ห่อพลาสติกใส ล้มวางไม้พาเลท  2 แถบ/พาเลท   *** มีไม้คั่น ***_x000D_
แนบ INSPECTION_x000D_</t>
  </si>
  <si>
    <t>CPK_JSH270C_2_230_1219</t>
  </si>
  <si>
    <t>1.6 x 75 x 689</t>
  </si>
  <si>
    <t>1.60X27XCOIL</t>
  </si>
  <si>
    <t>ห่อพลาสติกใส ล้มวางพาเลทไม้ ___ แถบ/เลท ไม้คั่นระหว่างแถบ 15 mm.</t>
  </si>
  <si>
    <t>SPCC 1.6x125.00x1219.00</t>
  </si>
  <si>
    <t>SPFH590-P/O_6.0_1219_Common</t>
  </si>
  <si>
    <t>6.0x148x1219</t>
  </si>
  <si>
    <t>21021A370P-3</t>
  </si>
  <si>
    <t>SAPH440-PO_2.9_1219_COMMON</t>
  </si>
  <si>
    <t>SPCC-SD_1.4_1219_Common</t>
  </si>
  <si>
    <t>CPK_JSC270C_1.4_67_1219</t>
  </si>
  <si>
    <t>CPK_SPHC-P/O_4.5_270_1219</t>
  </si>
  <si>
    <t>21021A370P-02</t>
  </si>
  <si>
    <t>CPK_SPHC-P/O_2.6_185_1219</t>
  </si>
  <si>
    <t>CPK_SPHC-P/O_2_98_1219</t>
  </si>
  <si>
    <t>1.6 x 70 x 886</t>
  </si>
  <si>
    <t>CPK_SPHC-P/O_2_86_1219</t>
  </si>
  <si>
    <t>CPK_SPHC-P/O_2_85_1219</t>
  </si>
  <si>
    <t>SPCC-SD_1.6_1219_KANPATSU</t>
  </si>
  <si>
    <t>1.6X84XCOIL</t>
  </si>
  <si>
    <t>KANPATSU</t>
  </si>
  <si>
    <t xml:space="preserve">ห่อพลาสติกใส ล้มวางพาเลทไม้_x000D_
ระบุเลขPACKและNUMBER COIL_x000D_
</t>
  </si>
  <si>
    <t>CPK_SPHC-P/O_2.5_75_1219</t>
  </si>
  <si>
    <t>14SP16-A15-00</t>
  </si>
  <si>
    <t>14SP16-A17-00</t>
  </si>
  <si>
    <t>CPK_SPHC-P/O_3.2_56_1219</t>
  </si>
  <si>
    <t>CPK_SPHC-P/O_2.6_111_1219</t>
  </si>
  <si>
    <t>CPK_JSH270C_2_292_1219</t>
  </si>
  <si>
    <t>14SP16-A21-01</t>
  </si>
  <si>
    <t>CPK_JSH270C_6_205_1219</t>
  </si>
  <si>
    <t>CPK_SPHC-P/O_2.3_106_1219</t>
  </si>
  <si>
    <t>CPK_SPCC-SD_1.4_182_1219</t>
  </si>
  <si>
    <t>14SP16-L112-00</t>
  </si>
  <si>
    <t>1.6X45XCOIL</t>
  </si>
  <si>
    <t>1.6X27XCOIL</t>
  </si>
  <si>
    <t>ใช้น้ำหนักชั่งจริง (Min : 100 Kg. Max : 200 Kg.)
ไม้คั่นระหว่างแถบ 15 mm.  ห่อพลาสติกใส  ล้มวางไม้พาเลท   2 แถบ/พาเลท  ** มีไม้คั่น **_x000D_
แนบ INSPECTION   DATA_x000D_</t>
  </si>
  <si>
    <t>CPK_SPHC-P/O_2.3_69_1219</t>
  </si>
  <si>
    <t>CPK_SPHC P/O_4_47_Coil</t>
  </si>
  <si>
    <t>SPHC-PO_1.4_1219_Common</t>
  </si>
  <si>
    <t>CPK_JSH270C_1.4_65_1219</t>
  </si>
  <si>
    <t>1.2*66*1219</t>
  </si>
  <si>
    <t>JSC27E</t>
  </si>
  <si>
    <t>1.6X72XCOIL</t>
  </si>
  <si>
    <t>JSH440W</t>
  </si>
  <si>
    <t>JSC270E</t>
  </si>
  <si>
    <t>1.6X74XCOIL</t>
  </si>
  <si>
    <t>1.6X77XCOIL</t>
  </si>
  <si>
    <t>PROBENDING AND METAL WORKS CO.,LTD.</t>
  </si>
  <si>
    <t>CPK_JSC270C_1_71_1219</t>
  </si>
  <si>
    <t>SPCD-SD_1.6_1219_Common</t>
  </si>
  <si>
    <t>1.600X27.00XCOIL</t>
  </si>
  <si>
    <t>ห่อพลาสติก ล้มวางไม้พาเลท</t>
  </si>
  <si>
    <t>1.600X41.60XCOIL</t>
  </si>
  <si>
    <t>SPCD_1.6_325_1219</t>
  </si>
  <si>
    <t>SPCD-SD1.6x323x1219</t>
  </si>
  <si>
    <t>JSC440W_1.4_1219_Common</t>
  </si>
  <si>
    <t>1.40x1219x49</t>
  </si>
  <si>
    <t>JSC440W</t>
  </si>
  <si>
    <t>CPK_JSH270C_2.6_63_1219</t>
  </si>
  <si>
    <t>JSH490W_3.2_1219_Common</t>
  </si>
  <si>
    <t>JSH490W3.2x66x1219</t>
  </si>
  <si>
    <t>JSH490W</t>
  </si>
  <si>
    <t>SS400_8.0_Common</t>
  </si>
  <si>
    <t>SS400 8.0*75*1219</t>
  </si>
  <si>
    <t>SPHC P/O2.6x80x1219</t>
  </si>
  <si>
    <t>SPHC P/O2.6x81x1219</t>
  </si>
  <si>
    <t>SAPH440 P/O4.0x83x1219</t>
  </si>
  <si>
    <t>SPHC P/O2.6x88x1219</t>
  </si>
  <si>
    <t>SS400 8.0*90*1219</t>
  </si>
  <si>
    <t>SPHC P/O2.x92x1219</t>
  </si>
  <si>
    <t>SPHC P/O2.6x94x1219</t>
  </si>
  <si>
    <t>SPHC P/O3.2x95x1219</t>
  </si>
  <si>
    <t>SAPH440-PO_2.6_1219_Common</t>
  </si>
  <si>
    <t>SAPH440 P/O2.6x99x1219</t>
  </si>
  <si>
    <t>SAPH440-PO_3.2_1219_COMMON</t>
  </si>
  <si>
    <t>SAPH440 P/O3.2x103x1219</t>
  </si>
  <si>
    <t>JSH490W_4.5_1219_Common</t>
  </si>
  <si>
    <t>JSH490W4.5x104x1219</t>
  </si>
  <si>
    <t>SPHC P/O4.5x105x1219</t>
  </si>
  <si>
    <t>SPHC P/O3.2x107x1219</t>
  </si>
  <si>
    <t>SAPH440 P/O4.0x108x1219</t>
  </si>
  <si>
    <t>SPHC P/O3.2x115x1219</t>
  </si>
  <si>
    <t>SAPH440 P/O4.0x118x1219</t>
  </si>
  <si>
    <t>SPHC P/O4.0x122x1219</t>
  </si>
  <si>
    <t>SPHC P/O4.0x132x1219</t>
  </si>
  <si>
    <t>SPHC P/O2.9x135x1219</t>
  </si>
  <si>
    <t>SPHC P/O2.6x142x1219</t>
  </si>
  <si>
    <t>JSH590R 2.0*152*1219</t>
  </si>
  <si>
    <t>1.40x160.00x1219.00</t>
  </si>
  <si>
    <t>SPHC P/O2.6x166x1219</t>
  </si>
  <si>
    <t>SPHC P/O 6.0*172*1219</t>
  </si>
  <si>
    <t>SPHC P/O 6.0*178*1219</t>
  </si>
  <si>
    <t>SPHC P/O2.9x182x1219</t>
  </si>
  <si>
    <t>SPHC P/O3.2x198x1219</t>
  </si>
  <si>
    <t>JSH490W3.2x199x1219</t>
  </si>
  <si>
    <t>CPK_JSH270C_2_220_1219</t>
  </si>
  <si>
    <t>SAPH440 P/O3.2x220x1219</t>
  </si>
  <si>
    <t>SPHC P/O4.5x225x1219</t>
  </si>
  <si>
    <t>SPHC P/O2.9x234x1219</t>
  </si>
  <si>
    <t>1.40x1219.00x265.00</t>
  </si>
  <si>
    <t>SPHC-PO_1.2_1219_COMMON</t>
  </si>
  <si>
    <t>SPHC-P/O 1.2*1219*2438</t>
  </si>
  <si>
    <t>SPCEN-SD_1.6_1219_Common</t>
  </si>
  <si>
    <t>SPECN-SD_1.6_1219_2438</t>
  </si>
  <si>
    <t>SPECN-SD</t>
  </si>
  <si>
    <t>M192AD4343212</t>
  </si>
  <si>
    <t>SPFH590</t>
  </si>
  <si>
    <t>JSH490W_3.2_1219_2438</t>
  </si>
  <si>
    <t>JSH490W_4.5_1219_2438</t>
  </si>
  <si>
    <t>CPK_JSH270C_3.2_75_1219</t>
  </si>
  <si>
    <t>CPK_JSH270C_3.2_79_1219</t>
  </si>
  <si>
    <t>CPK_JSH270C_2.3_110_1219</t>
  </si>
  <si>
    <t>1.6 x 87 x 550</t>
  </si>
  <si>
    <t>SPHC</t>
  </si>
  <si>
    <t>2.0x117x1219</t>
  </si>
  <si>
    <t>1.60X84.00X595.00</t>
  </si>
  <si>
    <t>17571 JN20A</t>
  </si>
  <si>
    <t>49714A030-B1</t>
  </si>
  <si>
    <t>1.6x60.0x1220.0</t>
  </si>
  <si>
    <t>1.6x90x1220 SPHC</t>
  </si>
  <si>
    <t>CPK_SPHC P/O_1.6_87_1219</t>
  </si>
  <si>
    <t>49714A030P-B1</t>
  </si>
  <si>
    <t>SPHC-P</t>
  </si>
  <si>
    <t>1.0x205x205</t>
  </si>
  <si>
    <t>1.6X70X1220</t>
  </si>
  <si>
    <t>14665W020P-02</t>
  </si>
  <si>
    <t>16279-851YM-01</t>
  </si>
  <si>
    <t>JSH270C P/O</t>
  </si>
  <si>
    <t>19540-6HA-P020-01T</t>
  </si>
  <si>
    <t>21511W101P-02</t>
  </si>
  <si>
    <t>SPFC440_1.4_80_1219</t>
  </si>
  <si>
    <t>SPFC440</t>
  </si>
  <si>
    <t>SPFC440_1.4_248_1219</t>
  </si>
  <si>
    <t>SPFC440_1.4_136_1219</t>
  </si>
  <si>
    <t>21519W00P-02</t>
  </si>
  <si>
    <t>21624W050P-01</t>
  </si>
  <si>
    <t>21511W101P-01</t>
  </si>
  <si>
    <t>1.2x74x1219</t>
  </si>
  <si>
    <t>49714A020P-B1</t>
  </si>
  <si>
    <t>39</t>
  </si>
  <si>
    <t>SPFH590-P/O_2.3_1219_Common</t>
  </si>
  <si>
    <t>CPK_JSH590R_2.3_305_1219</t>
  </si>
  <si>
    <t>CPK_SPHC-P/O_4_121_1219</t>
  </si>
  <si>
    <t>CPK_SPHC-P/O_2_52_1219</t>
  </si>
  <si>
    <t>CPK_SPHC -P/O_4.5_192_1219</t>
  </si>
  <si>
    <t>SPHC -P/O</t>
  </si>
  <si>
    <t>CPK_JSH270C_2.3_85_1219</t>
  </si>
  <si>
    <t>SPCC-SD_0.5_14_438</t>
  </si>
  <si>
    <t>47401A00P-B1</t>
  </si>
  <si>
    <t>JSH590R_2.3_1219_2438</t>
  </si>
  <si>
    <t>SECC-V2XE16/16_0.8_301_440</t>
  </si>
  <si>
    <t>SECC-V2XE16/16</t>
  </si>
  <si>
    <t>SECC-V2XE16/17_0.8_1219_2438</t>
  </si>
  <si>
    <t>SECC-V2XE16/17</t>
  </si>
  <si>
    <t>SPCC-SD_0.5_29_422</t>
  </si>
  <si>
    <t>SPCC-SD_0.6_1219_2438</t>
  </si>
  <si>
    <t>SPCC-SD_2_1219_2438</t>
  </si>
  <si>
    <t>SPCC-SD_2.3_1219_2438</t>
  </si>
  <si>
    <t>SPCC-SD_2.6_1219_Common</t>
  </si>
  <si>
    <t>SPCC-SD_2.6_1219_2438</t>
  </si>
  <si>
    <t>SPCC-SD_3.2_1219_Common</t>
  </si>
  <si>
    <t>SPCC-SD_3.2_1219_2438</t>
  </si>
  <si>
    <t>19540-64AA-A050-01T</t>
  </si>
  <si>
    <t>SPCEN-SD_0.7_1219_COMMON</t>
  </si>
  <si>
    <t>SPCEN-SD_0.7_1219_2438</t>
  </si>
  <si>
    <t>SPCEN-SD_2.0_1219_Common</t>
  </si>
  <si>
    <t>SPCEN-SD_2_1219_2438</t>
  </si>
  <si>
    <t>SPHC P/O_3.6_1219_2438</t>
  </si>
  <si>
    <t>SPFH590-P/O_3.2_1219_Common</t>
  </si>
  <si>
    <t>SPFH590-P/O 3.2x65x1219</t>
  </si>
  <si>
    <t>1.2x85x1219</t>
  </si>
  <si>
    <t>36168-55AA-Z000-01</t>
  </si>
  <si>
    <t>14665W020P-01</t>
  </si>
  <si>
    <t>3.200X97.00X1219.00</t>
  </si>
  <si>
    <t>97</t>
  </si>
  <si>
    <t>5.0x46x1219</t>
  </si>
  <si>
    <t>SPCEN-SD_0.6_1219_Common</t>
  </si>
  <si>
    <t>0.600X140.00X250.00</t>
  </si>
  <si>
    <t>250</t>
  </si>
  <si>
    <t>1.60x65.00x1220</t>
  </si>
  <si>
    <t>SPCC-SD_0.2_1219_Common</t>
  </si>
  <si>
    <t>0.2X145X855</t>
  </si>
  <si>
    <t xml:space="preserve">         SPCC</t>
  </si>
  <si>
    <t>0.600X330.00X630.00</t>
  </si>
  <si>
    <t>THAI SUMMIT GOL</t>
  </si>
  <si>
    <t xml:space="preserve">        JSC270C</t>
  </si>
  <si>
    <t>630</t>
  </si>
  <si>
    <t>0.600X98.00XCOIL</t>
  </si>
  <si>
    <t>0.60X610.00X610.00</t>
  </si>
  <si>
    <t>0.7x400x550</t>
  </si>
  <si>
    <t>550</t>
  </si>
  <si>
    <t>SPCC-4D_0.8t</t>
  </si>
  <si>
    <t>0.80 X 88.00 X COIL</t>
  </si>
  <si>
    <t>0.8X375X610</t>
  </si>
  <si>
    <t>0.8x400x500</t>
  </si>
  <si>
    <t>500</t>
  </si>
  <si>
    <t>0.8X83XCOIL</t>
  </si>
  <si>
    <t>16278-851YN-03</t>
  </si>
  <si>
    <t>17762-3C2</t>
  </si>
  <si>
    <t>17764-3C2</t>
  </si>
  <si>
    <t>2.000X63.00X1219.00</t>
  </si>
  <si>
    <t>49721A000P-B1/B2</t>
  </si>
  <si>
    <t>500029335</t>
  </si>
  <si>
    <t>50005084</t>
  </si>
  <si>
    <t xml:space="preserve">         SPCEN-SD</t>
  </si>
  <si>
    <t>50005115</t>
  </si>
  <si>
    <t>299</t>
  </si>
  <si>
    <t>50005166</t>
  </si>
  <si>
    <t>280</t>
  </si>
  <si>
    <t>50005639</t>
  </si>
  <si>
    <t>195</t>
  </si>
  <si>
    <t>50006708</t>
  </si>
  <si>
    <t>480</t>
  </si>
  <si>
    <t>SPCC-SD_2.6_1219_COMMON</t>
  </si>
  <si>
    <t>50029123</t>
  </si>
  <si>
    <t>50030680</t>
  </si>
  <si>
    <t>550025529</t>
  </si>
  <si>
    <t>663</t>
  </si>
  <si>
    <t>6.0X142XCOIL</t>
  </si>
  <si>
    <t>77003628</t>
  </si>
  <si>
    <t>77004123</t>
  </si>
  <si>
    <t>77004749</t>
  </si>
  <si>
    <t>77004780</t>
  </si>
  <si>
    <t>77005286</t>
  </si>
  <si>
    <t xml:space="preserve">       SPFH590-P</t>
  </si>
  <si>
    <t>107</t>
  </si>
  <si>
    <t>77005288</t>
  </si>
  <si>
    <t>77005289</t>
  </si>
  <si>
    <t xml:space="preserve">     SPFH590-P</t>
  </si>
  <si>
    <t>1183</t>
  </si>
  <si>
    <t>77005292</t>
  </si>
  <si>
    <t>77005293</t>
  </si>
  <si>
    <t>77005926</t>
  </si>
  <si>
    <t>295</t>
  </si>
  <si>
    <t>77006067</t>
  </si>
  <si>
    <t>77006081</t>
  </si>
  <si>
    <t>7704201</t>
  </si>
  <si>
    <t xml:space="preserve">      JSH270C</t>
  </si>
  <si>
    <t>SGCC-Z27_1.5_1219_CHINA STEEL</t>
  </si>
  <si>
    <t>1.50X155XCOIL</t>
  </si>
  <si>
    <t>S-DENSO-077</t>
  </si>
  <si>
    <t>SECC-F20/V2X</t>
  </si>
  <si>
    <t>SPCEN-SD 0.80x330.0x600.0</t>
  </si>
  <si>
    <t>600</t>
  </si>
  <si>
    <t>SGCD1-F08_1.5_1219_Common</t>
  </si>
  <si>
    <t>SGCD1-F08</t>
  </si>
  <si>
    <t>SGUR-0021-(06)</t>
  </si>
  <si>
    <t>ห่อพลาติกใส+วางไม้พาเลท  30pcs/pack</t>
  </si>
  <si>
    <t>UNI 9963 G</t>
  </si>
  <si>
    <t>352</t>
  </si>
  <si>
    <t>UNI 9969 T</t>
  </si>
  <si>
    <t>CPK_SPHC-P/O_1.6_49_Coil</t>
  </si>
  <si>
    <t>UNI 9978 G</t>
  </si>
  <si>
    <t>364</t>
  </si>
  <si>
    <t>UNI 9979 G</t>
  </si>
  <si>
    <t>310</t>
  </si>
  <si>
    <t>UNI 9983 G</t>
  </si>
  <si>
    <t>366</t>
  </si>
  <si>
    <t>UNI 9984 G</t>
  </si>
  <si>
    <t>UNI 9985 G</t>
  </si>
  <si>
    <t xml:space="preserve">UNI 9995 </t>
  </si>
  <si>
    <t>399-00157</t>
  </si>
  <si>
    <t>1.200X76.00X1220.00</t>
  </si>
  <si>
    <t>1.5x128xCoil</t>
  </si>
  <si>
    <t>SECC-E16/E16,AF</t>
  </si>
  <si>
    <t>25733-851YL-02</t>
  </si>
  <si>
    <t>0.80X390XC</t>
  </si>
  <si>
    <t>317-00211.</t>
  </si>
  <si>
    <t>65</t>
  </si>
  <si>
    <t>305-01171.</t>
  </si>
  <si>
    <t>92</t>
  </si>
  <si>
    <t>1.20X224.00X1219.00</t>
  </si>
  <si>
    <t>16278-8519N-04</t>
  </si>
  <si>
    <t>0.800x127.00x1093.00</t>
  </si>
  <si>
    <t>SAKOLCHAI 3</t>
  </si>
  <si>
    <t>1093</t>
  </si>
  <si>
    <t>0.800x127.00x705.00</t>
  </si>
  <si>
    <t>313-03915 CPT-SCN</t>
  </si>
  <si>
    <t>2.30X210.00X425.00 CPT-DAST</t>
  </si>
  <si>
    <t>2.30X185.00X365.00 CPT-DAST</t>
  </si>
  <si>
    <t>365</t>
  </si>
  <si>
    <t>2.30X125.00X430.00 CPT-DAST</t>
  </si>
  <si>
    <t>430</t>
  </si>
  <si>
    <t>0.80X148.00XCOIL CPT-DAST</t>
  </si>
  <si>
    <t>313-04041</t>
  </si>
  <si>
    <t>CHAMPION PRO</t>
  </si>
  <si>
    <t>243</t>
  </si>
  <si>
    <t>SGCC_1.8_1219_Common</t>
  </si>
  <si>
    <t>313-04042</t>
  </si>
  <si>
    <t>214</t>
  </si>
  <si>
    <t>EK 8548 T</t>
  </si>
  <si>
    <t>3.00X124.00X430.00 CPT-DAST</t>
  </si>
  <si>
    <t>3.00X475.00X230.00 CPT-DAST</t>
  </si>
  <si>
    <t>230</t>
  </si>
  <si>
    <t>2.000X1220.00X2440.00</t>
  </si>
  <si>
    <t xml:space="preserve">       SAPH440</t>
  </si>
  <si>
    <t>21021A030P-01</t>
  </si>
  <si>
    <t>16278-851YN-1</t>
  </si>
  <si>
    <t>3.00X186.00X480.00 CPT-DAST</t>
  </si>
  <si>
    <t>3.00X319.00X498.00 CPT-DAST</t>
  </si>
  <si>
    <t>498</t>
  </si>
  <si>
    <t>3.00X520.00X685.00 CPT-DAST</t>
  </si>
  <si>
    <t>685</t>
  </si>
  <si>
    <t>3.00X342.00X655.00 CPT-DAST</t>
  </si>
  <si>
    <t>655</t>
  </si>
  <si>
    <t>SPCC-SD 1.20x1220x2440</t>
  </si>
  <si>
    <t>399-00165</t>
  </si>
  <si>
    <t>1.20 x 60.00 x 604.00</t>
  </si>
  <si>
    <t>UNIPART</t>
  </si>
  <si>
    <t>SGCC-ZSBX-Z22</t>
  </si>
  <si>
    <t>604</t>
  </si>
  <si>
    <t>2.6x93x1220</t>
  </si>
  <si>
    <t>UNI 9980 G</t>
  </si>
  <si>
    <t>UNI 9977 G</t>
  </si>
  <si>
    <t>351</t>
  </si>
  <si>
    <t>UNI 9976 G</t>
  </si>
  <si>
    <t>211</t>
  </si>
  <si>
    <t>1.600x1220.00x2440.00</t>
  </si>
  <si>
    <t>H001R10</t>
  </si>
  <si>
    <t>UNI 9965 G/C</t>
  </si>
  <si>
    <t>122</t>
  </si>
  <si>
    <t>399-03914</t>
  </si>
  <si>
    <t>255</t>
  </si>
  <si>
    <t>313-03913</t>
  </si>
  <si>
    <t>203</t>
  </si>
  <si>
    <t>H002R10</t>
  </si>
  <si>
    <t>IHI10006 T</t>
  </si>
  <si>
    <t>16278-BZ120-03</t>
  </si>
  <si>
    <t>16278-BZ120-04</t>
  </si>
  <si>
    <t>2.60x93.00x1220.00</t>
  </si>
  <si>
    <t>16025-851YL-3</t>
  </si>
  <si>
    <t>16278-851YN-2</t>
  </si>
  <si>
    <t>16278-851YN-7</t>
  </si>
  <si>
    <t>14053-02</t>
  </si>
  <si>
    <t>17762-3C2-T00</t>
  </si>
  <si>
    <t>21519W000P-01</t>
  </si>
  <si>
    <t>SPHC-PO</t>
  </si>
  <si>
    <t>UNI 9986 G</t>
  </si>
  <si>
    <t>21519W000P-02</t>
  </si>
  <si>
    <t>77004292</t>
  </si>
  <si>
    <t>1.20X44.00XCOIL</t>
  </si>
  <si>
    <t>PATTERER TECHNICAL</t>
  </si>
  <si>
    <t>SGCC-Z08 1.0x1219x820</t>
  </si>
  <si>
    <t>SGCC-Z08 1.0x1219x1219</t>
  </si>
  <si>
    <t>SGUR-0012-(33)</t>
  </si>
  <si>
    <t>1581.60</t>
  </si>
  <si>
    <t>1.2X74.4x1109</t>
  </si>
  <si>
    <t>1109</t>
  </si>
  <si>
    <t>SGUR-0012-(57)-1</t>
  </si>
  <si>
    <t>290.4</t>
  </si>
  <si>
    <t>1.2X74.4x909</t>
  </si>
  <si>
    <t>909</t>
  </si>
  <si>
    <t>1.2X74.4x1309</t>
  </si>
  <si>
    <t>1309</t>
  </si>
  <si>
    <t>2.0X1220X24403</t>
  </si>
  <si>
    <t xml:space="preserve">          SGCC</t>
  </si>
  <si>
    <t>4.5x93x1220</t>
  </si>
  <si>
    <t>S-DENSO-058</t>
  </si>
  <si>
    <t>0.40x102.00x102.00</t>
  </si>
  <si>
    <t>102</t>
  </si>
  <si>
    <t>3.000X475.00X450.00</t>
  </si>
  <si>
    <t>3.000X520.00X660.00</t>
  </si>
  <si>
    <t>660</t>
  </si>
  <si>
    <t>2.000X94.50X1219.00</t>
  </si>
  <si>
    <t>J.N.T. INDUSTRIAL</t>
  </si>
  <si>
    <t>1.600X90.000XCOIL</t>
  </si>
  <si>
    <t>1.200X1220.00X2440.00</t>
  </si>
  <si>
    <t>1310A882-01</t>
  </si>
  <si>
    <t>16278-851YN-4</t>
  </si>
  <si>
    <t>2.000X1220.00X2440.0</t>
  </si>
  <si>
    <t>21021A030P-02</t>
  </si>
  <si>
    <t>SPHC-P/O_1.4_1219_Common</t>
  </si>
  <si>
    <t>23811-01</t>
  </si>
  <si>
    <t>23812-0E010-01</t>
  </si>
  <si>
    <t>49721A000P-B1</t>
  </si>
  <si>
    <t>JSC270C 1.6*58*1219</t>
  </si>
  <si>
    <t>LOUIS</t>
  </si>
  <si>
    <t>JSC270C 1.6*70*1219</t>
  </si>
  <si>
    <t>JSH440W 4.0*106*1219</t>
  </si>
  <si>
    <t>JSH440W 4.0*67*1219</t>
  </si>
  <si>
    <t>14SP06-L115-20</t>
  </si>
  <si>
    <t>0.600X105.00X1219.00</t>
  </si>
  <si>
    <t xml:space="preserve">NIPPON </t>
  </si>
  <si>
    <t xml:space="preserve">       SPCC</t>
  </si>
  <si>
    <t>Spot order</t>
  </si>
  <si>
    <t>0.600X116.00X1219.00</t>
  </si>
  <si>
    <t xml:space="preserve">         SPCEN</t>
  </si>
  <si>
    <t xml:space="preserve">       SPCEN</t>
  </si>
  <si>
    <t>1.000X275.00X1219.00</t>
  </si>
  <si>
    <t>1.000X520.00X600.00</t>
  </si>
  <si>
    <t>1.2x218x1219</t>
  </si>
  <si>
    <t xml:space="preserve">      JSC270C</t>
  </si>
  <si>
    <t>1.2x65x1219</t>
  </si>
  <si>
    <t>1.6x100x1219</t>
  </si>
  <si>
    <t>1.6x30x1219</t>
  </si>
  <si>
    <t>2.0x86x1219</t>
  </si>
  <si>
    <t>86</t>
  </si>
  <si>
    <t>3.2x100x1219</t>
  </si>
  <si>
    <t>6.000X216.00X1219.00</t>
  </si>
  <si>
    <t>JSC270C 1.2x65x1219</t>
  </si>
  <si>
    <t>SPCC-SD 0.8x54.00x1219.00</t>
  </si>
  <si>
    <t xml:space="preserve">      SPCC</t>
  </si>
  <si>
    <t>SPHC 3.20x50.00x1219.00</t>
  </si>
  <si>
    <t>SPHC 3.2x64.00x1219.00</t>
  </si>
  <si>
    <t>SPHC-P/O 1.60x235.00x1219.00</t>
  </si>
  <si>
    <t>0.6x111x1219</t>
  </si>
  <si>
    <t xml:space="preserve">PANTHONG </t>
  </si>
  <si>
    <t>1.6X90x223</t>
  </si>
  <si>
    <t>223</t>
  </si>
  <si>
    <t>2.3x105x1219</t>
  </si>
  <si>
    <t>PRASANMIT</t>
  </si>
  <si>
    <t xml:space="preserve">         JSH270C</t>
  </si>
  <si>
    <t>2.3x130x1219</t>
  </si>
  <si>
    <t>1M73100D001</t>
  </si>
  <si>
    <t>1M73300C001 / D001</t>
  </si>
  <si>
    <t>290</t>
  </si>
  <si>
    <t>399-00157 Accessories</t>
  </si>
  <si>
    <t>SPCEN-SD 0.8x315.00x600.00</t>
  </si>
  <si>
    <t>SUPPERFAST</t>
  </si>
  <si>
    <t>1.2*74.4*1109</t>
  </si>
  <si>
    <t>74.4</t>
  </si>
  <si>
    <t>0.50x29.00x422.00</t>
  </si>
  <si>
    <t>THAI STANDARD</t>
  </si>
  <si>
    <t>422</t>
  </si>
  <si>
    <t>1.60x343.00x1219.00</t>
  </si>
  <si>
    <t>SPFH590-P/O 2.30x270.00x1219.00</t>
  </si>
  <si>
    <t>2.0x104xCoil</t>
  </si>
  <si>
    <t>2.0x115xCoil</t>
  </si>
  <si>
    <t>2.0X80XCOIL</t>
  </si>
  <si>
    <t>Common CARRIER</t>
  </si>
  <si>
    <t>SGRU-0008-(03)-1</t>
  </si>
  <si>
    <t>639</t>
  </si>
  <si>
    <t>SGUR-0006-(44)-01</t>
  </si>
  <si>
    <t>1135</t>
  </si>
  <si>
    <t>SGUR-0006-(46)-1</t>
  </si>
  <si>
    <t>692.4</t>
  </si>
  <si>
    <t>SGUR-0006-(47)-1</t>
  </si>
  <si>
    <t>SGUR-0012-(08)-1</t>
  </si>
  <si>
    <t>289.2</t>
  </si>
  <si>
    <t>SGUR-0012-(71)-1</t>
  </si>
  <si>
    <t>1438.4</t>
  </si>
  <si>
    <t>SGUR-0012-(75)-1</t>
  </si>
  <si>
    <t>1038.8</t>
  </si>
  <si>
    <t>SGUR-006-(50)</t>
  </si>
  <si>
    <t>4.50x370.00x1219.00</t>
  </si>
  <si>
    <t>V.S.A</t>
  </si>
  <si>
    <t>PIE  9960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</si>
</sst>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13" x14ac:knownFonts="1">
    <font>
      <sz val="10"/>
      <color theme="1"/>
      <name val="Segoe UI Semibold"/>
      <family val="2"/>
    </font>
    <font>
      <sz val="10"/>
      <color theme="1"/>
      <name val="Segoe UI Semibold"/>
      <family val="2"/>
    </font>
    <font>
      <sz val="9"/>
      <color theme="1"/>
      <name val="Tahoma"/>
      <family val="2"/>
    </font>
    <font>
      <sz val="9"/>
      <name val="細明體"/>
      <family val="3"/>
      <charset val="136"/>
    </font>
    <font>
      <sz val="9"/>
      <color rgb="FFFF0000"/>
      <name val="Tahoma"/>
      <family val="2"/>
    </font>
    <font>
      <b/>
      <sz val="9"/>
      <name val="Tahoma"/>
      <family val="2"/>
    </font>
    <font>
      <sz val="9"/>
      <color theme="0"/>
      <name val="Tahoma"/>
      <family val="2"/>
    </font>
    <font>
      <sz val="9"/>
      <name val="Tahoma"/>
      <family val="2"/>
    </font>
    <font>
      <b/>
      <sz val="9"/>
      <color theme="1"/>
      <name val="Tahoma"/>
      <family val="2"/>
    </font>
    <font>
      <sz val="9"/>
      <color rgb="FF0000FF"/>
      <name val="Tahoma"/>
      <family val="2"/>
    </font>
    <font>
      <sz val="9"/>
      <color rgb="FF7030A0"/>
      <name val="Tahoma"/>
      <family val="2"/>
    </font>
    <font>
      <sz val="9"/>
      <color theme="1"/>
      <name val="Arial Rounded MT Bold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177" fontId="5" fillId="3" borderId="0" xfId="1" applyNumberFormat="1" applyFont="1" applyFill="1" applyAlignment="1">
      <alignment vertical="top"/>
    </xf>
    <xf numFmtId="177" fontId="5" fillId="4" borderId="0" xfId="1" applyNumberFormat="1" applyFont="1" applyFill="1" applyAlignment="1">
      <alignment vertical="top"/>
    </xf>
    <xf numFmtId="0" fontId="6" fillId="5" borderId="0" xfId="0" applyFont="1" applyFill="1" applyAlignment="1">
      <alignment horizontal="centerContinuous" vertical="top"/>
    </xf>
    <xf numFmtId="0" fontId="4" fillId="5" borderId="0" xfId="0" applyFont="1" applyFill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0" fontId="6" fillId="6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7" fillId="7" borderId="0" xfId="0" applyFont="1" applyFill="1" applyAlignment="1">
      <alignment vertical="top"/>
    </xf>
    <xf numFmtId="0" fontId="6" fillId="6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0" fontId="6" fillId="5" borderId="0" xfId="0" applyFont="1" applyFill="1" applyAlignment="1">
      <alignment vertical="top"/>
    </xf>
    <xf numFmtId="2" fontId="2" fillId="0" borderId="0" xfId="0" applyNumberFormat="1" applyFont="1" applyAlignment="1">
      <alignment horizontal="center" vertical="top"/>
    </xf>
    <xf numFmtId="177" fontId="2" fillId="0" borderId="0" xfId="1" applyNumberFormat="1" applyFont="1" applyFill="1" applyAlignment="1">
      <alignment vertical="top"/>
    </xf>
    <xf numFmtId="177" fontId="2" fillId="0" borderId="0" xfId="1" applyNumberFormat="1" applyFont="1" applyFill="1" applyAlignment="1">
      <alignment horizontal="center" vertical="top"/>
    </xf>
    <xf numFmtId="177" fontId="2" fillId="0" borderId="0" xfId="1" applyNumberFormat="1" applyFont="1" applyFill="1" applyAlignment="1">
      <alignment vertical="top" shrinkToFit="1"/>
    </xf>
    <xf numFmtId="177" fontId="2" fillId="0" borderId="0" xfId="1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8" fillId="8" borderId="0" xfId="0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2" fillId="8" borderId="0" xfId="0" applyFont="1" applyFill="1" applyAlignment="1">
      <alignment horizontal="center" vertical="top"/>
    </xf>
    <xf numFmtId="2" fontId="2" fillId="8" borderId="0" xfId="0" applyNumberFormat="1" applyFont="1" applyFill="1" applyAlignment="1">
      <alignment horizontal="center" vertical="top"/>
    </xf>
    <xf numFmtId="177" fontId="2" fillId="8" borderId="0" xfId="1" applyNumberFormat="1" applyFont="1" applyFill="1" applyAlignment="1">
      <alignment horizontal="center" vertical="top"/>
    </xf>
    <xf numFmtId="177" fontId="2" fillId="8" borderId="0" xfId="1" applyNumberFormat="1" applyFont="1" applyFill="1" applyAlignment="1">
      <alignment vertical="top" shrinkToFit="1"/>
    </xf>
    <xf numFmtId="177" fontId="2" fillId="8" borderId="0" xfId="1" applyNumberFormat="1" applyFont="1" applyFill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All%20Customer%20review%20Jun%20'2026%20review%2023.06.2026-1.xlsx" TargetMode="External"/><Relationship Id="rId2" Type="http://schemas.openxmlformats.org/officeDocument/2006/relationships/externalLinkPath" Target="file:///C:\Users\WEI-TSO\Downloads\All%20Customer%20review%20Jun%20'2026%20review%2023.06.2026-1.xlsx" TargetMode="External"/><Relationship Id="rId1" Type="http://schemas.openxmlformats.org/officeDocument/2006/relationships/externalLinkPath" Target="/Users/WEI-TSO/Downloads/All%20Customer%20review%20Jun%20'2026%20review%2023.06.2026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007 2025.01-2026.05 "/>
      <sheetName val="Balance sheet (Update)"/>
      <sheetName val="Stock 22.06.26 0930"/>
      <sheetName val="MP008 22.06.26"/>
      <sheetName val="SO003"/>
      <sheetName val="Forecast"/>
      <sheetName val="SA007"/>
      <sheetName val="NIPPON"/>
      <sheetName val="Probending"/>
      <sheetName val="Louis"/>
      <sheetName val="TSD"/>
      <sheetName val="TSK"/>
      <sheetName val="CPK"/>
      <sheetName val="1410"/>
      <sheetName val="1430"/>
      <sheetName val="FCT Received"/>
    </sheetNames>
    <sheetDataSet>
      <sheetData sheetId="0"/>
      <sheetData sheetId="1"/>
      <sheetData sheetId="2"/>
      <sheetData sheetId="3"/>
      <sheetData sheetId="4">
        <row r="3">
          <cell r="AF3">
            <v>1297183.7652283711</v>
          </cell>
          <cell r="AH3">
            <v>863179.73029497871</v>
          </cell>
          <cell r="AJ3">
            <v>327964.8762842908</v>
          </cell>
        </row>
        <row r="4">
          <cell r="AF4">
            <v>0</v>
          </cell>
          <cell r="AH4">
            <v>0</v>
          </cell>
          <cell r="AJ4">
            <v>0</v>
          </cell>
        </row>
        <row r="6">
          <cell r="H6" t="str">
            <v>FG Code</v>
          </cell>
          <cell r="AF6" t="str">
            <v>PO Kg</v>
          </cell>
          <cell r="AH6" t="str">
            <v>Delivery 
Kg</v>
          </cell>
          <cell r="AJ6" t="str">
            <v>Bal Kg</v>
          </cell>
        </row>
        <row r="7">
          <cell r="H7" t="str">
            <v>16278-851YM-01</v>
          </cell>
          <cell r="AF7">
            <v>1142.0572499999996</v>
          </cell>
          <cell r="AH7">
            <v>1132.9207919999997</v>
          </cell>
          <cell r="AJ7">
            <v>9.1364579999999975</v>
          </cell>
        </row>
        <row r="8">
          <cell r="H8" t="str">
            <v>4.5X68X1220</v>
          </cell>
          <cell r="AF8">
            <v>1172.2248</v>
          </cell>
          <cell r="AH8">
            <v>1172.2248</v>
          </cell>
          <cell r="AJ8">
            <v>0</v>
          </cell>
        </row>
        <row r="9">
          <cell r="H9" t="str">
            <v>4.5x67x1220</v>
          </cell>
          <cell r="AF9">
            <v>1732.4792999999995</v>
          </cell>
          <cell r="AH9">
            <v>1732.4792999999995</v>
          </cell>
          <cell r="AJ9">
            <v>0</v>
          </cell>
        </row>
        <row r="10">
          <cell r="H10" t="str">
            <v>4.5x63x1220</v>
          </cell>
          <cell r="AF10">
            <v>678.76987499999996</v>
          </cell>
          <cell r="AH10">
            <v>765.65241900000001</v>
          </cell>
          <cell r="AJ10">
            <v>0</v>
          </cell>
        </row>
        <row r="11">
          <cell r="H11" t="str">
            <v>4.5x93x1220</v>
          </cell>
          <cell r="AF11">
            <v>1001.9936249999998</v>
          </cell>
          <cell r="AH11">
            <v>1001.9936249999998</v>
          </cell>
          <cell r="AJ11">
            <v>0</v>
          </cell>
        </row>
        <row r="12">
          <cell r="H12" t="str">
            <v>2.6x75x1220</v>
          </cell>
          <cell r="AF12">
            <v>560.25450000000001</v>
          </cell>
          <cell r="AH12">
            <v>560.25450000000001</v>
          </cell>
          <cell r="AJ12">
            <v>0</v>
          </cell>
        </row>
        <row r="13">
          <cell r="H13" t="str">
            <v>2.00X112.00X1220.00</v>
          </cell>
          <cell r="AF13">
            <v>643.57439999999997</v>
          </cell>
          <cell r="AH13">
            <v>665.02688000000001</v>
          </cell>
          <cell r="AJ13">
            <v>0</v>
          </cell>
        </row>
        <row r="14">
          <cell r="H14" t="str">
            <v>14665W020P-02</v>
          </cell>
          <cell r="AF14">
            <v>114.92400000000001</v>
          </cell>
          <cell r="AH14">
            <v>114.92400000000001</v>
          </cell>
          <cell r="AJ14">
            <v>0</v>
          </cell>
        </row>
        <row r="15">
          <cell r="H15" t="str">
            <v>13049-7MA0A</v>
          </cell>
          <cell r="AF15">
            <v>646.44749999999999</v>
          </cell>
          <cell r="AH15">
            <v>571.74689999999998</v>
          </cell>
          <cell r="AJ15">
            <v>74.700599999999994</v>
          </cell>
        </row>
        <row r="16">
          <cell r="H16" t="str">
            <v>2.0x108x1220</v>
          </cell>
          <cell r="AF16">
            <v>1861.7688000000001</v>
          </cell>
          <cell r="AH16">
            <v>1861.7688000000001</v>
          </cell>
          <cell r="AJ16">
            <v>0</v>
          </cell>
        </row>
        <row r="17">
          <cell r="H17" t="str">
            <v>16278-BZ120-03</v>
          </cell>
          <cell r="AF17">
            <v>306.464</v>
          </cell>
          <cell r="AH17">
            <v>306.464</v>
          </cell>
          <cell r="AJ17">
            <v>0</v>
          </cell>
        </row>
        <row r="18">
          <cell r="H18" t="str">
            <v>16278-BZ120-04</v>
          </cell>
          <cell r="AF18">
            <v>459.69600000000003</v>
          </cell>
          <cell r="AH18">
            <v>459.69600000000003</v>
          </cell>
          <cell r="AJ18">
            <v>0</v>
          </cell>
        </row>
        <row r="19">
          <cell r="H19" t="str">
            <v>21021A030P-02</v>
          </cell>
          <cell r="AF19">
            <v>249.00199999999998</v>
          </cell>
          <cell r="AH19">
            <v>247.75699</v>
          </cell>
          <cell r="AJ19">
            <v>1.24501</v>
          </cell>
        </row>
        <row r="20">
          <cell r="H20" t="str">
            <v>16278-BZ120-2</v>
          </cell>
          <cell r="AF20">
            <v>132.1626</v>
          </cell>
          <cell r="AH20">
            <v>132.1626</v>
          </cell>
          <cell r="AJ20">
            <v>0</v>
          </cell>
        </row>
        <row r="21">
          <cell r="H21" t="str">
            <v>16278-BZ170-01</v>
          </cell>
          <cell r="AF21">
            <v>90.981500000000011</v>
          </cell>
          <cell r="AH21">
            <v>181.96300000000002</v>
          </cell>
          <cell r="AJ21">
            <v>0</v>
          </cell>
        </row>
        <row r="22">
          <cell r="H22" t="str">
            <v>1.6X61x1220</v>
          </cell>
          <cell r="AF22">
            <v>140.20728000000003</v>
          </cell>
          <cell r="AH22">
            <v>148.61971680000002</v>
          </cell>
          <cell r="AJ22">
            <v>0</v>
          </cell>
        </row>
        <row r="23">
          <cell r="H23" t="str">
            <v>2.0X36X1220 SAPH440</v>
          </cell>
          <cell r="AF23">
            <v>68.954399999999993</v>
          </cell>
          <cell r="AH23">
            <v>106.18977599999999</v>
          </cell>
          <cell r="AJ23">
            <v>0</v>
          </cell>
        </row>
        <row r="24">
          <cell r="H24" t="str">
            <v>2.3x65.0x1220.0</v>
          </cell>
          <cell r="AF24">
            <v>143.17614999999998</v>
          </cell>
          <cell r="AH24">
            <v>143.17614999999998</v>
          </cell>
          <cell r="AJ24">
            <v>0</v>
          </cell>
        </row>
        <row r="25">
          <cell r="H25" t="str">
            <v>21021A370P-02</v>
          </cell>
          <cell r="AF25">
            <v>19.920159999999999</v>
          </cell>
          <cell r="AH25">
            <v>17.928144</v>
          </cell>
          <cell r="AJ25">
            <v>1.992016</v>
          </cell>
        </row>
        <row r="26">
          <cell r="H26" t="str">
            <v>21021A370P-3</v>
          </cell>
          <cell r="AF26">
            <v>32.178719999999998</v>
          </cell>
          <cell r="AH26">
            <v>28.960847999999999</v>
          </cell>
          <cell r="AJ26">
            <v>3.2178719999999998</v>
          </cell>
        </row>
        <row r="27">
          <cell r="H27" t="str">
            <v>14053-02</v>
          </cell>
          <cell r="AF27">
            <v>321.78719999999998</v>
          </cell>
          <cell r="AH27">
            <v>331.84305000000001</v>
          </cell>
          <cell r="AJ27">
            <v>0</v>
          </cell>
        </row>
        <row r="28">
          <cell r="H28" t="str">
            <v>49721A000P-B1</v>
          </cell>
          <cell r="AF28">
            <v>597.60479999999995</v>
          </cell>
          <cell r="AH28">
            <v>597.60479999999995</v>
          </cell>
          <cell r="AJ28">
            <v>0</v>
          </cell>
        </row>
        <row r="29">
          <cell r="H29" t="str">
            <v>49721A00P-B3</v>
          </cell>
          <cell r="AF29">
            <v>693.85364999999979</v>
          </cell>
          <cell r="AH29">
            <v>698.47934099999986</v>
          </cell>
          <cell r="AJ29">
            <v>0</v>
          </cell>
        </row>
        <row r="30">
          <cell r="H30" t="str">
            <v>16278-851YN-03</v>
          </cell>
          <cell r="AF30">
            <v>119.52096</v>
          </cell>
          <cell r="AH30">
            <v>86.055091200000007</v>
          </cell>
          <cell r="AJ30">
            <v>33.465868800000003</v>
          </cell>
        </row>
        <row r="31">
          <cell r="H31" t="str">
            <v>1.2X326XCOIL</v>
          </cell>
          <cell r="AF31">
            <v>6000</v>
          </cell>
          <cell r="AH31">
            <v>0</v>
          </cell>
          <cell r="AJ31">
            <v>6000</v>
          </cell>
        </row>
        <row r="32">
          <cell r="H32" t="str">
            <v>1.6x140.0xCoil</v>
          </cell>
          <cell r="AF32">
            <v>330</v>
          </cell>
          <cell r="AH32">
            <v>276</v>
          </cell>
          <cell r="AJ32">
            <v>-276</v>
          </cell>
        </row>
        <row r="33">
          <cell r="H33" t="str">
            <v>2.000X108.00XCOIL</v>
          </cell>
          <cell r="AF33">
            <v>800</v>
          </cell>
          <cell r="AH33">
            <v>840</v>
          </cell>
          <cell r="AJ33">
            <v>0</v>
          </cell>
        </row>
        <row r="34">
          <cell r="H34" t="str">
            <v>2.5x87xCOIL</v>
          </cell>
          <cell r="AF34">
            <v>2100</v>
          </cell>
          <cell r="AH34">
            <v>2060</v>
          </cell>
          <cell r="AJ34">
            <v>40</v>
          </cell>
        </row>
        <row r="35">
          <cell r="H35" t="str">
            <v>08009-446-11</v>
          </cell>
          <cell r="AF35">
            <v>244.92</v>
          </cell>
          <cell r="AH35">
            <v>244.92</v>
          </cell>
          <cell r="AJ35">
            <v>0</v>
          </cell>
        </row>
        <row r="36">
          <cell r="H36" t="str">
            <v>HK2F2-140-0A-00/01</v>
          </cell>
          <cell r="AF36">
            <v>4700</v>
          </cell>
          <cell r="AH36">
            <v>4208</v>
          </cell>
          <cell r="AJ36">
            <v>-4208</v>
          </cell>
        </row>
        <row r="37">
          <cell r="H37" t="str">
            <v>HK2F2-140-0A-00/01</v>
          </cell>
          <cell r="AF37">
            <v>3200</v>
          </cell>
          <cell r="AH37">
            <v>3156</v>
          </cell>
          <cell r="AJ37">
            <v>-3156</v>
          </cell>
        </row>
        <row r="38">
          <cell r="H38" t="str">
            <v>HK2F2-140-0A-00/01</v>
          </cell>
          <cell r="AF38">
            <v>2000</v>
          </cell>
          <cell r="AH38">
            <v>2092</v>
          </cell>
          <cell r="AJ38">
            <v>0</v>
          </cell>
        </row>
        <row r="39">
          <cell r="H39" t="str">
            <v>HK2F2-140-0A-00/01</v>
          </cell>
          <cell r="AF39">
            <v>2300</v>
          </cell>
          <cell r="AH39">
            <v>2092</v>
          </cell>
          <cell r="AJ39">
            <v>208</v>
          </cell>
        </row>
        <row r="40">
          <cell r="H40" t="str">
            <v>0.50X251.00XC</v>
          </cell>
          <cell r="AF40">
            <v>6965</v>
          </cell>
          <cell r="AH40">
            <v>17426</v>
          </cell>
          <cell r="AJ40">
            <v>0</v>
          </cell>
        </row>
        <row r="41">
          <cell r="H41" t="str">
            <v>0.50X251.00XC</v>
          </cell>
          <cell r="AF41">
            <v>6640</v>
          </cell>
          <cell r="AH41">
            <v>3144</v>
          </cell>
          <cell r="AJ41">
            <v>3496</v>
          </cell>
        </row>
        <row r="42">
          <cell r="H42" t="str">
            <v>0.50X251.00XC</v>
          </cell>
          <cell r="AF42">
            <v>6965</v>
          </cell>
          <cell r="AH42">
            <v>0</v>
          </cell>
          <cell r="AJ42">
            <v>6965</v>
          </cell>
        </row>
        <row r="43">
          <cell r="H43" t="str">
            <v>0.600X305.00X610.00</v>
          </cell>
          <cell r="AF43">
            <v>6134.0685000000003</v>
          </cell>
          <cell r="AH43">
            <v>6134.0685000000003</v>
          </cell>
          <cell r="AJ43">
            <v>0</v>
          </cell>
        </row>
        <row r="44">
          <cell r="H44" t="str">
            <v>0.600X305.00X610.00</v>
          </cell>
          <cell r="AF44">
            <v>4381.4775</v>
          </cell>
          <cell r="AH44">
            <v>4381.4775</v>
          </cell>
          <cell r="AJ44">
            <v>0</v>
          </cell>
        </row>
        <row r="45">
          <cell r="H45" t="str">
            <v>50005068</v>
          </cell>
          <cell r="AF45">
            <v>356.26440000000002</v>
          </cell>
          <cell r="AH45">
            <v>445.33050000000003</v>
          </cell>
          <cell r="AJ45">
            <v>0</v>
          </cell>
        </row>
        <row r="46">
          <cell r="H46" t="str">
            <v>50005068</v>
          </cell>
          <cell r="AF46">
            <v>979.72710000000006</v>
          </cell>
          <cell r="AH46">
            <v>890.66100000000006</v>
          </cell>
          <cell r="AJ46">
            <v>89.066100000000006</v>
          </cell>
        </row>
        <row r="47">
          <cell r="H47" t="str">
            <v>50027511</v>
          </cell>
          <cell r="AF47">
            <v>11643.74172</v>
          </cell>
          <cell r="AH47">
            <v>11608.81049484</v>
          </cell>
          <cell r="AJ47">
            <v>34.931225159999997</v>
          </cell>
        </row>
        <row r="48">
          <cell r="H48" t="str">
            <v>50025907</v>
          </cell>
          <cell r="AF48">
            <v>4000</v>
          </cell>
          <cell r="AH48">
            <v>3753</v>
          </cell>
          <cell r="AJ48">
            <v>247</v>
          </cell>
        </row>
        <row r="49">
          <cell r="H49" t="str">
            <v>50027511</v>
          </cell>
          <cell r="AF49">
            <v>11643.74172</v>
          </cell>
          <cell r="AH49">
            <v>8732.8062900000004</v>
          </cell>
          <cell r="AJ49">
            <v>2910.93543</v>
          </cell>
        </row>
        <row r="50">
          <cell r="H50" t="str">
            <v>50005170</v>
          </cell>
          <cell r="AF50">
            <v>494.725055</v>
          </cell>
          <cell r="AH50">
            <v>494.725055</v>
          </cell>
          <cell r="AJ50">
            <v>0</v>
          </cell>
        </row>
        <row r="51">
          <cell r="H51" t="str">
            <v>50000125</v>
          </cell>
          <cell r="AF51">
            <v>140</v>
          </cell>
          <cell r="AH51">
            <v>125</v>
          </cell>
          <cell r="AJ51">
            <v>-125</v>
          </cell>
        </row>
        <row r="52">
          <cell r="H52" t="str">
            <v>50029335</v>
          </cell>
          <cell r="AF52">
            <v>600</v>
          </cell>
          <cell r="AH52">
            <v>612</v>
          </cell>
          <cell r="AJ52">
            <v>0</v>
          </cell>
        </row>
        <row r="53">
          <cell r="H53" t="str">
            <v>50019896</v>
          </cell>
          <cell r="AF53">
            <v>26600</v>
          </cell>
          <cell r="AH53">
            <v>26100</v>
          </cell>
          <cell r="AJ53">
            <v>500</v>
          </cell>
        </row>
        <row r="54">
          <cell r="H54" t="str">
            <v>50030944</v>
          </cell>
          <cell r="AF54">
            <v>5252.5919999999996</v>
          </cell>
          <cell r="AH54">
            <v>5252.5919999999996</v>
          </cell>
          <cell r="AJ54">
            <v>0</v>
          </cell>
        </row>
        <row r="55">
          <cell r="H55" t="str">
            <v>50025525</v>
          </cell>
          <cell r="AF55">
            <v>6134.0685000000003</v>
          </cell>
          <cell r="AH55">
            <v>6134.0685000000003</v>
          </cell>
          <cell r="AJ55">
            <v>0</v>
          </cell>
        </row>
        <row r="56">
          <cell r="H56" t="str">
            <v>50025525</v>
          </cell>
          <cell r="AF56">
            <v>6134.0685000000003</v>
          </cell>
          <cell r="AH56">
            <v>6134.0685000000003</v>
          </cell>
          <cell r="AJ56">
            <v>0</v>
          </cell>
        </row>
        <row r="57">
          <cell r="H57" t="str">
            <v>50025525</v>
          </cell>
          <cell r="AF57">
            <v>6134.0685000000003</v>
          </cell>
          <cell r="AH57">
            <v>6134.0685000000003</v>
          </cell>
          <cell r="AJ57">
            <v>0</v>
          </cell>
        </row>
        <row r="58">
          <cell r="H58" t="str">
            <v>50030944</v>
          </cell>
          <cell r="AF58">
            <v>5252.5919999999996</v>
          </cell>
          <cell r="AH58">
            <v>0</v>
          </cell>
          <cell r="AJ58">
            <v>5252.5919999999996</v>
          </cell>
        </row>
        <row r="59">
          <cell r="H59" t="str">
            <v>50027511</v>
          </cell>
          <cell r="AF59">
            <v>11643.74172</v>
          </cell>
          <cell r="AH59">
            <v>11637.91984914</v>
          </cell>
          <cell r="AJ59">
            <v>5.8218708599999998</v>
          </cell>
        </row>
        <row r="60">
          <cell r="H60" t="str">
            <v>50019896</v>
          </cell>
          <cell r="AF60">
            <v>11400</v>
          </cell>
          <cell r="AH60">
            <v>9025</v>
          </cell>
          <cell r="AJ60">
            <v>2375</v>
          </cell>
        </row>
        <row r="61">
          <cell r="H61" t="str">
            <v>50030944</v>
          </cell>
          <cell r="AF61">
            <v>5252.5919999999996</v>
          </cell>
          <cell r="AH61">
            <v>5252.5919999999996</v>
          </cell>
          <cell r="AJ61">
            <v>0</v>
          </cell>
        </row>
        <row r="62">
          <cell r="H62" t="str">
            <v>50019896</v>
          </cell>
          <cell r="AF62">
            <v>12000</v>
          </cell>
          <cell r="AH62">
            <v>11555</v>
          </cell>
          <cell r="AJ62">
            <v>445</v>
          </cell>
        </row>
        <row r="63">
          <cell r="H63" t="str">
            <v>50029336</v>
          </cell>
          <cell r="AF63">
            <v>130</v>
          </cell>
          <cell r="AH63">
            <v>132</v>
          </cell>
          <cell r="AJ63">
            <v>0</v>
          </cell>
        </row>
        <row r="64">
          <cell r="H64" t="str">
            <v>50029337</v>
          </cell>
          <cell r="AF64">
            <v>260</v>
          </cell>
          <cell r="AH64">
            <v>306</v>
          </cell>
          <cell r="AJ64">
            <v>0</v>
          </cell>
        </row>
        <row r="65">
          <cell r="H65" t="str">
            <v>50025836</v>
          </cell>
          <cell r="AF65">
            <v>1398.8700000000001</v>
          </cell>
          <cell r="AH65">
            <v>1398.8700000000001</v>
          </cell>
          <cell r="AJ65">
            <v>0</v>
          </cell>
        </row>
        <row r="66">
          <cell r="H66" t="str">
            <v>50026363</v>
          </cell>
          <cell r="AF66">
            <v>1559.952</v>
          </cell>
          <cell r="AH66">
            <v>1559.952</v>
          </cell>
          <cell r="AJ66">
            <v>0</v>
          </cell>
        </row>
        <row r="67">
          <cell r="H67" t="str">
            <v>50030944</v>
          </cell>
          <cell r="AF67">
            <v>5252.5919999999996</v>
          </cell>
          <cell r="AH67">
            <v>5252.5919999999996</v>
          </cell>
          <cell r="AJ67">
            <v>0</v>
          </cell>
        </row>
        <row r="68">
          <cell r="H68" t="str">
            <v>50025907</v>
          </cell>
          <cell r="AF68">
            <v>4000</v>
          </cell>
          <cell r="AH68">
            <v>3828</v>
          </cell>
          <cell r="AJ68">
            <v>172</v>
          </cell>
        </row>
        <row r="69">
          <cell r="H69" t="str">
            <v>50019896</v>
          </cell>
          <cell r="AF69">
            <v>15000</v>
          </cell>
          <cell r="AH69">
            <v>13970</v>
          </cell>
          <cell r="AJ69">
            <v>1030</v>
          </cell>
        </row>
        <row r="70">
          <cell r="H70" t="str">
            <v>50030944</v>
          </cell>
          <cell r="AF70">
            <v>5252.5919999999996</v>
          </cell>
          <cell r="AH70">
            <v>10505.183999999999</v>
          </cell>
          <cell r="AJ70">
            <v>0</v>
          </cell>
        </row>
        <row r="71">
          <cell r="H71" t="str">
            <v>50025525</v>
          </cell>
          <cell r="AF71">
            <v>6134.0685000000003</v>
          </cell>
          <cell r="AH71">
            <v>6134.0685000000003</v>
          </cell>
          <cell r="AJ71">
            <v>0</v>
          </cell>
        </row>
        <row r="72">
          <cell r="H72" t="str">
            <v>50025525</v>
          </cell>
          <cell r="AF72">
            <v>6134.0685000000003</v>
          </cell>
          <cell r="AH72">
            <v>6134.0685000000003</v>
          </cell>
          <cell r="AJ72">
            <v>0</v>
          </cell>
        </row>
        <row r="73">
          <cell r="H73" t="str">
            <v>50025525</v>
          </cell>
          <cell r="AF73">
            <v>6134.0685000000003</v>
          </cell>
          <cell r="AH73">
            <v>6134.0685000000003</v>
          </cell>
          <cell r="AJ73">
            <v>0</v>
          </cell>
        </row>
        <row r="74">
          <cell r="H74" t="str">
            <v>0.2X145X855</v>
          </cell>
          <cell r="AF74">
            <v>38.928150000000002</v>
          </cell>
          <cell r="AH74">
            <v>30.94787925</v>
          </cell>
          <cell r="AJ74">
            <v>7.9802707499999999</v>
          </cell>
        </row>
        <row r="75">
          <cell r="H75" t="str">
            <v>50019896</v>
          </cell>
          <cell r="AF75">
            <v>12000</v>
          </cell>
          <cell r="AH75">
            <v>8135</v>
          </cell>
          <cell r="AJ75">
            <v>3865</v>
          </cell>
        </row>
        <row r="76">
          <cell r="H76" t="str">
            <v>50019896</v>
          </cell>
          <cell r="AF76">
            <v>15200</v>
          </cell>
          <cell r="AH76">
            <v>17760</v>
          </cell>
          <cell r="AJ76">
            <v>0</v>
          </cell>
        </row>
        <row r="77">
          <cell r="H77" t="str">
            <v>0.500X600.00X1445.00</v>
          </cell>
          <cell r="AF77">
            <v>1701.4875</v>
          </cell>
          <cell r="AH77">
            <v>1660.6518000000001</v>
          </cell>
          <cell r="AJ77">
            <v>40.835700000000003</v>
          </cell>
        </row>
        <row r="78">
          <cell r="H78" t="str">
            <v>50030944</v>
          </cell>
          <cell r="AF78">
            <v>2626.2959999999998</v>
          </cell>
          <cell r="AH78">
            <v>2626.2959999999998</v>
          </cell>
          <cell r="AJ78">
            <v>0</v>
          </cell>
        </row>
        <row r="79">
          <cell r="H79" t="str">
            <v>50019896</v>
          </cell>
          <cell r="AF79">
            <v>27000</v>
          </cell>
          <cell r="AH79">
            <v>11145</v>
          </cell>
          <cell r="AJ79">
            <v>15855</v>
          </cell>
        </row>
        <row r="80">
          <cell r="H80" t="str">
            <v>50025907</v>
          </cell>
          <cell r="AF80">
            <v>2000</v>
          </cell>
          <cell r="AH80">
            <v>1894</v>
          </cell>
          <cell r="AJ80">
            <v>106</v>
          </cell>
        </row>
        <row r="81">
          <cell r="H81" t="str">
            <v>50027511</v>
          </cell>
          <cell r="AF81">
            <v>5821.87086</v>
          </cell>
          <cell r="AH81">
            <v>5821.87086</v>
          </cell>
          <cell r="AJ81">
            <v>0</v>
          </cell>
        </row>
        <row r="82">
          <cell r="H82" t="str">
            <v>50029335</v>
          </cell>
          <cell r="AF82">
            <v>800</v>
          </cell>
          <cell r="AH82">
            <v>756</v>
          </cell>
          <cell r="AJ82">
            <v>44</v>
          </cell>
        </row>
        <row r="83">
          <cell r="H83" t="str">
            <v>50019896</v>
          </cell>
          <cell r="AF83">
            <v>28000</v>
          </cell>
          <cell r="AH83">
            <v>25950</v>
          </cell>
          <cell r="AJ83">
            <v>2050</v>
          </cell>
        </row>
        <row r="84">
          <cell r="H84" t="str">
            <v>50027511</v>
          </cell>
          <cell r="AF84">
            <v>8732.8062900000004</v>
          </cell>
          <cell r="AH84">
            <v>11643.74172</v>
          </cell>
          <cell r="AJ84">
            <v>0</v>
          </cell>
        </row>
        <row r="85">
          <cell r="H85" t="str">
            <v>50025525</v>
          </cell>
          <cell r="AF85">
            <v>4381.4775</v>
          </cell>
          <cell r="AH85">
            <v>4381.4775</v>
          </cell>
          <cell r="AJ85">
            <v>0</v>
          </cell>
        </row>
        <row r="86">
          <cell r="H86" t="str">
            <v>50030944</v>
          </cell>
          <cell r="AF86">
            <v>5252.5919999999996</v>
          </cell>
          <cell r="AH86">
            <v>5252.5919999999996</v>
          </cell>
          <cell r="AJ86">
            <v>0</v>
          </cell>
        </row>
        <row r="87">
          <cell r="H87" t="str">
            <v>50004529</v>
          </cell>
          <cell r="AF87">
            <v>315.78194999999999</v>
          </cell>
          <cell r="AH87">
            <v>296.83503300000001</v>
          </cell>
          <cell r="AJ87">
            <v>18.946916999999999</v>
          </cell>
        </row>
        <row r="88">
          <cell r="H88" t="str">
            <v>50025836</v>
          </cell>
          <cell r="AF88">
            <v>932.58</v>
          </cell>
          <cell r="AH88">
            <v>932.58</v>
          </cell>
          <cell r="AJ88">
            <v>0</v>
          </cell>
        </row>
        <row r="89">
          <cell r="H89" t="str">
            <v>50025527</v>
          </cell>
          <cell r="AF89">
            <v>1718.8485600000001</v>
          </cell>
          <cell r="AH89">
            <v>1718.8485600000001</v>
          </cell>
          <cell r="AJ89">
            <v>0</v>
          </cell>
        </row>
        <row r="90">
          <cell r="H90" t="str">
            <v>50025529</v>
          </cell>
          <cell r="AF90">
            <v>1398.9830400000001</v>
          </cell>
          <cell r="AH90">
            <v>932.65536000000009</v>
          </cell>
          <cell r="AJ90">
            <v>466.32768000000004</v>
          </cell>
        </row>
        <row r="91">
          <cell r="H91" t="str">
            <v>50025530</v>
          </cell>
          <cell r="AF91">
            <v>813.63051999999993</v>
          </cell>
          <cell r="AH91">
            <v>813.63051999999993</v>
          </cell>
          <cell r="AJ91">
            <v>0</v>
          </cell>
        </row>
        <row r="92">
          <cell r="H92" t="str">
            <v>50029424</v>
          </cell>
          <cell r="AF92">
            <v>1376.8271999999999</v>
          </cell>
          <cell r="AH92">
            <v>1376.8271999999999</v>
          </cell>
          <cell r="AJ92">
            <v>0</v>
          </cell>
        </row>
        <row r="93">
          <cell r="H93" t="str">
            <v>50027511</v>
          </cell>
          <cell r="AF93">
            <v>2910.93543</v>
          </cell>
          <cell r="AH93">
            <v>2910.93543</v>
          </cell>
          <cell r="AJ93">
            <v>0</v>
          </cell>
        </row>
        <row r="94">
          <cell r="H94" t="str">
            <v>50025907</v>
          </cell>
          <cell r="AF94">
            <v>4000</v>
          </cell>
          <cell r="AH94">
            <v>4635</v>
          </cell>
          <cell r="AJ94">
            <v>0</v>
          </cell>
        </row>
        <row r="95">
          <cell r="H95" t="str">
            <v>50019896</v>
          </cell>
          <cell r="AF95">
            <v>27000</v>
          </cell>
          <cell r="AH95">
            <v>7325</v>
          </cell>
          <cell r="AJ95">
            <v>19675</v>
          </cell>
        </row>
        <row r="96">
          <cell r="H96" t="str">
            <v>50030944</v>
          </cell>
          <cell r="AF96">
            <v>5252.5919999999996</v>
          </cell>
          <cell r="AH96">
            <v>0</v>
          </cell>
          <cell r="AJ96">
            <v>5252.5919999999996</v>
          </cell>
        </row>
        <row r="97">
          <cell r="H97" t="str">
            <v>50025525</v>
          </cell>
          <cell r="AF97">
            <v>2628.8865000000001</v>
          </cell>
          <cell r="AH97">
            <v>2628.8865000000001</v>
          </cell>
          <cell r="AJ97">
            <v>0</v>
          </cell>
        </row>
        <row r="98">
          <cell r="H98" t="str">
            <v>50000125</v>
          </cell>
          <cell r="AF98">
            <v>140</v>
          </cell>
          <cell r="AH98">
            <v>0</v>
          </cell>
          <cell r="AJ98">
            <v>140</v>
          </cell>
        </row>
        <row r="99">
          <cell r="H99" t="str">
            <v>0.2X145X855</v>
          </cell>
          <cell r="AF99">
            <v>38.928150000000002</v>
          </cell>
          <cell r="AH99">
            <v>0</v>
          </cell>
          <cell r="AJ99">
            <v>38.928150000000002</v>
          </cell>
        </row>
        <row r="100">
          <cell r="H100" t="str">
            <v>50019896</v>
          </cell>
          <cell r="AF100">
            <v>18000</v>
          </cell>
          <cell r="AH100">
            <v>0</v>
          </cell>
          <cell r="AJ100">
            <v>18000</v>
          </cell>
        </row>
        <row r="101">
          <cell r="H101" t="str">
            <v>50025836</v>
          </cell>
          <cell r="AF101">
            <v>932.58</v>
          </cell>
          <cell r="AH101">
            <v>932.58</v>
          </cell>
          <cell r="AJ101">
            <v>0</v>
          </cell>
        </row>
        <row r="102">
          <cell r="H102" t="str">
            <v>50026363</v>
          </cell>
          <cell r="AF102">
            <v>1039.9679999999998</v>
          </cell>
          <cell r="AH102">
            <v>1039.9679999999998</v>
          </cell>
          <cell r="AJ102">
            <v>0</v>
          </cell>
        </row>
        <row r="103">
          <cell r="H103" t="str">
            <v>50025525</v>
          </cell>
          <cell r="AF103">
            <v>2628.8865000000001</v>
          </cell>
          <cell r="AH103">
            <v>2628.8865000000001</v>
          </cell>
          <cell r="AJ103">
            <v>0</v>
          </cell>
        </row>
        <row r="104">
          <cell r="H104" t="str">
            <v>50025525</v>
          </cell>
          <cell r="AF104">
            <v>2628.8865000000001</v>
          </cell>
          <cell r="AH104">
            <v>0</v>
          </cell>
          <cell r="AJ104">
            <v>2628.8865000000001</v>
          </cell>
        </row>
        <row r="105">
          <cell r="H105" t="str">
            <v>50025525</v>
          </cell>
          <cell r="AF105">
            <v>5257.7730000000001</v>
          </cell>
          <cell r="AH105">
            <v>2628.8865000000001</v>
          </cell>
          <cell r="AJ105">
            <v>2628.8865000000001</v>
          </cell>
        </row>
        <row r="106">
          <cell r="H106" t="str">
            <v>50025525</v>
          </cell>
          <cell r="AF106">
            <v>6134.0685000000003</v>
          </cell>
          <cell r="AH106">
            <v>0</v>
          </cell>
          <cell r="AJ106">
            <v>6134.0685000000003</v>
          </cell>
        </row>
        <row r="107">
          <cell r="H107" t="str">
            <v>EK 9586 T</v>
          </cell>
          <cell r="AF107">
            <v>228</v>
          </cell>
          <cell r="AH107">
            <v>0</v>
          </cell>
          <cell r="AJ107">
            <v>228</v>
          </cell>
        </row>
        <row r="108">
          <cell r="H108" t="str">
            <v>NN 95998 H</v>
          </cell>
          <cell r="AF108">
            <v>52.462806000000008</v>
          </cell>
          <cell r="AH108">
            <v>0</v>
          </cell>
          <cell r="AJ108">
            <v>52.462806000000008</v>
          </cell>
        </row>
        <row r="109">
          <cell r="H109" t="str">
            <v>EK 8548 T</v>
          </cell>
          <cell r="AF109">
            <v>182</v>
          </cell>
          <cell r="AH109">
            <v>0</v>
          </cell>
          <cell r="AJ109">
            <v>182</v>
          </cell>
        </row>
        <row r="110">
          <cell r="H110" t="str">
            <v>1.20x51xCOIL</v>
          </cell>
          <cell r="AF110">
            <v>15000</v>
          </cell>
          <cell r="AH110">
            <v>2078</v>
          </cell>
          <cell r="AJ110">
            <v>0</v>
          </cell>
        </row>
        <row r="111">
          <cell r="H111" t="str">
            <v>1.20x165.00xCoil</v>
          </cell>
          <cell r="AF111">
            <v>2300</v>
          </cell>
          <cell r="AH111">
            <v>2800</v>
          </cell>
          <cell r="AJ111">
            <v>0</v>
          </cell>
        </row>
        <row r="112">
          <cell r="H112" t="str">
            <v>1010415004</v>
          </cell>
          <cell r="AF112">
            <v>1100</v>
          </cell>
          <cell r="AH112">
            <v>0</v>
          </cell>
          <cell r="AJ112">
            <v>1100</v>
          </cell>
        </row>
        <row r="113">
          <cell r="H113" t="str">
            <v>1011405004</v>
          </cell>
          <cell r="AF113">
            <v>500</v>
          </cell>
          <cell r="AH113">
            <v>0</v>
          </cell>
          <cell r="AJ113">
            <v>500</v>
          </cell>
        </row>
        <row r="114">
          <cell r="H114" t="str">
            <v>0.70x55.00xCOIL</v>
          </cell>
          <cell r="AF114">
            <v>5000</v>
          </cell>
          <cell r="AH114">
            <v>4685</v>
          </cell>
          <cell r="AJ114">
            <v>315</v>
          </cell>
        </row>
        <row r="115">
          <cell r="H115" t="str">
            <v>1.00X186.00XCOIL</v>
          </cell>
          <cell r="AF115">
            <v>1500</v>
          </cell>
          <cell r="AH115">
            <v>1678</v>
          </cell>
          <cell r="AJ115">
            <v>0</v>
          </cell>
        </row>
        <row r="116">
          <cell r="H116" t="str">
            <v>0.70x55.00xCOIL</v>
          </cell>
          <cell r="AF116">
            <v>5000</v>
          </cell>
          <cell r="AH116">
            <v>0</v>
          </cell>
          <cell r="AJ116">
            <v>5000</v>
          </cell>
        </row>
        <row r="117">
          <cell r="H117" t="str">
            <v>1.50x160.00xcoil</v>
          </cell>
          <cell r="AF117">
            <v>3100</v>
          </cell>
          <cell r="AH117">
            <v>0</v>
          </cell>
          <cell r="AJ117">
            <v>3100</v>
          </cell>
        </row>
        <row r="118">
          <cell r="H118" t="str">
            <v>1010415004</v>
          </cell>
          <cell r="AF118">
            <v>3100</v>
          </cell>
          <cell r="AH118">
            <v>0</v>
          </cell>
          <cell r="AJ118">
            <v>0</v>
          </cell>
        </row>
        <row r="119">
          <cell r="H119" t="str">
            <v>1.500X166.00XCOIL</v>
          </cell>
          <cell r="AF119">
            <v>1000</v>
          </cell>
          <cell r="AH119">
            <v>0</v>
          </cell>
          <cell r="AJ119">
            <v>0</v>
          </cell>
        </row>
        <row r="120">
          <cell r="H120" t="str">
            <v>2.00X360.00XCOIL</v>
          </cell>
          <cell r="AF120">
            <v>3100</v>
          </cell>
          <cell r="AH120">
            <v>3132</v>
          </cell>
          <cell r="AJ120">
            <v>0</v>
          </cell>
        </row>
        <row r="121">
          <cell r="H121" t="str">
            <v>2.00x262.00xcoil</v>
          </cell>
          <cell r="AF121">
            <v>3200</v>
          </cell>
          <cell r="AH121">
            <v>3097</v>
          </cell>
          <cell r="AJ121">
            <v>-3097</v>
          </cell>
        </row>
        <row r="122">
          <cell r="H122" t="str">
            <v>1.60X34.00XCOIL</v>
          </cell>
          <cell r="AF122">
            <v>1000</v>
          </cell>
          <cell r="AH122">
            <v>1086</v>
          </cell>
          <cell r="AJ122">
            <v>0</v>
          </cell>
        </row>
        <row r="123">
          <cell r="H123" t="str">
            <v>1.60x19.80xcoil</v>
          </cell>
          <cell r="AF123">
            <v>3000</v>
          </cell>
          <cell r="AH123">
            <v>0</v>
          </cell>
          <cell r="AJ123">
            <v>3000</v>
          </cell>
        </row>
        <row r="124">
          <cell r="H124" t="str">
            <v>1010415004</v>
          </cell>
          <cell r="AF124">
            <v>3000</v>
          </cell>
          <cell r="AH124">
            <v>2547</v>
          </cell>
          <cell r="AJ124">
            <v>453</v>
          </cell>
        </row>
        <row r="125">
          <cell r="H125" t="str">
            <v>2.000x31.00xcoil</v>
          </cell>
          <cell r="AF125">
            <v>5000</v>
          </cell>
          <cell r="AH125">
            <v>4928</v>
          </cell>
          <cell r="AJ125">
            <v>72</v>
          </cell>
        </row>
        <row r="126">
          <cell r="H126" t="str">
            <v>1.20x51xCOIL</v>
          </cell>
          <cell r="AF126">
            <v>1500</v>
          </cell>
          <cell r="AH126">
            <v>0</v>
          </cell>
          <cell r="AJ126">
            <v>1500</v>
          </cell>
        </row>
        <row r="127">
          <cell r="H127" t="str">
            <v>1010508003</v>
          </cell>
          <cell r="AF127">
            <v>1000</v>
          </cell>
          <cell r="AH127">
            <v>0</v>
          </cell>
          <cell r="AJ127">
            <v>1000</v>
          </cell>
        </row>
        <row r="128">
          <cell r="H128" t="str">
            <v>NN 9180 H3</v>
          </cell>
          <cell r="AF128">
            <v>110</v>
          </cell>
          <cell r="AH128">
            <v>117</v>
          </cell>
          <cell r="AJ128">
            <v>0</v>
          </cell>
        </row>
        <row r="129">
          <cell r="H129" t="str">
            <v>NN 9652 H</v>
          </cell>
          <cell r="AF129">
            <v>305.68488749999995</v>
          </cell>
          <cell r="AH129">
            <v>305.68488749999995</v>
          </cell>
          <cell r="AJ129">
            <v>0</v>
          </cell>
        </row>
        <row r="130">
          <cell r="H130" t="str">
            <v>SN 8459 T</v>
          </cell>
          <cell r="AF130">
            <v>300</v>
          </cell>
          <cell r="AH130">
            <v>326</v>
          </cell>
          <cell r="AJ130">
            <v>0</v>
          </cell>
        </row>
        <row r="131">
          <cell r="H131" t="str">
            <v>TM 9885 T</v>
          </cell>
          <cell r="AF131">
            <v>380</v>
          </cell>
          <cell r="AH131">
            <v>375</v>
          </cell>
          <cell r="AJ131">
            <v>5</v>
          </cell>
        </row>
        <row r="132">
          <cell r="H132" t="str">
            <v>EK 9586 T</v>
          </cell>
          <cell r="AF132">
            <v>240</v>
          </cell>
          <cell r="AH132">
            <v>290</v>
          </cell>
          <cell r="AJ132">
            <v>0</v>
          </cell>
        </row>
        <row r="133">
          <cell r="H133" t="str">
            <v>TM 9813 T</v>
          </cell>
          <cell r="AF133">
            <v>231</v>
          </cell>
          <cell r="AH133">
            <v>345</v>
          </cell>
          <cell r="AJ133">
            <v>0</v>
          </cell>
        </row>
        <row r="134">
          <cell r="H134" t="str">
            <v>EK 9586 T</v>
          </cell>
          <cell r="AF134">
            <v>228</v>
          </cell>
          <cell r="AH134">
            <v>290</v>
          </cell>
          <cell r="AJ134">
            <v>0</v>
          </cell>
        </row>
        <row r="135">
          <cell r="H135" t="str">
            <v>NN 95998 H</v>
          </cell>
          <cell r="AF135">
            <v>52.462806000000008</v>
          </cell>
          <cell r="AH135">
            <v>52.462806000000008</v>
          </cell>
          <cell r="AJ135">
            <v>0</v>
          </cell>
        </row>
        <row r="136">
          <cell r="H136" t="str">
            <v>EK 8548 T</v>
          </cell>
          <cell r="AF136">
            <v>182</v>
          </cell>
          <cell r="AH136">
            <v>0</v>
          </cell>
          <cell r="AJ136">
            <v>182</v>
          </cell>
        </row>
        <row r="137">
          <cell r="H137" t="str">
            <v>0.80X70XCOIL</v>
          </cell>
          <cell r="AF137">
            <v>500</v>
          </cell>
          <cell r="AH137">
            <v>734</v>
          </cell>
          <cell r="AJ137">
            <v>0</v>
          </cell>
        </row>
        <row r="138">
          <cell r="H138" t="str">
            <v>1.0x44xCoil</v>
          </cell>
          <cell r="AF138">
            <v>500</v>
          </cell>
          <cell r="AH138">
            <v>512</v>
          </cell>
          <cell r="AJ138">
            <v>0</v>
          </cell>
        </row>
        <row r="139">
          <cell r="H139" t="str">
            <v>1.50x160.00xcoil</v>
          </cell>
          <cell r="AF139">
            <v>3100</v>
          </cell>
          <cell r="AH139">
            <v>0</v>
          </cell>
          <cell r="AJ139">
            <v>3100</v>
          </cell>
        </row>
        <row r="140">
          <cell r="H140" t="str">
            <v>1.500X166.00XCOIL</v>
          </cell>
          <cell r="AF140">
            <v>1000</v>
          </cell>
          <cell r="AH140">
            <v>0</v>
          </cell>
          <cell r="AJ140">
            <v>1000</v>
          </cell>
        </row>
        <row r="141">
          <cell r="H141" t="str">
            <v>2.00X360.00XCOIL</v>
          </cell>
          <cell r="AF141">
            <v>3100</v>
          </cell>
          <cell r="AH141">
            <v>0</v>
          </cell>
          <cell r="AJ141">
            <v>3100</v>
          </cell>
        </row>
        <row r="142">
          <cell r="H142" t="str">
            <v>2.00x262.00xcoil</v>
          </cell>
          <cell r="AF142">
            <v>3200</v>
          </cell>
          <cell r="AH142">
            <v>0</v>
          </cell>
          <cell r="AJ142">
            <v>3200</v>
          </cell>
        </row>
        <row r="143">
          <cell r="H143" t="str">
            <v>50005108</v>
          </cell>
          <cell r="AF143">
            <v>63.156390000000002</v>
          </cell>
          <cell r="AH143">
            <v>63.156390000000002</v>
          </cell>
          <cell r="AJ143">
            <v>0</v>
          </cell>
        </row>
        <row r="144">
          <cell r="H144" t="str">
            <v>50005147</v>
          </cell>
          <cell r="AF144">
            <v>259.05</v>
          </cell>
          <cell r="AH144">
            <v>259.05</v>
          </cell>
          <cell r="AJ144">
            <v>0</v>
          </cell>
        </row>
        <row r="145">
          <cell r="H145" t="str">
            <v>50019457</v>
          </cell>
          <cell r="AF145">
            <v>148.28021999999999</v>
          </cell>
          <cell r="AH145">
            <v>142.88821199999998</v>
          </cell>
          <cell r="AJ145">
            <v>5.3920079999999997</v>
          </cell>
        </row>
        <row r="146">
          <cell r="H146" t="str">
            <v>0.8x150x1219</v>
          </cell>
          <cell r="AF146">
            <v>42.487026</v>
          </cell>
          <cell r="AH146">
            <v>0</v>
          </cell>
          <cell r="AJ146">
            <v>42.487026</v>
          </cell>
        </row>
        <row r="147">
          <cell r="H147" t="str">
            <v>50019457</v>
          </cell>
          <cell r="AF147">
            <v>101.10015</v>
          </cell>
          <cell r="AH147">
            <v>101.10015</v>
          </cell>
          <cell r="AJ147">
            <v>0</v>
          </cell>
        </row>
        <row r="148">
          <cell r="H148" t="str">
            <v>50005108</v>
          </cell>
          <cell r="AF148">
            <v>42.487026</v>
          </cell>
          <cell r="AH148">
            <v>11.482980000000001</v>
          </cell>
          <cell r="AJ148">
            <v>31.004046000000002</v>
          </cell>
        </row>
        <row r="149">
          <cell r="H149" t="str">
            <v>50019457</v>
          </cell>
          <cell r="AF149">
            <v>101.10015</v>
          </cell>
          <cell r="AH149">
            <v>0</v>
          </cell>
          <cell r="AJ149">
            <v>101.10015</v>
          </cell>
        </row>
        <row r="150">
          <cell r="H150" t="str">
            <v>0.600X330.00X630.00</v>
          </cell>
          <cell r="AF150">
            <v>1958.4179999999999</v>
          </cell>
          <cell r="AH150">
            <v>1958.4179999999999</v>
          </cell>
          <cell r="AJ150">
            <v>0</v>
          </cell>
        </row>
        <row r="151">
          <cell r="H151" t="str">
            <v>50001295</v>
          </cell>
          <cell r="AF151">
            <v>1738.2255</v>
          </cell>
          <cell r="AH151">
            <v>1738.2255</v>
          </cell>
          <cell r="AJ151">
            <v>0</v>
          </cell>
        </row>
        <row r="152">
          <cell r="H152" t="str">
            <v>0.600X295.00X605.00</v>
          </cell>
          <cell r="AF152">
            <v>1681.2345</v>
          </cell>
          <cell r="AH152">
            <v>0</v>
          </cell>
          <cell r="AJ152">
            <v>1681.2345</v>
          </cell>
        </row>
        <row r="153">
          <cell r="H153" t="str">
            <v>50021937</v>
          </cell>
          <cell r="AF153">
            <v>179.84663999999998</v>
          </cell>
          <cell r="AH153">
            <v>179.84663999999998</v>
          </cell>
          <cell r="AJ153">
            <v>0</v>
          </cell>
        </row>
        <row r="154">
          <cell r="H154" t="str">
            <v>50021630</v>
          </cell>
          <cell r="AF154">
            <v>598.95500000000004</v>
          </cell>
          <cell r="AH154">
            <v>598.95500000000004</v>
          </cell>
          <cell r="AJ154">
            <v>0</v>
          </cell>
        </row>
        <row r="155">
          <cell r="H155" t="str">
            <v>50019748</v>
          </cell>
          <cell r="AF155">
            <v>50.238037499999997</v>
          </cell>
          <cell r="AH155">
            <v>50.238037499999997</v>
          </cell>
          <cell r="AJ155">
            <v>0</v>
          </cell>
        </row>
        <row r="156">
          <cell r="H156" t="str">
            <v>50019748</v>
          </cell>
          <cell r="AF156">
            <v>50.238037499999997</v>
          </cell>
          <cell r="AH156">
            <v>50.238037499999997</v>
          </cell>
          <cell r="AJ156">
            <v>0</v>
          </cell>
        </row>
        <row r="157">
          <cell r="H157" t="str">
            <v>50021937</v>
          </cell>
          <cell r="AF157">
            <v>179.84663999999998</v>
          </cell>
          <cell r="AH157">
            <v>0</v>
          </cell>
          <cell r="AJ157">
            <v>179.84663999999998</v>
          </cell>
        </row>
        <row r="158">
          <cell r="H158" t="str">
            <v>5021630</v>
          </cell>
          <cell r="AF158">
            <v>299.47750000000002</v>
          </cell>
          <cell r="AH158">
            <v>0</v>
          </cell>
          <cell r="AJ158">
            <v>299.47750000000002</v>
          </cell>
        </row>
        <row r="159">
          <cell r="H159" t="str">
            <v>50001295</v>
          </cell>
          <cell r="AF159">
            <v>1303.6691249999999</v>
          </cell>
          <cell r="AH159">
            <v>869.11275000000001</v>
          </cell>
          <cell r="AJ159">
            <v>434.556375</v>
          </cell>
        </row>
        <row r="160">
          <cell r="H160" t="str">
            <v>50001294</v>
          </cell>
          <cell r="AF160">
            <v>1260.9258749999999</v>
          </cell>
          <cell r="AH160">
            <v>1199.5608157500001</v>
          </cell>
          <cell r="AJ160">
            <v>61.365059250000002</v>
          </cell>
        </row>
        <row r="161">
          <cell r="H161" t="str">
            <v>30053976.2</v>
          </cell>
          <cell r="AF161">
            <v>258.38746000000003</v>
          </cell>
          <cell r="AH161">
            <v>258.38746000000003</v>
          </cell>
          <cell r="AJ161">
            <v>0</v>
          </cell>
        </row>
        <row r="162">
          <cell r="H162" t="str">
            <v>30053977.2</v>
          </cell>
          <cell r="AF162">
            <v>216.53597000000002</v>
          </cell>
          <cell r="AH162">
            <v>576.82271000000003</v>
          </cell>
          <cell r="AJ162">
            <v>0</v>
          </cell>
        </row>
        <row r="163">
          <cell r="H163" t="str">
            <v>30053977.3</v>
          </cell>
          <cell r="AF163">
            <v>172.55838599999998</v>
          </cell>
          <cell r="AH163">
            <v>449.69761199999994</v>
          </cell>
          <cell r="AJ163">
            <v>0</v>
          </cell>
        </row>
        <row r="164">
          <cell r="H164" t="str">
            <v>30052581</v>
          </cell>
          <cell r="AF164">
            <v>408.18706319999995</v>
          </cell>
          <cell r="AH164">
            <v>0</v>
          </cell>
          <cell r="AJ164">
            <v>408.18706319999995</v>
          </cell>
        </row>
        <row r="165">
          <cell r="H165" t="str">
            <v>73022575.4</v>
          </cell>
          <cell r="AF165">
            <v>309.94476850000001</v>
          </cell>
          <cell r="AH165">
            <v>309.94476850000001</v>
          </cell>
          <cell r="AJ165">
            <v>0</v>
          </cell>
        </row>
        <row r="166">
          <cell r="H166" t="str">
            <v>73022575.5</v>
          </cell>
          <cell r="AF166">
            <v>309.94476850000001</v>
          </cell>
          <cell r="AH166">
            <v>309.94476850000001</v>
          </cell>
          <cell r="AJ166">
            <v>0</v>
          </cell>
        </row>
        <row r="167">
          <cell r="H167" t="str">
            <v>73022575.5</v>
          </cell>
          <cell r="AF167">
            <v>1214.0763371</v>
          </cell>
          <cell r="AH167">
            <v>1223.1478912999999</v>
          </cell>
          <cell r="AJ167">
            <v>0</v>
          </cell>
        </row>
        <row r="168">
          <cell r="H168" t="str">
            <v>73022575.2</v>
          </cell>
          <cell r="AF168">
            <v>1885.0306861599997</v>
          </cell>
          <cell r="AH168">
            <v>1885.0306861599997</v>
          </cell>
          <cell r="AJ168">
            <v>0</v>
          </cell>
        </row>
        <row r="169">
          <cell r="H169" t="str">
            <v>300525831</v>
          </cell>
          <cell r="AF169">
            <v>54.582431599999992</v>
          </cell>
          <cell r="AH169">
            <v>54.582431599999992</v>
          </cell>
          <cell r="AJ169">
            <v>0</v>
          </cell>
        </row>
        <row r="170">
          <cell r="H170" t="str">
            <v>30052831</v>
          </cell>
          <cell r="AF170">
            <v>54.582431599999992</v>
          </cell>
          <cell r="AH170">
            <v>54.582431599999992</v>
          </cell>
          <cell r="AJ170">
            <v>0</v>
          </cell>
        </row>
        <row r="171">
          <cell r="H171" t="str">
            <v>300525834.1</v>
          </cell>
          <cell r="AF171">
            <v>21.128683199999998</v>
          </cell>
          <cell r="AH171">
            <v>132.05426999999997</v>
          </cell>
          <cell r="AJ171">
            <v>0</v>
          </cell>
        </row>
        <row r="172">
          <cell r="H172" t="str">
            <v>30052830</v>
          </cell>
          <cell r="AF172">
            <v>77.647910759999988</v>
          </cell>
          <cell r="AH172">
            <v>0</v>
          </cell>
          <cell r="AJ172">
            <v>77.647910759999988</v>
          </cell>
        </row>
        <row r="173">
          <cell r="H173" t="str">
            <v>300525827</v>
          </cell>
          <cell r="AF173">
            <v>61.273181279999996</v>
          </cell>
          <cell r="AH173">
            <v>61.273181279999996</v>
          </cell>
          <cell r="AJ173">
            <v>0</v>
          </cell>
        </row>
        <row r="174">
          <cell r="H174" t="str">
            <v>30052827</v>
          </cell>
          <cell r="AF174">
            <v>61.273181279999996</v>
          </cell>
          <cell r="AH174">
            <v>61.273181279999996</v>
          </cell>
          <cell r="AJ174">
            <v>0</v>
          </cell>
        </row>
        <row r="175">
          <cell r="H175" t="str">
            <v>30053681</v>
          </cell>
          <cell r="AF175">
            <v>3933.7933564800005</v>
          </cell>
          <cell r="AH175">
            <v>3568.3590009600007</v>
          </cell>
          <cell r="AJ175">
            <v>365.43435552000005</v>
          </cell>
        </row>
        <row r="176">
          <cell r="H176" t="str">
            <v>30054114</v>
          </cell>
          <cell r="AF176">
            <v>204.79512064000002</v>
          </cell>
          <cell r="AH176">
            <v>204.79512064000002</v>
          </cell>
          <cell r="AJ176">
            <v>0</v>
          </cell>
        </row>
        <row r="177">
          <cell r="H177" t="str">
            <v>30054120</v>
          </cell>
          <cell r="AF177">
            <v>30.942803440000002</v>
          </cell>
          <cell r="AH177">
            <v>61.885606880000005</v>
          </cell>
          <cell r="AJ177">
            <v>0</v>
          </cell>
        </row>
        <row r="178">
          <cell r="H178" t="str">
            <v>30054121</v>
          </cell>
          <cell r="AF178">
            <v>30.942803440000002</v>
          </cell>
          <cell r="AH178">
            <v>2.6334300800000001</v>
          </cell>
          <cell r="AJ178">
            <v>28.309373360000002</v>
          </cell>
        </row>
        <row r="179">
          <cell r="H179" t="str">
            <v>73022575.4</v>
          </cell>
          <cell r="AF179">
            <v>178.40723259999999</v>
          </cell>
          <cell r="AH179">
            <v>178.40723259999999</v>
          </cell>
          <cell r="AJ179">
            <v>0</v>
          </cell>
        </row>
        <row r="180">
          <cell r="H180" t="str">
            <v>73022575.5</v>
          </cell>
          <cell r="AF180">
            <v>178.40723259999999</v>
          </cell>
          <cell r="AH180">
            <v>178.40723259999999</v>
          </cell>
          <cell r="AJ180">
            <v>0</v>
          </cell>
        </row>
        <row r="181">
          <cell r="H181" t="str">
            <v>73022575.3</v>
          </cell>
          <cell r="AF181">
            <v>770.75675589999992</v>
          </cell>
          <cell r="AH181">
            <v>770.75675589999992</v>
          </cell>
          <cell r="AJ181">
            <v>0</v>
          </cell>
        </row>
        <row r="182">
          <cell r="H182" t="str">
            <v>73022575.2</v>
          </cell>
          <cell r="AF182">
            <v>773.18731999999989</v>
          </cell>
          <cell r="AH182">
            <v>773.18731999999989</v>
          </cell>
          <cell r="AJ182">
            <v>0</v>
          </cell>
        </row>
        <row r="183">
          <cell r="H183" t="str">
            <v>2.000X94.50X1219.00</v>
          </cell>
          <cell r="AF183">
            <v>4883.1372449999999</v>
          </cell>
          <cell r="AH183">
            <v>0</v>
          </cell>
          <cell r="AJ183">
            <v>4883.1372449999999</v>
          </cell>
        </row>
        <row r="184">
          <cell r="H184" t="str">
            <v>2.500x1219.00x2200.00</v>
          </cell>
          <cell r="AF184">
            <v>315.78194999999999</v>
          </cell>
          <cell r="AH184">
            <v>315.78194999999999</v>
          </cell>
          <cell r="AJ184">
            <v>0</v>
          </cell>
        </row>
        <row r="185">
          <cell r="H185" t="str">
            <v>2.500x1219.00x2200.00</v>
          </cell>
          <cell r="AF185">
            <v>578.93357500000002</v>
          </cell>
          <cell r="AH185">
            <v>578.93357500000002</v>
          </cell>
          <cell r="AJ185">
            <v>0</v>
          </cell>
        </row>
        <row r="186">
          <cell r="H186" t="str">
            <v>2.500x1219.00x2200.00</v>
          </cell>
          <cell r="AF186">
            <v>526.30324999999993</v>
          </cell>
          <cell r="AH186">
            <v>526.30324999999993</v>
          </cell>
          <cell r="AJ186">
            <v>0</v>
          </cell>
        </row>
        <row r="187">
          <cell r="H187" t="str">
            <v>77004535</v>
          </cell>
          <cell r="AF187">
            <v>37.415376499999994</v>
          </cell>
          <cell r="AH187">
            <v>0</v>
          </cell>
          <cell r="AJ187">
            <v>37.415376499999994</v>
          </cell>
        </row>
        <row r="188">
          <cell r="H188" t="str">
            <v>77004192</v>
          </cell>
          <cell r="AF188">
            <v>1820</v>
          </cell>
          <cell r="AH188">
            <v>3192</v>
          </cell>
          <cell r="AJ188">
            <v>0</v>
          </cell>
        </row>
        <row r="189">
          <cell r="H189" t="str">
            <v>77004125</v>
          </cell>
          <cell r="AF189">
            <v>137.79576000000003</v>
          </cell>
          <cell r="AH189">
            <v>137.79576000000003</v>
          </cell>
          <cell r="AJ189">
            <v>0</v>
          </cell>
        </row>
        <row r="190">
          <cell r="H190" t="str">
            <v>77004192</v>
          </cell>
          <cell r="AF190">
            <v>1380</v>
          </cell>
          <cell r="AH190">
            <v>0</v>
          </cell>
          <cell r="AJ190">
            <v>1380</v>
          </cell>
        </row>
        <row r="191">
          <cell r="H191" t="str">
            <v>77004125</v>
          </cell>
          <cell r="AF191">
            <v>82.677456000000006</v>
          </cell>
          <cell r="AH191">
            <v>82.677456000000006</v>
          </cell>
          <cell r="AJ191">
            <v>0</v>
          </cell>
        </row>
        <row r="192">
          <cell r="H192" t="str">
            <v>77004201</v>
          </cell>
          <cell r="AF192">
            <v>1067.9171399999998</v>
          </cell>
          <cell r="AH192">
            <v>1067.9171399999998</v>
          </cell>
          <cell r="AJ192">
            <v>0</v>
          </cell>
        </row>
        <row r="193">
          <cell r="H193" t="str">
            <v>77004201</v>
          </cell>
          <cell r="AF193">
            <v>1067.9171399999998</v>
          </cell>
          <cell r="AH193">
            <v>1067.9171399999998</v>
          </cell>
          <cell r="AJ193">
            <v>0</v>
          </cell>
        </row>
        <row r="194">
          <cell r="H194" t="str">
            <v>77004201</v>
          </cell>
          <cell r="AF194">
            <v>533.9585699999999</v>
          </cell>
          <cell r="AH194">
            <v>533.9585699999999</v>
          </cell>
          <cell r="AJ194">
            <v>0</v>
          </cell>
        </row>
        <row r="195">
          <cell r="H195" t="str">
            <v>77004201</v>
          </cell>
          <cell r="AF195">
            <v>533.9585699999999</v>
          </cell>
          <cell r="AH195">
            <v>480.56271299999992</v>
          </cell>
          <cell r="AJ195">
            <v>53.395856999999992</v>
          </cell>
        </row>
        <row r="196">
          <cell r="H196" t="str">
            <v>77004146</v>
          </cell>
          <cell r="AF196">
            <v>2687.0173199999999</v>
          </cell>
          <cell r="AH196">
            <v>2687.0173199999999</v>
          </cell>
          <cell r="AJ196">
            <v>0</v>
          </cell>
        </row>
        <row r="197">
          <cell r="H197" t="str">
            <v>77004489</v>
          </cell>
          <cell r="AF197">
            <v>24.114258</v>
          </cell>
          <cell r="AH197">
            <v>24.114258</v>
          </cell>
          <cell r="AJ197">
            <v>0</v>
          </cell>
        </row>
        <row r="198">
          <cell r="H198" t="str">
            <v>77004282</v>
          </cell>
          <cell r="AF198">
            <v>76.553200000000004</v>
          </cell>
          <cell r="AH198">
            <v>76.553200000000004</v>
          </cell>
          <cell r="AJ198">
            <v>0</v>
          </cell>
        </row>
        <row r="199">
          <cell r="H199" t="str">
            <v>77004535</v>
          </cell>
          <cell r="AF199">
            <v>37.415376499999994</v>
          </cell>
          <cell r="AH199">
            <v>28.061532374999995</v>
          </cell>
          <cell r="AJ199">
            <v>9.3538441249999984</v>
          </cell>
        </row>
        <row r="200">
          <cell r="H200" t="str">
            <v>77004604</v>
          </cell>
          <cell r="AF200">
            <v>871.55818199999987</v>
          </cell>
          <cell r="AH200">
            <v>1743.1163639999997</v>
          </cell>
          <cell r="AJ200">
            <v>0</v>
          </cell>
        </row>
        <row r="201">
          <cell r="H201" t="str">
            <v>77003671</v>
          </cell>
          <cell r="AF201">
            <v>147.36491000000001</v>
          </cell>
          <cell r="AH201">
            <v>159.99618799999999</v>
          </cell>
          <cell r="AJ201">
            <v>0</v>
          </cell>
        </row>
        <row r="202">
          <cell r="H202" t="str">
            <v>77004218</v>
          </cell>
          <cell r="AF202">
            <v>60</v>
          </cell>
          <cell r="AH202">
            <v>95</v>
          </cell>
          <cell r="AJ202">
            <v>0</v>
          </cell>
        </row>
        <row r="203">
          <cell r="H203" t="str">
            <v>77004791</v>
          </cell>
          <cell r="AF203">
            <v>212.43512999999996</v>
          </cell>
          <cell r="AH203">
            <v>0</v>
          </cell>
          <cell r="AJ203">
            <v>212.43512999999996</v>
          </cell>
        </row>
        <row r="204">
          <cell r="H204" t="str">
            <v>77004447</v>
          </cell>
          <cell r="AF204">
            <v>26.181194400000003</v>
          </cell>
          <cell r="AH204">
            <v>26.181194400000003</v>
          </cell>
          <cell r="AJ204">
            <v>0</v>
          </cell>
        </row>
        <row r="205">
          <cell r="H205" t="str">
            <v>77004581</v>
          </cell>
          <cell r="AF205">
            <v>821.03306999999995</v>
          </cell>
          <cell r="AH205">
            <v>738.92976299999998</v>
          </cell>
          <cell r="AJ205">
            <v>82.103307000000001</v>
          </cell>
        </row>
        <row r="206">
          <cell r="H206" t="str">
            <v>77004433</v>
          </cell>
          <cell r="AF206">
            <v>14.698214400000001</v>
          </cell>
          <cell r="AH206">
            <v>12.248512000000002</v>
          </cell>
          <cell r="AJ206">
            <v>2.4497024000000005</v>
          </cell>
        </row>
        <row r="207">
          <cell r="H207" t="str">
            <v>77004579</v>
          </cell>
          <cell r="AF207">
            <v>117.12639599999999</v>
          </cell>
          <cell r="AH207">
            <v>1288.3903559999999</v>
          </cell>
          <cell r="AJ207">
            <v>0</v>
          </cell>
        </row>
        <row r="208">
          <cell r="H208" t="str">
            <v>77004571</v>
          </cell>
          <cell r="AF208">
            <v>401.90429999999998</v>
          </cell>
          <cell r="AH208">
            <v>401.90429999999998</v>
          </cell>
          <cell r="AJ208">
            <v>0</v>
          </cell>
        </row>
        <row r="209">
          <cell r="H209" t="str">
            <v>77004543</v>
          </cell>
          <cell r="AF209">
            <v>126.88692899999999</v>
          </cell>
          <cell r="AH209">
            <v>126.88692899999999</v>
          </cell>
          <cell r="AJ209">
            <v>0</v>
          </cell>
        </row>
        <row r="210">
          <cell r="H210" t="str">
            <v>77004540</v>
          </cell>
          <cell r="AF210">
            <v>29.855747999999998</v>
          </cell>
          <cell r="AH210">
            <v>0</v>
          </cell>
          <cell r="AJ210">
            <v>29.855747999999998</v>
          </cell>
        </row>
        <row r="211">
          <cell r="H211" t="str">
            <v>77004501</v>
          </cell>
          <cell r="AF211">
            <v>45.357771</v>
          </cell>
          <cell r="AH211">
            <v>45.357771</v>
          </cell>
          <cell r="AJ211">
            <v>0</v>
          </cell>
        </row>
        <row r="212">
          <cell r="H212" t="str">
            <v>77004531</v>
          </cell>
          <cell r="AF212">
            <v>38.956009649999984</v>
          </cell>
          <cell r="AH212">
            <v>38.956009649999984</v>
          </cell>
          <cell r="AJ212">
            <v>0</v>
          </cell>
        </row>
        <row r="213">
          <cell r="H213" t="str">
            <v>77004531</v>
          </cell>
          <cell r="AF213">
            <v>38.956009649999984</v>
          </cell>
          <cell r="AH213">
            <v>38.956009649999984</v>
          </cell>
          <cell r="AJ213">
            <v>0</v>
          </cell>
        </row>
        <row r="214">
          <cell r="H214" t="str">
            <v>77004688</v>
          </cell>
          <cell r="AF214">
            <v>421.04259999999999</v>
          </cell>
          <cell r="AH214">
            <v>421.04259999999999</v>
          </cell>
          <cell r="AJ214">
            <v>0</v>
          </cell>
        </row>
        <row r="215">
          <cell r="H215" t="str">
            <v>77004876</v>
          </cell>
          <cell r="AF215">
            <v>440.18090000000001</v>
          </cell>
          <cell r="AH215">
            <v>440.18090000000001</v>
          </cell>
          <cell r="AJ215">
            <v>0</v>
          </cell>
        </row>
        <row r="216">
          <cell r="H216" t="str">
            <v>77004604</v>
          </cell>
          <cell r="AF216">
            <v>2614.6745459999997</v>
          </cell>
          <cell r="AH216">
            <v>0</v>
          </cell>
          <cell r="AJ216">
            <v>2614.6745459999997</v>
          </cell>
        </row>
        <row r="217">
          <cell r="H217" t="str">
            <v>77003671</v>
          </cell>
          <cell r="AF217">
            <v>421.04259999999999</v>
          </cell>
          <cell r="AH217">
            <v>421.04259999999999</v>
          </cell>
          <cell r="AJ217">
            <v>0</v>
          </cell>
        </row>
        <row r="218">
          <cell r="H218" t="str">
            <v>77004559</v>
          </cell>
          <cell r="AF218">
            <v>597.11496000000011</v>
          </cell>
          <cell r="AH218">
            <v>597.11496000000011</v>
          </cell>
          <cell r="AJ218">
            <v>0</v>
          </cell>
        </row>
        <row r="219">
          <cell r="H219" t="str">
            <v>77004258</v>
          </cell>
          <cell r="AF219">
            <v>78.945487499999999</v>
          </cell>
          <cell r="AH219">
            <v>0</v>
          </cell>
          <cell r="AJ219">
            <v>78.945487499999999</v>
          </cell>
        </row>
        <row r="220">
          <cell r="H220" t="str">
            <v>77004234</v>
          </cell>
          <cell r="AF220">
            <v>60.955485499999995</v>
          </cell>
          <cell r="AH220">
            <v>60.955485499999995</v>
          </cell>
          <cell r="AJ220">
            <v>0</v>
          </cell>
        </row>
        <row r="221">
          <cell r="H221" t="str">
            <v>77004541</v>
          </cell>
          <cell r="AF221">
            <v>246.30992099999997</v>
          </cell>
          <cell r="AH221">
            <v>246.30992099999997</v>
          </cell>
          <cell r="AJ221">
            <v>0</v>
          </cell>
        </row>
        <row r="222">
          <cell r="H222" t="str">
            <v>77004536</v>
          </cell>
          <cell r="AF222">
            <v>95.739345749999984</v>
          </cell>
          <cell r="AH222">
            <v>95.739345749999984</v>
          </cell>
          <cell r="AJ222">
            <v>0</v>
          </cell>
        </row>
        <row r="223">
          <cell r="H223" t="str">
            <v>77004493</v>
          </cell>
          <cell r="AF223">
            <v>792.32561999999996</v>
          </cell>
          <cell r="AH223">
            <v>792.32561999999996</v>
          </cell>
          <cell r="AJ223">
            <v>0</v>
          </cell>
        </row>
        <row r="224">
          <cell r="H224" t="str">
            <v>77004494</v>
          </cell>
          <cell r="AF224">
            <v>535.87239999999997</v>
          </cell>
          <cell r="AH224">
            <v>535.87239999999997</v>
          </cell>
          <cell r="AJ224">
            <v>0</v>
          </cell>
        </row>
        <row r="225">
          <cell r="H225" t="str">
            <v>77004493</v>
          </cell>
          <cell r="AF225">
            <v>792.32561999999996</v>
          </cell>
          <cell r="AH225">
            <v>792.32561999999996</v>
          </cell>
          <cell r="AJ225">
            <v>0</v>
          </cell>
        </row>
        <row r="226">
          <cell r="H226" t="str">
            <v>77004477</v>
          </cell>
          <cell r="AF226">
            <v>244.01332499999998</v>
          </cell>
          <cell r="AH226">
            <v>244.01332499999998</v>
          </cell>
          <cell r="AJ226">
            <v>0</v>
          </cell>
        </row>
        <row r="227">
          <cell r="H227" t="str">
            <v>77004844</v>
          </cell>
          <cell r="AF227">
            <v>50.525112000000007</v>
          </cell>
          <cell r="AH227">
            <v>50.525112000000007</v>
          </cell>
          <cell r="AJ227">
            <v>0</v>
          </cell>
        </row>
        <row r="228">
          <cell r="H228" t="str">
            <v>77004564</v>
          </cell>
          <cell r="AF228">
            <v>1420.8273920000001</v>
          </cell>
          <cell r="AH228">
            <v>1420.8273920000001</v>
          </cell>
          <cell r="AJ228">
            <v>0</v>
          </cell>
        </row>
        <row r="229">
          <cell r="H229" t="str">
            <v>77004298</v>
          </cell>
          <cell r="AF229">
            <v>8.2677456000000014</v>
          </cell>
          <cell r="AH229">
            <v>8.2677456000000014</v>
          </cell>
          <cell r="AJ229">
            <v>0</v>
          </cell>
        </row>
        <row r="230">
          <cell r="H230" t="str">
            <v>2.00x183xCOIL</v>
          </cell>
          <cell r="AF230">
            <v>18000</v>
          </cell>
          <cell r="AH230">
            <v>0</v>
          </cell>
          <cell r="AJ230">
            <v>18000</v>
          </cell>
        </row>
        <row r="231">
          <cell r="H231" t="str">
            <v>SGCC-Z08 1.0x1219x820</v>
          </cell>
          <cell r="AF231">
            <v>235.40108999999998</v>
          </cell>
          <cell r="AH231">
            <v>235.40108999999998</v>
          </cell>
          <cell r="AJ231">
            <v>0</v>
          </cell>
        </row>
        <row r="232">
          <cell r="H232" t="str">
            <v>1.000X1000.00X1219.00</v>
          </cell>
          <cell r="AF232">
            <v>1818.1385</v>
          </cell>
          <cell r="AH232">
            <v>1818.1385</v>
          </cell>
          <cell r="AJ232">
            <v>0</v>
          </cell>
        </row>
        <row r="233">
          <cell r="H233" t="str">
            <v>SGCC-Z08 1.0x1219x1219</v>
          </cell>
          <cell r="AF233">
            <v>174.97190774999999</v>
          </cell>
          <cell r="AH233">
            <v>174.97190774999999</v>
          </cell>
          <cell r="AJ233">
            <v>0</v>
          </cell>
        </row>
        <row r="234">
          <cell r="H234" t="str">
            <v>1.000X1000.00X1500.00</v>
          </cell>
          <cell r="AF234">
            <v>353.25</v>
          </cell>
          <cell r="AH234">
            <v>353.25</v>
          </cell>
          <cell r="AJ234">
            <v>0</v>
          </cell>
        </row>
        <row r="235">
          <cell r="H235" t="str">
            <v>1.000X1219.00X1650.00</v>
          </cell>
          <cell r="AF235">
            <v>710.5093875</v>
          </cell>
          <cell r="AH235">
            <v>710.5093875</v>
          </cell>
          <cell r="AJ235">
            <v>0</v>
          </cell>
        </row>
        <row r="236">
          <cell r="H236" t="str">
            <v>RM600ST000026</v>
          </cell>
          <cell r="AF236">
            <v>4500</v>
          </cell>
          <cell r="AH236">
            <v>4268</v>
          </cell>
          <cell r="AJ236">
            <v>232</v>
          </cell>
        </row>
        <row r="237">
          <cell r="H237" t="str">
            <v>RM600ST000023</v>
          </cell>
          <cell r="AF237">
            <v>3000</v>
          </cell>
          <cell r="AH237">
            <v>1796</v>
          </cell>
          <cell r="AJ237">
            <v>1204</v>
          </cell>
        </row>
        <row r="238">
          <cell r="H238" t="str">
            <v>RM600ST000026</v>
          </cell>
          <cell r="AF238">
            <v>7500</v>
          </cell>
          <cell r="AH238">
            <v>7499</v>
          </cell>
          <cell r="AJ238">
            <v>1</v>
          </cell>
        </row>
        <row r="239">
          <cell r="H239" t="str">
            <v>RM600ST000027</v>
          </cell>
          <cell r="AF239">
            <v>1000</v>
          </cell>
          <cell r="AH239">
            <v>1140</v>
          </cell>
          <cell r="AJ239">
            <v>0</v>
          </cell>
        </row>
        <row r="240">
          <cell r="H240" t="str">
            <v>RCS14001004</v>
          </cell>
          <cell r="AF240">
            <v>6000</v>
          </cell>
          <cell r="AH240">
            <v>11016</v>
          </cell>
          <cell r="AJ240">
            <v>0</v>
          </cell>
        </row>
        <row r="241">
          <cell r="H241" t="str">
            <v>1.6X57XCOIL</v>
          </cell>
          <cell r="AF241">
            <v>260</v>
          </cell>
          <cell r="AH241">
            <v>250</v>
          </cell>
          <cell r="AJ241">
            <v>10</v>
          </cell>
        </row>
        <row r="242">
          <cell r="H242" t="str">
            <v>14SP08-C195-00</v>
          </cell>
          <cell r="AF242">
            <v>63.260952000000003</v>
          </cell>
          <cell r="AH242">
            <v>63.260952000000003</v>
          </cell>
          <cell r="AJ242">
            <v>0</v>
          </cell>
        </row>
        <row r="243">
          <cell r="H243" t="str">
            <v>14SP20-C265-00</v>
          </cell>
          <cell r="AF243">
            <v>57.501250000000006</v>
          </cell>
          <cell r="AH243">
            <v>57.501250000000006</v>
          </cell>
          <cell r="AJ243">
            <v>0</v>
          </cell>
        </row>
        <row r="244">
          <cell r="H244" t="str">
            <v>14SP16-A15-00</v>
          </cell>
          <cell r="AF244">
            <v>1000</v>
          </cell>
          <cell r="AH244">
            <v>232</v>
          </cell>
          <cell r="AJ244">
            <v>-232</v>
          </cell>
        </row>
        <row r="245">
          <cell r="H245" t="str">
            <v>14SP18-A22-02</v>
          </cell>
          <cell r="AF245">
            <v>200</v>
          </cell>
          <cell r="AH245">
            <v>260</v>
          </cell>
          <cell r="AJ245">
            <v>0</v>
          </cell>
        </row>
        <row r="246">
          <cell r="H246" t="str">
            <v>13SG06-D13-01</v>
          </cell>
          <cell r="AF246">
            <v>9159.9228432</v>
          </cell>
          <cell r="AH246">
            <v>6106.6152288000003</v>
          </cell>
          <cell r="AJ246">
            <v>3053.3076144000001</v>
          </cell>
        </row>
        <row r="247">
          <cell r="H247" t="str">
            <v>14SG06-D23-01</v>
          </cell>
          <cell r="AF247">
            <v>144.68554799999998</v>
          </cell>
          <cell r="AH247">
            <v>144.68554799999998</v>
          </cell>
          <cell r="AJ247">
            <v>0</v>
          </cell>
        </row>
        <row r="248">
          <cell r="H248" t="str">
            <v>13SG06-D28-01</v>
          </cell>
          <cell r="AF248">
            <v>7800.3333953999991</v>
          </cell>
          <cell r="AH248">
            <v>0</v>
          </cell>
          <cell r="AJ248">
            <v>7800.3333953999991</v>
          </cell>
        </row>
        <row r="249">
          <cell r="H249" t="str">
            <v>13SG06-D29-01</v>
          </cell>
          <cell r="AF249">
            <v>9099.3579893999995</v>
          </cell>
          <cell r="AH249">
            <v>0</v>
          </cell>
          <cell r="AJ249">
            <v>9099.3579893999995</v>
          </cell>
        </row>
        <row r="250">
          <cell r="H250" t="str">
            <v>13SG06-D30-01</v>
          </cell>
          <cell r="AF250">
            <v>7546.8911590799999</v>
          </cell>
          <cell r="AH250">
            <v>0</v>
          </cell>
          <cell r="AJ250">
            <v>7546.8911590799999</v>
          </cell>
        </row>
        <row r="251">
          <cell r="H251" t="str">
            <v>13SG06-D31-01</v>
          </cell>
          <cell r="AF251">
            <v>8803.7088778800007</v>
          </cell>
          <cell r="AH251">
            <v>0</v>
          </cell>
          <cell r="AJ251">
            <v>8803.7088778800007</v>
          </cell>
        </row>
        <row r="252">
          <cell r="H252" t="str">
            <v>13SG16-D22-01</v>
          </cell>
          <cell r="AF252">
            <v>2083.1513600000003</v>
          </cell>
          <cell r="AH252">
            <v>2083.1513600000003</v>
          </cell>
          <cell r="AJ252">
            <v>0</v>
          </cell>
        </row>
        <row r="253">
          <cell r="H253" t="str">
            <v>14SG16-D92-00</v>
          </cell>
          <cell r="AF253">
            <v>1200.6837504000002</v>
          </cell>
          <cell r="AH253">
            <v>1200.6837504000002</v>
          </cell>
          <cell r="AJ253">
            <v>0</v>
          </cell>
        </row>
        <row r="254">
          <cell r="H254" t="str">
            <v>2.0*132*Coil</v>
          </cell>
          <cell r="AF254">
            <v>1500</v>
          </cell>
          <cell r="AH254">
            <v>1712</v>
          </cell>
          <cell r="AJ254">
            <v>0</v>
          </cell>
        </row>
        <row r="255">
          <cell r="H255" t="str">
            <v>14SG06-D104-00</v>
          </cell>
          <cell r="AF255">
            <v>1572.8668200000002</v>
          </cell>
          <cell r="AH255">
            <v>0</v>
          </cell>
          <cell r="AJ255">
            <v>1572.8668200000002</v>
          </cell>
        </row>
        <row r="256">
          <cell r="H256" t="str">
            <v>14SG16-D95-00</v>
          </cell>
          <cell r="AF256">
            <v>738.37728000000004</v>
          </cell>
          <cell r="AH256">
            <v>738.37728000000004</v>
          </cell>
          <cell r="AJ256">
            <v>0</v>
          </cell>
        </row>
        <row r="257">
          <cell r="H257" t="str">
            <v>14SP32-K77-01</v>
          </cell>
          <cell r="AF257">
            <v>129.14192</v>
          </cell>
          <cell r="AH257">
            <v>0</v>
          </cell>
          <cell r="AJ257">
            <v>129.14192</v>
          </cell>
        </row>
        <row r="258">
          <cell r="H258" t="str">
            <v>30023761,30023763</v>
          </cell>
          <cell r="AF258">
            <v>164.78076300000001</v>
          </cell>
          <cell r="AH258">
            <v>0</v>
          </cell>
          <cell r="AJ258">
            <v>164.78076300000001</v>
          </cell>
        </row>
        <row r="259">
          <cell r="H259" t="str">
            <v>6.0x148x1219</v>
          </cell>
          <cell r="AF259">
            <v>169.948104</v>
          </cell>
          <cell r="AH259">
            <v>169.948104</v>
          </cell>
          <cell r="AJ259">
            <v>0</v>
          </cell>
        </row>
        <row r="260">
          <cell r="H260" t="str">
            <v>77004642</v>
          </cell>
          <cell r="AF260">
            <v>1532.97783</v>
          </cell>
          <cell r="AH260">
            <v>1553.4175344</v>
          </cell>
          <cell r="AJ260">
            <v>0</v>
          </cell>
        </row>
        <row r="261">
          <cell r="H261" t="str">
            <v>30041945</v>
          </cell>
          <cell r="AF261">
            <v>8000</v>
          </cell>
          <cell r="AH261">
            <v>6020</v>
          </cell>
          <cell r="AJ261">
            <v>-6020</v>
          </cell>
        </row>
        <row r="262">
          <cell r="H262" t="str">
            <v>77004480</v>
          </cell>
          <cell r="AF262">
            <v>101.43298999999999</v>
          </cell>
          <cell r="AH262">
            <v>101.43298999999999</v>
          </cell>
          <cell r="AJ262">
            <v>0</v>
          </cell>
        </row>
        <row r="263">
          <cell r="H263" t="str">
            <v>77006081</v>
          </cell>
          <cell r="AF263">
            <v>176.83789200000001</v>
          </cell>
          <cell r="AH263">
            <v>176.83789200000001</v>
          </cell>
          <cell r="AJ263">
            <v>0</v>
          </cell>
        </row>
        <row r="264">
          <cell r="H264" t="str">
            <v>77004337</v>
          </cell>
          <cell r="AF264">
            <v>267.93619999999999</v>
          </cell>
          <cell r="AH264">
            <v>267.93619999999999</v>
          </cell>
          <cell r="AJ264">
            <v>0</v>
          </cell>
        </row>
        <row r="265">
          <cell r="H265" t="str">
            <v>77006010</v>
          </cell>
          <cell r="AF265">
            <v>206.69363999999996</v>
          </cell>
          <cell r="AH265">
            <v>206.69363999999996</v>
          </cell>
          <cell r="AJ265">
            <v>0</v>
          </cell>
        </row>
        <row r="266">
          <cell r="H266" t="str">
            <v>77004446</v>
          </cell>
          <cell r="AF266">
            <v>84.208520000000007</v>
          </cell>
          <cell r="AH266">
            <v>84.208520000000007</v>
          </cell>
          <cell r="AJ266">
            <v>0</v>
          </cell>
        </row>
        <row r="267">
          <cell r="H267" t="str">
            <v>77004466</v>
          </cell>
          <cell r="AF267">
            <v>734.91072000000008</v>
          </cell>
          <cell r="AH267">
            <v>727.56161280000003</v>
          </cell>
          <cell r="AJ267">
            <v>7.3491072000000006</v>
          </cell>
        </row>
        <row r="268">
          <cell r="H268" t="str">
            <v>77004457</v>
          </cell>
          <cell r="AF268">
            <v>895.67243999999994</v>
          </cell>
          <cell r="AH268">
            <v>895.67243999999994</v>
          </cell>
          <cell r="AJ268">
            <v>0</v>
          </cell>
        </row>
        <row r="269">
          <cell r="H269" t="str">
            <v>1.600X48.00X1219.00</v>
          </cell>
          <cell r="AF269">
            <v>955.38393600000006</v>
          </cell>
          <cell r="AH269">
            <v>955.38393600000006</v>
          </cell>
          <cell r="AJ269">
            <v>0</v>
          </cell>
        </row>
        <row r="270">
          <cell r="H270" t="str">
            <v>77004434</v>
          </cell>
          <cell r="AF270">
            <v>177.60342399999999</v>
          </cell>
          <cell r="AH270">
            <v>177.60342399999999</v>
          </cell>
          <cell r="AJ270">
            <v>0</v>
          </cell>
        </row>
        <row r="271">
          <cell r="H271" t="str">
            <v>77004449</v>
          </cell>
          <cell r="AF271">
            <v>137.79576</v>
          </cell>
          <cell r="AH271">
            <v>137.79576</v>
          </cell>
          <cell r="AJ271">
            <v>0</v>
          </cell>
        </row>
        <row r="272">
          <cell r="H272" t="str">
            <v>77004429</v>
          </cell>
          <cell r="AF272">
            <v>149.27874</v>
          </cell>
          <cell r="AH272">
            <v>149.27874</v>
          </cell>
          <cell r="AJ272">
            <v>0</v>
          </cell>
        </row>
        <row r="273">
          <cell r="H273" t="str">
            <v>77000466</v>
          </cell>
          <cell r="AF273">
            <v>67.979241599999995</v>
          </cell>
          <cell r="AH273">
            <v>67.979241599999995</v>
          </cell>
          <cell r="AJ273">
            <v>0</v>
          </cell>
        </row>
        <row r="274">
          <cell r="H274" t="str">
            <v>77004068</v>
          </cell>
          <cell r="AF274">
            <v>11.195905499999999</v>
          </cell>
          <cell r="AH274">
            <v>11.195905499999999</v>
          </cell>
          <cell r="AJ274">
            <v>0</v>
          </cell>
        </row>
        <row r="275">
          <cell r="H275" t="str">
            <v>0.6X556X561</v>
          </cell>
          <cell r="AF275">
            <v>2938.2487199999996</v>
          </cell>
          <cell r="AH275">
            <v>2938.2487199999996</v>
          </cell>
          <cell r="AJ275">
            <v>0</v>
          </cell>
        </row>
        <row r="276">
          <cell r="H276" t="str">
            <v>0.6X556X561</v>
          </cell>
          <cell r="AF276">
            <v>2938.2487199999996</v>
          </cell>
          <cell r="AH276">
            <v>2738.44780704</v>
          </cell>
          <cell r="AJ276">
            <v>199.80091295999998</v>
          </cell>
        </row>
        <row r="277">
          <cell r="H277" t="str">
            <v>0.6X556X561</v>
          </cell>
          <cell r="AF277">
            <v>4407.3730799999994</v>
          </cell>
          <cell r="AH277">
            <v>4306.0034991599996</v>
          </cell>
          <cell r="AJ277">
            <v>101.36958084</v>
          </cell>
        </row>
        <row r="278">
          <cell r="H278" t="str">
            <v>0.6X556X561</v>
          </cell>
          <cell r="AF278">
            <v>1469.1243599999998</v>
          </cell>
          <cell r="AH278">
            <v>1469.1243599999998</v>
          </cell>
          <cell r="AJ278">
            <v>0</v>
          </cell>
        </row>
        <row r="279">
          <cell r="H279" t="str">
            <v>5.00x200.00x1239.00</v>
          </cell>
          <cell r="AF279">
            <v>1497.8271</v>
          </cell>
          <cell r="AH279">
            <v>0</v>
          </cell>
          <cell r="AJ279">
            <v>1497.8271</v>
          </cell>
        </row>
        <row r="280">
          <cell r="H280" t="str">
            <v>0.50x488X610</v>
          </cell>
          <cell r="AF280">
            <v>1448.8085599999999</v>
          </cell>
          <cell r="AH280">
            <v>1369.3577679999999</v>
          </cell>
          <cell r="AJ280">
            <v>79.450791999999993</v>
          </cell>
        </row>
        <row r="281">
          <cell r="H281" t="str">
            <v>0.6x488X610</v>
          </cell>
          <cell r="AF281">
            <v>1280.0924663999999</v>
          </cell>
          <cell r="AH281">
            <v>1236.6282096</v>
          </cell>
          <cell r="AJ281">
            <v>43.464256800000001</v>
          </cell>
        </row>
        <row r="282">
          <cell r="H282" t="str">
            <v>0.8X375X610</v>
          </cell>
          <cell r="AF282">
            <v>1005.585</v>
          </cell>
          <cell r="AH282">
            <v>1001.27535</v>
          </cell>
          <cell r="AJ282">
            <v>4.3096499999999995</v>
          </cell>
        </row>
        <row r="283">
          <cell r="H283" t="str">
            <v>0.9X375X610</v>
          </cell>
          <cell r="AF283">
            <v>2003.9872500000001</v>
          </cell>
          <cell r="AH283">
            <v>2010.4517250000001</v>
          </cell>
          <cell r="AJ283">
            <v>0</v>
          </cell>
        </row>
        <row r="284">
          <cell r="H284" t="str">
            <v>0.5x400x550</v>
          </cell>
          <cell r="AF284">
            <v>1003.3870000000001</v>
          </cell>
          <cell r="AH284">
            <v>848.82050000000004</v>
          </cell>
          <cell r="AJ284">
            <v>154.56650000000002</v>
          </cell>
        </row>
        <row r="285">
          <cell r="H285" t="str">
            <v>77004817</v>
          </cell>
          <cell r="AF285">
            <v>74.654680639999995</v>
          </cell>
          <cell r="AH285">
            <v>0</v>
          </cell>
          <cell r="AJ285">
            <v>74.654680639999995</v>
          </cell>
        </row>
        <row r="286">
          <cell r="H286" t="str">
            <v>77004818</v>
          </cell>
          <cell r="AF286">
            <v>116.64793849999998</v>
          </cell>
          <cell r="AH286">
            <v>0</v>
          </cell>
          <cell r="AJ286">
            <v>116.64793849999998</v>
          </cell>
        </row>
        <row r="287">
          <cell r="H287" t="str">
            <v>77004819</v>
          </cell>
          <cell r="AF287">
            <v>111.98202096</v>
          </cell>
          <cell r="AH287">
            <v>0</v>
          </cell>
          <cell r="AJ287">
            <v>111.98202096</v>
          </cell>
        </row>
        <row r="288">
          <cell r="H288" t="str">
            <v>1.4x1219x2438</v>
          </cell>
          <cell r="AF288">
            <v>163.30711389999999</v>
          </cell>
          <cell r="AH288">
            <v>0</v>
          </cell>
          <cell r="AJ288">
            <v>163.30711389999999</v>
          </cell>
        </row>
        <row r="289">
          <cell r="H289" t="str">
            <v>77004823</v>
          </cell>
          <cell r="AF289">
            <v>186.63670159999998</v>
          </cell>
          <cell r="AH289">
            <v>0</v>
          </cell>
          <cell r="AJ289">
            <v>186.63670159999998</v>
          </cell>
        </row>
        <row r="290">
          <cell r="H290" t="str">
            <v>77004815</v>
          </cell>
          <cell r="AF290">
            <v>466.59175399999992</v>
          </cell>
          <cell r="AH290">
            <v>0</v>
          </cell>
          <cell r="AJ290">
            <v>466.59175399999992</v>
          </cell>
        </row>
        <row r="291">
          <cell r="H291" t="str">
            <v>77004813</v>
          </cell>
          <cell r="AF291">
            <v>676.55804330000001</v>
          </cell>
          <cell r="AH291">
            <v>0</v>
          </cell>
          <cell r="AJ291">
            <v>676.55804330000001</v>
          </cell>
        </row>
        <row r="292">
          <cell r="H292" t="str">
            <v>77004809</v>
          </cell>
          <cell r="AF292">
            <v>1493.0936127999998</v>
          </cell>
          <cell r="AH292">
            <v>0</v>
          </cell>
          <cell r="AJ292">
            <v>1493.0936127999998</v>
          </cell>
        </row>
        <row r="293">
          <cell r="H293" t="str">
            <v>77004810</v>
          </cell>
          <cell r="AF293">
            <v>4665.9175399999995</v>
          </cell>
          <cell r="AH293">
            <v>0</v>
          </cell>
          <cell r="AJ293">
            <v>4665.9175399999995</v>
          </cell>
        </row>
        <row r="294">
          <cell r="H294" t="str">
            <v>77004812</v>
          </cell>
          <cell r="AF294">
            <v>606.56928019999998</v>
          </cell>
          <cell r="AH294">
            <v>0</v>
          </cell>
          <cell r="AJ294">
            <v>606.56928019999998</v>
          </cell>
        </row>
        <row r="295">
          <cell r="H295" t="str">
            <v>77004814</v>
          </cell>
          <cell r="AF295">
            <v>373.27340319999996</v>
          </cell>
          <cell r="AH295">
            <v>0</v>
          </cell>
          <cell r="AJ295">
            <v>373.27340319999996</v>
          </cell>
        </row>
        <row r="296">
          <cell r="H296" t="str">
            <v>77004816</v>
          </cell>
          <cell r="AF296">
            <v>524.91572324999993</v>
          </cell>
          <cell r="AH296">
            <v>0</v>
          </cell>
          <cell r="AJ296">
            <v>524.91572324999993</v>
          </cell>
        </row>
        <row r="297">
          <cell r="H297" t="str">
            <v>1.40x180.00x1219.00</v>
          </cell>
          <cell r="AF297">
            <v>3134.8535400000001</v>
          </cell>
          <cell r="AH297">
            <v>3120.3849851999998</v>
          </cell>
          <cell r="AJ297">
            <v>14.4685548</v>
          </cell>
        </row>
        <row r="298">
          <cell r="H298" t="str">
            <v>1.60x343.00x1219.00</v>
          </cell>
          <cell r="AF298">
            <v>945.2789135999999</v>
          </cell>
          <cell r="AH298">
            <v>945.2789135999999</v>
          </cell>
          <cell r="AJ298">
            <v>0</v>
          </cell>
        </row>
        <row r="299">
          <cell r="H299" t="str">
            <v>77004821</v>
          </cell>
          <cell r="AF299">
            <v>186.63670159999998</v>
          </cell>
          <cell r="AH299">
            <v>0</v>
          </cell>
          <cell r="AJ299">
            <v>186.63670159999998</v>
          </cell>
        </row>
        <row r="300">
          <cell r="H300" t="str">
            <v>77004823</v>
          </cell>
          <cell r="AF300">
            <v>186.63670159999998</v>
          </cell>
          <cell r="AH300">
            <v>373.27340319999996</v>
          </cell>
          <cell r="AJ300">
            <v>0</v>
          </cell>
        </row>
        <row r="301">
          <cell r="H301" t="str">
            <v>77004827</v>
          </cell>
          <cell r="AF301">
            <v>746.54680639999992</v>
          </cell>
          <cell r="AH301">
            <v>746.54680639999992</v>
          </cell>
          <cell r="AJ301">
            <v>0</v>
          </cell>
        </row>
        <row r="302">
          <cell r="H302" t="str">
            <v>77004809</v>
          </cell>
          <cell r="AF302">
            <v>1679.7303144</v>
          </cell>
          <cell r="AH302">
            <v>1679.7303144</v>
          </cell>
          <cell r="AJ302">
            <v>0</v>
          </cell>
        </row>
        <row r="303">
          <cell r="H303" t="str">
            <v>77004810</v>
          </cell>
          <cell r="AF303">
            <v>3732.7340319999994</v>
          </cell>
          <cell r="AH303">
            <v>3732.7340319999994</v>
          </cell>
          <cell r="AJ303">
            <v>0</v>
          </cell>
        </row>
        <row r="304">
          <cell r="H304" t="str">
            <v>77004816</v>
          </cell>
          <cell r="AF304">
            <v>524.91572324999993</v>
          </cell>
          <cell r="AH304">
            <v>524.91572324999993</v>
          </cell>
          <cell r="AJ304">
            <v>0</v>
          </cell>
        </row>
        <row r="305">
          <cell r="H305" t="str">
            <v>77004825</v>
          </cell>
          <cell r="AF305">
            <v>3219.4831025999993</v>
          </cell>
          <cell r="AH305">
            <v>3219.4831025999993</v>
          </cell>
          <cell r="AJ305">
            <v>0</v>
          </cell>
        </row>
        <row r="306">
          <cell r="H306" t="str">
            <v>1.4x1219x2438</v>
          </cell>
          <cell r="AF306">
            <v>163.30711389999999</v>
          </cell>
          <cell r="AH306">
            <v>0</v>
          </cell>
          <cell r="AJ306">
            <v>163.30711389999999</v>
          </cell>
        </row>
        <row r="307">
          <cell r="H307" t="str">
            <v>77004823</v>
          </cell>
          <cell r="AF307">
            <v>373.27340319999996</v>
          </cell>
          <cell r="AH307">
            <v>559.9101048</v>
          </cell>
          <cell r="AJ307">
            <v>0</v>
          </cell>
        </row>
        <row r="308">
          <cell r="H308" t="str">
            <v>77004929-TSD</v>
          </cell>
          <cell r="AF308">
            <v>135.21208949999996</v>
          </cell>
          <cell r="AH308">
            <v>0</v>
          </cell>
          <cell r="AJ308">
            <v>135.21208949999996</v>
          </cell>
        </row>
        <row r="309">
          <cell r="H309" t="str">
            <v>77004209</v>
          </cell>
          <cell r="AF309">
            <v>717.68624999999997</v>
          </cell>
          <cell r="AH309">
            <v>0</v>
          </cell>
          <cell r="AJ309">
            <v>717.68624999999997</v>
          </cell>
        </row>
        <row r="310">
          <cell r="H310" t="str">
            <v>1.40x265.00x1219.00</v>
          </cell>
          <cell r="AF310">
            <v>177.50773249999997</v>
          </cell>
          <cell r="AH310">
            <v>0</v>
          </cell>
          <cell r="AJ310">
            <v>177.50773249999997</v>
          </cell>
        </row>
        <row r="311">
          <cell r="H311" t="str">
            <v>1.40x1219.00x160.00</v>
          </cell>
          <cell r="AF311">
            <v>257.21875199999994</v>
          </cell>
          <cell r="AH311">
            <v>0</v>
          </cell>
          <cell r="AJ311">
            <v>257.21875199999994</v>
          </cell>
        </row>
        <row r="312">
          <cell r="H312" t="str">
            <v>1.40x1219x183</v>
          </cell>
          <cell r="AF312">
            <v>1348.3889264999998</v>
          </cell>
          <cell r="AH312">
            <v>0</v>
          </cell>
          <cell r="AJ312">
            <v>1348.3889264999998</v>
          </cell>
        </row>
        <row r="313">
          <cell r="H313" t="str">
            <v>77004641</v>
          </cell>
          <cell r="AF313">
            <v>1065.6205439999999</v>
          </cell>
          <cell r="AH313">
            <v>0</v>
          </cell>
          <cell r="AJ313">
            <v>1065.6205439999999</v>
          </cell>
        </row>
        <row r="314">
          <cell r="H314" t="str">
            <v>77004416</v>
          </cell>
          <cell r="AF314">
            <v>8396.9291249999987</v>
          </cell>
          <cell r="AH314">
            <v>0</v>
          </cell>
          <cell r="AJ314">
            <v>8396.9291249999987</v>
          </cell>
        </row>
        <row r="315">
          <cell r="H315" t="str">
            <v>1.40x180.00x1219.00</v>
          </cell>
          <cell r="AF315">
            <v>2290.8545100000001</v>
          </cell>
          <cell r="AH315">
            <v>0</v>
          </cell>
          <cell r="AJ315">
            <v>2290.8545100000001</v>
          </cell>
        </row>
        <row r="316">
          <cell r="H316" t="str">
            <v>77004811</v>
          </cell>
          <cell r="AF316">
            <v>321.94831025999991</v>
          </cell>
          <cell r="AH316">
            <v>0</v>
          </cell>
          <cell r="AJ316">
            <v>321.94831025999991</v>
          </cell>
        </row>
        <row r="317">
          <cell r="H317" t="str">
            <v>77004824</v>
          </cell>
          <cell r="AF317">
            <v>9331.8350799999989</v>
          </cell>
          <cell r="AH317">
            <v>0</v>
          </cell>
          <cell r="AJ317">
            <v>9331.8350799999989</v>
          </cell>
        </row>
        <row r="318">
          <cell r="H318" t="str">
            <v>77004827</v>
          </cell>
          <cell r="AF318">
            <v>746.54680639999992</v>
          </cell>
          <cell r="AH318">
            <v>0</v>
          </cell>
          <cell r="AJ318">
            <v>746.54680639999992</v>
          </cell>
        </row>
        <row r="319">
          <cell r="H319" t="str">
            <v>SPHC-P/O 1.60X377.00X249.00</v>
          </cell>
          <cell r="AF319">
            <v>28.297077119999997</v>
          </cell>
          <cell r="AH319">
            <v>28.297077119999997</v>
          </cell>
          <cell r="AJ319">
            <v>0</v>
          </cell>
        </row>
        <row r="320">
          <cell r="H320" t="str">
            <v>0.50x860.00x2438.00</v>
          </cell>
          <cell r="AF320">
            <v>1777.565304</v>
          </cell>
          <cell r="AH320">
            <v>0</v>
          </cell>
          <cell r="AJ320">
            <v>1777.565304</v>
          </cell>
        </row>
        <row r="321">
          <cell r="H321" t="str">
            <v>2x330xCoil</v>
          </cell>
          <cell r="AF321">
            <v>1200</v>
          </cell>
          <cell r="AH321">
            <v>0</v>
          </cell>
          <cell r="AJ321">
            <v>1200</v>
          </cell>
        </row>
        <row r="322">
          <cell r="H322" t="str">
            <v>1.60X315X550</v>
          </cell>
          <cell r="AF322">
            <v>3046.4279999999999</v>
          </cell>
          <cell r="AH322">
            <v>3166.1090999999997</v>
          </cell>
          <cell r="AJ322">
            <v>0</v>
          </cell>
        </row>
        <row r="323">
          <cell r="H323" t="str">
            <v>2x330xCoil</v>
          </cell>
          <cell r="AF323">
            <v>3700</v>
          </cell>
          <cell r="AH323">
            <v>4074</v>
          </cell>
          <cell r="AJ323">
            <v>0</v>
          </cell>
        </row>
        <row r="324">
          <cell r="H324" t="str">
            <v>1.60X315X550</v>
          </cell>
          <cell r="AF324">
            <v>15232.14</v>
          </cell>
          <cell r="AH324">
            <v>11826.668699999998</v>
          </cell>
          <cell r="AJ324">
            <v>3405.4712999999997</v>
          </cell>
        </row>
        <row r="325">
          <cell r="H325" t="str">
            <v>0.45X130.50XC</v>
          </cell>
          <cell r="AF325">
            <v>1150</v>
          </cell>
          <cell r="AH325">
            <v>0</v>
          </cell>
          <cell r="AJ325">
            <v>1150</v>
          </cell>
        </row>
        <row r="326">
          <cell r="H326" t="str">
            <v>1.60X43.80X745</v>
          </cell>
          <cell r="AF326">
            <v>163.93814400000002</v>
          </cell>
          <cell r="AH326">
            <v>491.81443200000007</v>
          </cell>
          <cell r="AJ326">
            <v>0</v>
          </cell>
        </row>
        <row r="327">
          <cell r="H327" t="str">
            <v>1.6X43.8X830</v>
          </cell>
          <cell r="AF327">
            <v>365.28499200000005</v>
          </cell>
          <cell r="AH327">
            <v>365.28499200000005</v>
          </cell>
          <cell r="AJ327">
            <v>0</v>
          </cell>
        </row>
        <row r="328">
          <cell r="H328" t="str">
            <v>1.6X43.8X855</v>
          </cell>
          <cell r="AF328">
            <v>470.35944000000006</v>
          </cell>
          <cell r="AH328">
            <v>1317.0064320000001</v>
          </cell>
          <cell r="AJ328">
            <v>0</v>
          </cell>
        </row>
        <row r="329">
          <cell r="H329" t="str">
            <v>1.6X43.8X795</v>
          </cell>
          <cell r="AF329">
            <v>437.35176000000001</v>
          </cell>
          <cell r="AH329">
            <v>348.56935272000004</v>
          </cell>
          <cell r="AJ329">
            <v>88.782407280000001</v>
          </cell>
        </row>
        <row r="330">
          <cell r="H330" t="str">
            <v>1.60X43.80X820</v>
          </cell>
          <cell r="AF330">
            <v>541.32595200000003</v>
          </cell>
          <cell r="AH330">
            <v>90.220991999999995</v>
          </cell>
          <cell r="AJ330">
            <v>451.10496000000001</v>
          </cell>
        </row>
        <row r="331">
          <cell r="H331" t="str">
            <v>1.2X74.4x509</v>
          </cell>
          <cell r="AF331">
            <v>428.0779584</v>
          </cell>
          <cell r="AH331">
            <v>285.38530560000004</v>
          </cell>
          <cell r="AJ331">
            <v>142.69265280000002</v>
          </cell>
        </row>
        <row r="332">
          <cell r="H332" t="str">
            <v>1.2X74.4x709</v>
          </cell>
          <cell r="AF332">
            <v>397.52098560000007</v>
          </cell>
          <cell r="AH332">
            <v>496.90123200000011</v>
          </cell>
          <cell r="AJ332">
            <v>0</v>
          </cell>
        </row>
        <row r="333">
          <cell r="H333" t="str">
            <v>1.2X74.4x1309</v>
          </cell>
          <cell r="AF333">
            <v>183.48200640000002</v>
          </cell>
          <cell r="AH333">
            <v>366.96401280000003</v>
          </cell>
          <cell r="AJ333">
            <v>0</v>
          </cell>
        </row>
        <row r="334">
          <cell r="H334" t="str">
            <v>1.2X74.4x909</v>
          </cell>
          <cell r="AF334">
            <v>1783.7983296</v>
          </cell>
          <cell r="AH334">
            <v>581.00859878400001</v>
          </cell>
          <cell r="AJ334">
            <v>1202.789730816</v>
          </cell>
        </row>
        <row r="335">
          <cell r="H335" t="str">
            <v>1.2X74.4x1109</v>
          </cell>
          <cell r="AF335">
            <v>621.79234559999998</v>
          </cell>
          <cell r="AH335">
            <v>921.02991192000002</v>
          </cell>
          <cell r="AJ335">
            <v>0</v>
          </cell>
        </row>
        <row r="336">
          <cell r="H336" t="str">
            <v>1.60X43.80X627.00</v>
          </cell>
          <cell r="AF336">
            <v>68.986051200000006</v>
          </cell>
          <cell r="AH336">
            <v>68.986051200000006</v>
          </cell>
          <cell r="AJ336">
            <v>0</v>
          </cell>
        </row>
        <row r="337">
          <cell r="H337" t="str">
            <v>NSH480 P147</v>
          </cell>
          <cell r="AF337">
            <v>85.819968000000003</v>
          </cell>
          <cell r="AH337">
            <v>80.241670080000006</v>
          </cell>
          <cell r="AJ337">
            <v>5.5782979199999998</v>
          </cell>
        </row>
        <row r="338">
          <cell r="H338" t="str">
            <v>NSH482 P147</v>
          </cell>
          <cell r="AF338">
            <v>85.819968000000003</v>
          </cell>
          <cell r="AH338">
            <v>80.241670080000006</v>
          </cell>
          <cell r="AJ338">
            <v>5.5782979199999998</v>
          </cell>
        </row>
        <row r="339">
          <cell r="H339" t="str">
            <v>2.30x42.00xcoil</v>
          </cell>
          <cell r="AF339">
            <v>181</v>
          </cell>
          <cell r="AH339">
            <v>240</v>
          </cell>
          <cell r="AJ339">
            <v>0</v>
          </cell>
        </row>
        <row r="340">
          <cell r="H340" t="str">
            <v>NSH4082 P111</v>
          </cell>
          <cell r="AF340">
            <v>66.235411200000001</v>
          </cell>
          <cell r="AH340">
            <v>66.235411200000001</v>
          </cell>
          <cell r="AJ340">
            <v>0</v>
          </cell>
        </row>
        <row r="341">
          <cell r="H341" t="str">
            <v>5.00x66.00x1490</v>
          </cell>
          <cell r="AF341">
            <v>192.99225000000001</v>
          </cell>
          <cell r="AH341">
            <v>192.99225000000001</v>
          </cell>
          <cell r="AJ341">
            <v>0</v>
          </cell>
        </row>
        <row r="342">
          <cell r="H342" t="str">
            <v>5.0 x 66 x 1550</v>
          </cell>
          <cell r="AF342">
            <v>361.37475000000001</v>
          </cell>
          <cell r="AH342">
            <v>361.37475000000001</v>
          </cell>
          <cell r="AJ342">
            <v>0</v>
          </cell>
        </row>
        <row r="343">
          <cell r="H343" t="str">
            <v>4.0 x 176 x 1219</v>
          </cell>
          <cell r="AF343">
            <v>1125.0258271999999</v>
          </cell>
          <cell r="AH343">
            <v>1125.0258271999999</v>
          </cell>
          <cell r="AJ343">
            <v>0</v>
          </cell>
        </row>
        <row r="344">
          <cell r="H344" t="str">
            <v>6.000X135.00X1048.00</v>
          </cell>
          <cell r="AF344">
            <v>2665.4831999999997</v>
          </cell>
          <cell r="AH344">
            <v>2665.4831999999997</v>
          </cell>
          <cell r="AJ344">
            <v>0</v>
          </cell>
        </row>
        <row r="345">
          <cell r="H345" t="str">
            <v>9.00x160.00x771.00</v>
          </cell>
          <cell r="AF345">
            <v>3050.3843999999995</v>
          </cell>
          <cell r="AH345">
            <v>3050.3843999999995</v>
          </cell>
          <cell r="AJ345">
            <v>0</v>
          </cell>
        </row>
        <row r="346">
          <cell r="H346" t="str">
            <v>7.000x130.00x986.00</v>
          </cell>
          <cell r="AF346">
            <v>31695.709499999997</v>
          </cell>
          <cell r="AH346">
            <v>3169.5709499999998</v>
          </cell>
          <cell r="AJ346">
            <v>0</v>
          </cell>
        </row>
        <row r="347">
          <cell r="H347" t="str">
            <v>2.6x380x1219</v>
          </cell>
          <cell r="AF347">
            <v>3290.1034296000007</v>
          </cell>
          <cell r="AH347">
            <v>3290.1034296000007</v>
          </cell>
          <cell r="AJ347">
            <v>0</v>
          </cell>
        </row>
        <row r="348">
          <cell r="H348" t="str">
            <v>3.2x1219x97</v>
          </cell>
          <cell r="AF348">
            <v>668.30943600000001</v>
          </cell>
          <cell r="AH348">
            <v>683.16075680000006</v>
          </cell>
          <cell r="AJ348">
            <v>0</v>
          </cell>
        </row>
        <row r="349">
          <cell r="H349" t="str">
            <v>5.0x37x1219</v>
          </cell>
          <cell r="AF349">
            <v>708.11710000000005</v>
          </cell>
          <cell r="AH349">
            <v>715.19827099999998</v>
          </cell>
          <cell r="AJ349">
            <v>0</v>
          </cell>
        </row>
        <row r="350">
          <cell r="H350" t="str">
            <v>30049867</v>
          </cell>
          <cell r="AF350">
            <v>1722.4470000000001</v>
          </cell>
          <cell r="AH350">
            <v>1722.4470000000001</v>
          </cell>
          <cell r="AJ350">
            <v>0</v>
          </cell>
        </row>
        <row r="351">
          <cell r="H351" t="str">
            <v>SPCC-SD 0.8x54.00x1219.00</v>
          </cell>
          <cell r="AF351">
            <v>12.4016184</v>
          </cell>
          <cell r="AH351">
            <v>12.4016184</v>
          </cell>
          <cell r="AJ351">
            <v>0</v>
          </cell>
        </row>
        <row r="352">
          <cell r="H352" t="str">
            <v>77004532</v>
          </cell>
          <cell r="AF352">
            <v>272.91215799999998</v>
          </cell>
          <cell r="AH352">
            <v>272.91215799999998</v>
          </cell>
          <cell r="AJ352">
            <v>0</v>
          </cell>
        </row>
        <row r="353">
          <cell r="H353" t="str">
            <v>77004981</v>
          </cell>
          <cell r="AF353">
            <v>382.76600000000002</v>
          </cell>
          <cell r="AH353">
            <v>0</v>
          </cell>
          <cell r="AJ353">
            <v>382.76600000000002</v>
          </cell>
        </row>
        <row r="354">
          <cell r="H354" t="str">
            <v>77004979</v>
          </cell>
          <cell r="AF354">
            <v>459.31919999999997</v>
          </cell>
          <cell r="AH354">
            <v>382.76600000000002</v>
          </cell>
          <cell r="AJ354">
            <v>76.553200000000004</v>
          </cell>
        </row>
        <row r="355">
          <cell r="H355" t="str">
            <v>77004979</v>
          </cell>
          <cell r="AF355">
            <v>459.31919999999997</v>
          </cell>
          <cell r="AH355">
            <v>459.31919999999997</v>
          </cell>
          <cell r="AJ355">
            <v>0</v>
          </cell>
        </row>
        <row r="356">
          <cell r="H356" t="str">
            <v>77004979</v>
          </cell>
          <cell r="AF356">
            <v>459.31919999999997</v>
          </cell>
          <cell r="AH356">
            <v>459.31919999999997</v>
          </cell>
          <cell r="AJ356">
            <v>0</v>
          </cell>
        </row>
        <row r="357">
          <cell r="H357" t="str">
            <v>77004979</v>
          </cell>
          <cell r="AF357">
            <v>459.31919999999997</v>
          </cell>
          <cell r="AH357">
            <v>459.31919999999997</v>
          </cell>
          <cell r="AJ357">
            <v>0</v>
          </cell>
        </row>
        <row r="358">
          <cell r="H358" t="str">
            <v>77004910</v>
          </cell>
          <cell r="AF358">
            <v>303.62544000000003</v>
          </cell>
          <cell r="AH358">
            <v>303.62544000000003</v>
          </cell>
          <cell r="AJ358">
            <v>0</v>
          </cell>
        </row>
        <row r="359">
          <cell r="H359" t="str">
            <v>2.0X118X1219 NPM</v>
          </cell>
          <cell r="AF359">
            <v>225.83194</v>
          </cell>
          <cell r="AH359">
            <v>225.83194</v>
          </cell>
          <cell r="AJ359">
            <v>0</v>
          </cell>
        </row>
        <row r="360">
          <cell r="H360" t="str">
            <v>2.0X118X1219 NPM</v>
          </cell>
          <cell r="AF360">
            <v>225.83194</v>
          </cell>
          <cell r="AH360">
            <v>0</v>
          </cell>
          <cell r="AJ360">
            <v>225.83194</v>
          </cell>
        </row>
        <row r="361">
          <cell r="H361" t="str">
            <v>6.000X216.00X1219.00</v>
          </cell>
          <cell r="AF361">
            <v>2480.3236799999995</v>
          </cell>
          <cell r="AH361">
            <v>2480.3236799999995</v>
          </cell>
          <cell r="AJ361">
            <v>0</v>
          </cell>
        </row>
        <row r="362">
          <cell r="H362" t="str">
            <v>77004065</v>
          </cell>
          <cell r="AF362">
            <v>300</v>
          </cell>
          <cell r="AH362">
            <v>348</v>
          </cell>
          <cell r="AJ362">
            <v>0</v>
          </cell>
        </row>
        <row r="363">
          <cell r="H363" t="str">
            <v>77005609</v>
          </cell>
          <cell r="AF363">
            <v>1000</v>
          </cell>
          <cell r="AH363">
            <v>0</v>
          </cell>
          <cell r="AJ363">
            <v>1000</v>
          </cell>
        </row>
        <row r="364">
          <cell r="H364" t="str">
            <v>77004064</v>
          </cell>
          <cell r="AF364">
            <v>7.5787668000000004</v>
          </cell>
          <cell r="AH364">
            <v>7.5787668000000004</v>
          </cell>
          <cell r="AJ364">
            <v>0</v>
          </cell>
        </row>
        <row r="365">
          <cell r="H365" t="str">
            <v>77004071</v>
          </cell>
          <cell r="AF365">
            <v>53.395856999999992</v>
          </cell>
          <cell r="AH365">
            <v>53.395856999999992</v>
          </cell>
          <cell r="AJ365">
            <v>0</v>
          </cell>
        </row>
        <row r="366">
          <cell r="H366" t="str">
            <v>1.2x218x1219</v>
          </cell>
          <cell r="AF366">
            <v>75.09868920000001</v>
          </cell>
          <cell r="AH366">
            <v>75.09868920000001</v>
          </cell>
          <cell r="AJ366">
            <v>0</v>
          </cell>
        </row>
        <row r="367">
          <cell r="H367" t="str">
            <v>77004122</v>
          </cell>
          <cell r="AF367">
            <v>206.69363999999999</v>
          </cell>
          <cell r="AH367">
            <v>206.69363999999999</v>
          </cell>
          <cell r="AJ367">
            <v>0</v>
          </cell>
        </row>
        <row r="368">
          <cell r="H368" t="str">
            <v>77004082</v>
          </cell>
          <cell r="AF368">
            <v>149.27874</v>
          </cell>
          <cell r="AH368">
            <v>149.27874</v>
          </cell>
          <cell r="AJ368">
            <v>0</v>
          </cell>
        </row>
        <row r="369">
          <cell r="H369" t="str">
            <v>77004081</v>
          </cell>
          <cell r="AF369">
            <v>48.802664999999998</v>
          </cell>
          <cell r="AH369">
            <v>48.802664999999998</v>
          </cell>
          <cell r="AJ369">
            <v>0</v>
          </cell>
        </row>
        <row r="370">
          <cell r="H370" t="str">
            <v>77004931.</v>
          </cell>
          <cell r="AF370">
            <v>164.58938000000001</v>
          </cell>
          <cell r="AH370">
            <v>164.58938000000001</v>
          </cell>
          <cell r="AJ370">
            <v>0</v>
          </cell>
        </row>
        <row r="371">
          <cell r="H371" t="str">
            <v>30055206</v>
          </cell>
          <cell r="AF371">
            <v>66.379279719999985</v>
          </cell>
          <cell r="AH371">
            <v>66.379279719999985</v>
          </cell>
          <cell r="AJ371">
            <v>0</v>
          </cell>
        </row>
        <row r="372">
          <cell r="H372" t="str">
            <v>30055208</v>
          </cell>
          <cell r="AF372">
            <v>46.104164699999991</v>
          </cell>
          <cell r="AH372">
            <v>46.104164699999991</v>
          </cell>
          <cell r="AJ372">
            <v>0</v>
          </cell>
        </row>
        <row r="373">
          <cell r="H373" t="str">
            <v>3.000X475.00X450.00</v>
          </cell>
          <cell r="AF373">
            <v>302.02874999999995</v>
          </cell>
          <cell r="AH373">
            <v>302.02874999999995</v>
          </cell>
          <cell r="AJ373">
            <v>0</v>
          </cell>
        </row>
        <row r="374">
          <cell r="H374" t="str">
            <v>2.30X185.00X365.00 CPT-DAST</v>
          </cell>
          <cell r="AF374">
            <v>877.7979899999998</v>
          </cell>
          <cell r="AH374">
            <v>877.7979899999998</v>
          </cell>
          <cell r="AJ374">
            <v>0</v>
          </cell>
        </row>
        <row r="375">
          <cell r="H375" t="str">
            <v>2.30X210.00X425.00 CPT-DAST</v>
          </cell>
          <cell r="AF375">
            <v>451.19444999999996</v>
          </cell>
          <cell r="AH375">
            <v>464.08571999999992</v>
          </cell>
          <cell r="AJ375">
            <v>0</v>
          </cell>
        </row>
        <row r="376">
          <cell r="H376" t="str">
            <v>77004626</v>
          </cell>
          <cell r="AF376">
            <v>1495.89737375</v>
          </cell>
          <cell r="AH376">
            <v>1495.89737375</v>
          </cell>
          <cell r="AJ376">
            <v>0</v>
          </cell>
        </row>
        <row r="377">
          <cell r="H377" t="str">
            <v>77004919</v>
          </cell>
          <cell r="AF377">
            <v>233.29587700000002</v>
          </cell>
          <cell r="AH377">
            <v>233.29587700000002</v>
          </cell>
          <cell r="AJ377">
            <v>0</v>
          </cell>
        </row>
        <row r="378">
          <cell r="H378" t="str">
            <v>77004624</v>
          </cell>
          <cell r="AF378">
            <v>1090.8831</v>
          </cell>
          <cell r="AH378">
            <v>1090.8831</v>
          </cell>
          <cell r="AJ378">
            <v>0</v>
          </cell>
        </row>
        <row r="379">
          <cell r="H379" t="str">
            <v>JSH440W 4.0*106*1219</v>
          </cell>
          <cell r="AF379">
            <v>279.9550524</v>
          </cell>
          <cell r="AH379">
            <v>279.9550524</v>
          </cell>
          <cell r="AJ379">
            <v>0</v>
          </cell>
        </row>
        <row r="380">
          <cell r="H380" t="str">
            <v>SGUR-0012-(75)-1</v>
          </cell>
          <cell r="AF380">
            <v>1005.9489888000001</v>
          </cell>
          <cell r="AH380">
            <v>0</v>
          </cell>
          <cell r="AJ380">
            <v>1005.9489888000001</v>
          </cell>
        </row>
        <row r="381">
          <cell r="H381" t="str">
            <v>SGUR-0012-(71)-1</v>
          </cell>
          <cell r="AF381">
            <v>1392.9120384000003</v>
          </cell>
          <cell r="AH381">
            <v>0</v>
          </cell>
          <cell r="AJ381">
            <v>1392.9120384000003</v>
          </cell>
        </row>
        <row r="382">
          <cell r="H382" t="str">
            <v>SGUR-0006-(46)-1</v>
          </cell>
          <cell r="AF382">
            <v>3207.9376679999996</v>
          </cell>
          <cell r="AH382">
            <v>0</v>
          </cell>
          <cell r="AJ382">
            <v>3207.9376679999996</v>
          </cell>
        </row>
        <row r="383">
          <cell r="H383" t="str">
            <v>SGUR-0006-(47)-1</v>
          </cell>
          <cell r="AF383">
            <v>198.95824999999999</v>
          </cell>
          <cell r="AH383">
            <v>0</v>
          </cell>
          <cell r="AJ383">
            <v>198.95824999999999</v>
          </cell>
        </row>
        <row r="384">
          <cell r="H384" t="str">
            <v>SGUR-0012-(33)</v>
          </cell>
          <cell r="AF384">
            <v>913.38791808000008</v>
          </cell>
          <cell r="AH384">
            <v>0</v>
          </cell>
          <cell r="AJ384">
            <v>913.38791808000008</v>
          </cell>
        </row>
        <row r="385">
          <cell r="H385" t="str">
            <v>77004930</v>
          </cell>
          <cell r="AF385">
            <v>201.52629899999999</v>
          </cell>
          <cell r="AH385">
            <v>0</v>
          </cell>
          <cell r="AJ385">
            <v>201.52629899999999</v>
          </cell>
        </row>
        <row r="386">
          <cell r="H386" t="str">
            <v>77004682</v>
          </cell>
          <cell r="AF386">
            <v>2419.0811199999998</v>
          </cell>
          <cell r="AH386">
            <v>0</v>
          </cell>
          <cell r="AJ386">
            <v>2419.0811199999998</v>
          </cell>
        </row>
        <row r="387">
          <cell r="H387" t="str">
            <v>77004557</v>
          </cell>
          <cell r="AF387">
            <v>1607.6172000000001</v>
          </cell>
          <cell r="AH387">
            <v>0</v>
          </cell>
          <cell r="AJ387">
            <v>1607.6172000000001</v>
          </cell>
        </row>
        <row r="388">
          <cell r="H388" t="str">
            <v>77004419</v>
          </cell>
          <cell r="AF388">
            <v>133.72631999999999</v>
          </cell>
          <cell r="AH388">
            <v>0</v>
          </cell>
          <cell r="AJ388">
            <v>133.72631999999999</v>
          </cell>
        </row>
        <row r="389">
          <cell r="H389" t="str">
            <v>77004280</v>
          </cell>
          <cell r="AF389">
            <v>150.04427200000001</v>
          </cell>
          <cell r="AH389">
            <v>0</v>
          </cell>
          <cell r="AJ389">
            <v>150.04427200000001</v>
          </cell>
        </row>
        <row r="390">
          <cell r="H390" t="str">
            <v>77004140</v>
          </cell>
          <cell r="AF390">
            <v>18.755533999999997</v>
          </cell>
          <cell r="AH390">
            <v>0</v>
          </cell>
          <cell r="AJ390">
            <v>18.755533999999997</v>
          </cell>
        </row>
        <row r="391">
          <cell r="H391" t="str">
            <v>0.600X140.00X250.00</v>
          </cell>
          <cell r="AF391">
            <v>16.484999999999999</v>
          </cell>
          <cell r="AH391">
            <v>0</v>
          </cell>
          <cell r="AJ391">
            <v>16.484999999999999</v>
          </cell>
        </row>
        <row r="392">
          <cell r="H392" t="str">
            <v>2.0x82x1219</v>
          </cell>
          <cell r="AF392">
            <v>78.467029999999994</v>
          </cell>
          <cell r="AH392">
            <v>78.467029999999994</v>
          </cell>
          <cell r="AJ392">
            <v>0</v>
          </cell>
        </row>
        <row r="393">
          <cell r="H393" t="str">
            <v>77004910</v>
          </cell>
          <cell r="AF393">
            <v>303.62544000000003</v>
          </cell>
          <cell r="AH393">
            <v>298.56501600000001</v>
          </cell>
          <cell r="AJ393">
            <v>5.0604240000000003</v>
          </cell>
        </row>
        <row r="394">
          <cell r="H394" t="str">
            <v>0.600X136.00X1219.00</v>
          </cell>
          <cell r="AF394">
            <v>15.616852799999998</v>
          </cell>
          <cell r="AH394">
            <v>0</v>
          </cell>
          <cell r="AJ394">
            <v>15.616852799999998</v>
          </cell>
        </row>
        <row r="395">
          <cell r="H395" t="str">
            <v>1.2X1220x2440</v>
          </cell>
          <cell r="AF395">
            <v>3364.9747200000002</v>
          </cell>
          <cell r="AH395">
            <v>3364.9747200000002</v>
          </cell>
          <cell r="AJ395">
            <v>0</v>
          </cell>
        </row>
        <row r="396">
          <cell r="H396" t="str">
            <v>1X1220x2440</v>
          </cell>
          <cell r="AF396">
            <v>9347.152</v>
          </cell>
          <cell r="AH396">
            <v>4673.576</v>
          </cell>
          <cell r="AJ396">
            <v>4673.576</v>
          </cell>
        </row>
        <row r="397">
          <cell r="H397" t="str">
            <v>1.2X1220x2440</v>
          </cell>
          <cell r="AF397">
            <v>5608.2911999999997</v>
          </cell>
          <cell r="AH397">
            <v>5608.2911999999997</v>
          </cell>
          <cell r="AJ397">
            <v>0</v>
          </cell>
        </row>
        <row r="398">
          <cell r="H398" t="str">
            <v>1.5X1220x2440</v>
          </cell>
          <cell r="AF398">
            <v>4206.2183999999988</v>
          </cell>
          <cell r="AH398">
            <v>3154.6637999999994</v>
          </cell>
          <cell r="AJ398">
            <v>1051.5545999999997</v>
          </cell>
        </row>
        <row r="399">
          <cell r="H399" t="str">
            <v>2.0X1220X2440</v>
          </cell>
          <cell r="AF399">
            <v>4673.576</v>
          </cell>
          <cell r="AH399">
            <v>4673.576</v>
          </cell>
          <cell r="AJ399">
            <v>0</v>
          </cell>
        </row>
        <row r="400">
          <cell r="H400" t="str">
            <v>1M886C0G001.</v>
          </cell>
          <cell r="AF400">
            <v>500</v>
          </cell>
          <cell r="AH400">
            <v>375</v>
          </cell>
          <cell r="AJ400">
            <v>0</v>
          </cell>
        </row>
        <row r="401">
          <cell r="H401" t="str">
            <v>1M886C0D001</v>
          </cell>
          <cell r="AF401">
            <v>1588.5888</v>
          </cell>
          <cell r="AH401">
            <v>1626.4345919999998</v>
          </cell>
          <cell r="AJ401">
            <v>0</v>
          </cell>
        </row>
        <row r="402">
          <cell r="H402" t="str">
            <v>1.20X224.00X1219.00</v>
          </cell>
          <cell r="AF402">
            <v>3215.2343999999998</v>
          </cell>
          <cell r="AH402">
            <v>3148.3575244799999</v>
          </cell>
          <cell r="AJ402">
            <v>66.876875519999999</v>
          </cell>
        </row>
        <row r="403">
          <cell r="H403" t="str">
            <v>1M73100F001</v>
          </cell>
          <cell r="AF403">
            <v>1492.7873999999999</v>
          </cell>
          <cell r="AH403">
            <v>1516.6719983999999</v>
          </cell>
          <cell r="AJ403">
            <v>0</v>
          </cell>
        </row>
        <row r="404">
          <cell r="H404" t="str">
            <v>1M886C0E001</v>
          </cell>
          <cell r="AF404">
            <v>1927.018</v>
          </cell>
          <cell r="AH404">
            <v>641.58363999999995</v>
          </cell>
          <cell r="AJ404">
            <v>1285.43436</v>
          </cell>
        </row>
        <row r="405">
          <cell r="H405" t="str">
            <v>1M886C0C001</v>
          </cell>
          <cell r="AF405">
            <v>2159.1142399999999</v>
          </cell>
          <cell r="AH405">
            <v>3536.6291251199996</v>
          </cell>
          <cell r="AJ405">
            <v>0</v>
          </cell>
        </row>
        <row r="406">
          <cell r="H406" t="str">
            <v>1.60x200.00x1166.00</v>
          </cell>
          <cell r="AF406">
            <v>1464.4960000000001</v>
          </cell>
          <cell r="AH406">
            <v>1464.4960000000001</v>
          </cell>
          <cell r="AJ406">
            <v>0</v>
          </cell>
        </row>
        <row r="407">
          <cell r="H407" t="str">
            <v>1M73100E001</v>
          </cell>
          <cell r="AF407">
            <v>218.42153999999999</v>
          </cell>
          <cell r="AH407">
            <v>223.88207850000001</v>
          </cell>
          <cell r="AJ407">
            <v>0</v>
          </cell>
        </row>
        <row r="408">
          <cell r="H408" t="str">
            <v>1M886C0D001</v>
          </cell>
          <cell r="AF408">
            <v>5606.7839999999997</v>
          </cell>
          <cell r="AH408">
            <v>6171.667488</v>
          </cell>
          <cell r="AJ408">
            <v>0</v>
          </cell>
        </row>
        <row r="409">
          <cell r="H409" t="str">
            <v>1.6x218x1219</v>
          </cell>
          <cell r="AF409">
            <v>500.65792799999997</v>
          </cell>
          <cell r="AH409">
            <v>520.68424512000001</v>
          </cell>
          <cell r="AJ409">
            <v>0</v>
          </cell>
        </row>
        <row r="410">
          <cell r="H410" t="str">
            <v>1.6X90x223</v>
          </cell>
          <cell r="AF410">
            <v>504.15840000000003</v>
          </cell>
          <cell r="AH410">
            <v>504.15840000000003</v>
          </cell>
          <cell r="AJ410">
            <v>0</v>
          </cell>
        </row>
        <row r="411">
          <cell r="H411" t="str">
            <v>2.000X141.00X1219.00</v>
          </cell>
          <cell r="AF411">
            <v>0</v>
          </cell>
          <cell r="AH411">
            <v>0</v>
          </cell>
          <cell r="AJ411">
            <v>0</v>
          </cell>
        </row>
        <row r="412">
          <cell r="H412" t="str">
            <v>2.600X76.00X1219.00</v>
          </cell>
          <cell r="AF412">
            <v>0</v>
          </cell>
          <cell r="AH412">
            <v>0</v>
          </cell>
          <cell r="AJ412">
            <v>0</v>
          </cell>
        </row>
        <row r="413">
          <cell r="H413" t="str">
            <v>0.900x470.00xCOIL</v>
          </cell>
          <cell r="AF413">
            <v>56000</v>
          </cell>
          <cell r="AH413">
            <v>54929</v>
          </cell>
          <cell r="AJ413">
            <v>1071</v>
          </cell>
        </row>
        <row r="414">
          <cell r="H414" t="str">
            <v>0.9x575xcoil</v>
          </cell>
          <cell r="AF414">
            <v>56000</v>
          </cell>
          <cell r="AH414">
            <v>54929</v>
          </cell>
          <cell r="AJ414">
            <v>1071</v>
          </cell>
        </row>
        <row r="415">
          <cell r="H415" t="str">
            <v>0.9x575xcoil</v>
          </cell>
          <cell r="AF415">
            <v>56000</v>
          </cell>
          <cell r="AH415">
            <v>56617</v>
          </cell>
          <cell r="AJ415">
            <v>0</v>
          </cell>
        </row>
        <row r="416">
          <cell r="H416" t="str">
            <v>0.900x470.00xCOIL</v>
          </cell>
          <cell r="AF416">
            <v>35000</v>
          </cell>
          <cell r="AH416">
            <v>35698</v>
          </cell>
          <cell r="AJ416">
            <v>0</v>
          </cell>
        </row>
        <row r="417">
          <cell r="H417" t="str">
            <v>0.9x382xCOIL</v>
          </cell>
          <cell r="AF417">
            <v>43000</v>
          </cell>
          <cell r="AH417">
            <v>23899</v>
          </cell>
          <cell r="AJ417">
            <v>-23899</v>
          </cell>
        </row>
        <row r="418">
          <cell r="H418" t="str">
            <v>0.900x470.00xCOIL</v>
          </cell>
          <cell r="AF418">
            <v>35000</v>
          </cell>
          <cell r="AH418">
            <v>0</v>
          </cell>
          <cell r="AJ418">
            <v>0</v>
          </cell>
        </row>
        <row r="419">
          <cell r="H419" t="str">
            <v>0.7x550xC</v>
          </cell>
          <cell r="AF419">
            <v>27000</v>
          </cell>
          <cell r="AH419">
            <v>30727</v>
          </cell>
          <cell r="AJ419">
            <v>0</v>
          </cell>
        </row>
        <row r="420">
          <cell r="H420" t="str">
            <v>0.7x580xC</v>
          </cell>
          <cell r="AF420">
            <v>5000</v>
          </cell>
          <cell r="AH420">
            <v>0</v>
          </cell>
          <cell r="AJ420">
            <v>0</v>
          </cell>
        </row>
        <row r="421">
          <cell r="H421" t="str">
            <v>77005160</v>
          </cell>
          <cell r="AF421">
            <v>75000</v>
          </cell>
          <cell r="AH421">
            <v>0</v>
          </cell>
          <cell r="AJ421">
            <v>75000</v>
          </cell>
        </row>
        <row r="422">
          <cell r="H422" t="str">
            <v>77005163</v>
          </cell>
          <cell r="AF422">
            <v>21000</v>
          </cell>
          <cell r="AH422">
            <v>0</v>
          </cell>
          <cell r="AJ422">
            <v>21000</v>
          </cell>
        </row>
      </sheetData>
      <sheetData sheetId="5"/>
      <sheetData sheetId="6">
        <row r="2">
          <cell r="P2">
            <v>484608</v>
          </cell>
          <cell r="Q2">
            <v>737474</v>
          </cell>
        </row>
        <row r="5">
          <cell r="C5" t="str">
            <v>FG Code</v>
          </cell>
          <cell r="P5">
            <v>4</v>
          </cell>
          <cell r="Q5">
            <v>5</v>
          </cell>
        </row>
        <row r="6">
          <cell r="C6" t="str">
            <v>0.800X110.00XCOIL</v>
          </cell>
        </row>
        <row r="7">
          <cell r="C7" t="str">
            <v>0.800X110.00XCOIL</v>
          </cell>
          <cell r="P7">
            <v>1200</v>
          </cell>
          <cell r="Q7">
            <v>840</v>
          </cell>
        </row>
        <row r="8">
          <cell r="C8" t="str">
            <v>1.0x113x1219</v>
          </cell>
          <cell r="Q8">
            <v>54</v>
          </cell>
        </row>
        <row r="9">
          <cell r="C9" t="str">
            <v>1.2x90x1219</v>
          </cell>
          <cell r="Q9">
            <v>52</v>
          </cell>
        </row>
        <row r="10">
          <cell r="C10" t="str">
            <v>S-DENSO-058</v>
          </cell>
        </row>
        <row r="11">
          <cell r="C11" t="str">
            <v>SGCC-Z22 0.5*53.5*Coil</v>
          </cell>
          <cell r="Q11">
            <v>459</v>
          </cell>
        </row>
        <row r="12">
          <cell r="C12" t="str">
            <v/>
          </cell>
        </row>
        <row r="13">
          <cell r="C13" t="str">
            <v>1.6X300.00X1250.00</v>
          </cell>
          <cell r="P13">
            <v>641</v>
          </cell>
          <cell r="Q13">
            <v>1292</v>
          </cell>
        </row>
        <row r="14">
          <cell r="C14" t="str">
            <v>1.6X300.00X1250.00</v>
          </cell>
        </row>
        <row r="15">
          <cell r="C15" t="str">
            <v>2.500X1219.00X1750.00</v>
          </cell>
          <cell r="P15">
            <v>1780</v>
          </cell>
        </row>
        <row r="16">
          <cell r="C16" t="str">
            <v>2.500x1219.00x2200.00</v>
          </cell>
        </row>
        <row r="17">
          <cell r="C17" t="str">
            <v>2.500x1219.00x2200.00</v>
          </cell>
        </row>
        <row r="18">
          <cell r="C18" t="str">
            <v>2.500x1219.00x2200.00</v>
          </cell>
          <cell r="P18">
            <v>6882</v>
          </cell>
          <cell r="Q18">
            <v>1615</v>
          </cell>
        </row>
        <row r="19">
          <cell r="C19" t="str">
            <v>2.50x345.00x1300.00</v>
          </cell>
          <cell r="P19">
            <v>904</v>
          </cell>
        </row>
        <row r="20">
          <cell r="C20" t="str">
            <v>08009-446-11</v>
          </cell>
          <cell r="P20">
            <v>933</v>
          </cell>
          <cell r="Q20">
            <v>491</v>
          </cell>
        </row>
        <row r="21">
          <cell r="C21" t="str">
            <v>HK2F2-140-0A-00/01</v>
          </cell>
          <cell r="P21">
            <v>11934</v>
          </cell>
          <cell r="Q21">
            <v>12682</v>
          </cell>
        </row>
        <row r="22">
          <cell r="C22" t="str">
            <v>313-04041</v>
          </cell>
        </row>
        <row r="23">
          <cell r="C23" t="str">
            <v>313-04042</v>
          </cell>
        </row>
        <row r="24">
          <cell r="C24" t="str">
            <v>RCS14001004</v>
          </cell>
          <cell r="P24">
            <v>5460</v>
          </cell>
        </row>
        <row r="25">
          <cell r="C25" t="str">
            <v>RCS14001004</v>
          </cell>
          <cell r="Q25">
            <v>5568</v>
          </cell>
        </row>
        <row r="26">
          <cell r="C26" t="str">
            <v>RCS14001004</v>
          </cell>
        </row>
        <row r="27">
          <cell r="C27" t="str">
            <v>0.40x102.00x102.00</v>
          </cell>
          <cell r="Q27">
            <v>59</v>
          </cell>
        </row>
        <row r="28">
          <cell r="C28" t="str">
            <v>0.6 x 116 x 906</v>
          </cell>
          <cell r="Q28">
            <v>496</v>
          </cell>
        </row>
        <row r="29">
          <cell r="C29" t="str">
            <v>0.80X148.00XCOIL CPT-DAST</v>
          </cell>
          <cell r="Q29">
            <v>390</v>
          </cell>
        </row>
        <row r="30">
          <cell r="C30" t="str">
            <v>0.80X148.00XCOIL CPT-DAST</v>
          </cell>
          <cell r="Q30">
            <v>1176</v>
          </cell>
        </row>
        <row r="31">
          <cell r="C31" t="str">
            <v>1.00x34.10x582.30</v>
          </cell>
        </row>
        <row r="32">
          <cell r="C32" t="str">
            <v>2.30X125.00X430.00 CPT-DAST</v>
          </cell>
        </row>
        <row r="33">
          <cell r="C33" t="str">
            <v>2.30X185.00X365.00 CPT-DAST</v>
          </cell>
        </row>
        <row r="34">
          <cell r="C34" t="str">
            <v>2.30X210.00X425.00 CPT-DAST</v>
          </cell>
        </row>
        <row r="35">
          <cell r="C35" t="str">
            <v>3.000X475.00X450.00</v>
          </cell>
          <cell r="P35">
            <v>1819</v>
          </cell>
          <cell r="Q35">
            <v>597</v>
          </cell>
        </row>
        <row r="36">
          <cell r="C36" t="str">
            <v>3.000X520.00X660.00</v>
          </cell>
          <cell r="Q36">
            <v>1915</v>
          </cell>
        </row>
        <row r="37">
          <cell r="C37" t="str">
            <v>3.00X124.00X430.00 CPT-DAST</v>
          </cell>
          <cell r="P37">
            <v>2130</v>
          </cell>
          <cell r="Q37">
            <v>1192</v>
          </cell>
        </row>
        <row r="38">
          <cell r="C38" t="str">
            <v>3.00X186.00X480.00 CPT-DAST</v>
          </cell>
          <cell r="P38">
            <v>3501</v>
          </cell>
          <cell r="Q38">
            <v>2024</v>
          </cell>
        </row>
        <row r="39">
          <cell r="C39" t="str">
            <v>3.00X186.00X480.00 CPT-DAST</v>
          </cell>
          <cell r="P39">
            <v>400</v>
          </cell>
        </row>
        <row r="40">
          <cell r="C40" t="str">
            <v>3.00X319.00X498.00 CPT-DAST</v>
          </cell>
          <cell r="P40">
            <v>904</v>
          </cell>
          <cell r="Q40">
            <v>598</v>
          </cell>
        </row>
        <row r="41">
          <cell r="C41" t="str">
            <v>3.00X342.00X655.00 CPT-DAST</v>
          </cell>
          <cell r="P41">
            <v>321</v>
          </cell>
          <cell r="Q41">
            <v>315</v>
          </cell>
        </row>
        <row r="42">
          <cell r="C42" t="str">
            <v>3.00X342.00X655.00 CPT-DAST</v>
          </cell>
        </row>
        <row r="43">
          <cell r="C43" t="str">
            <v>3.00X475.00X230.00 CPT-DAST</v>
          </cell>
        </row>
        <row r="44">
          <cell r="C44" t="str">
            <v>3.00X520.00X685.00 CPT-DAST</v>
          </cell>
        </row>
        <row r="45">
          <cell r="C45" t="str">
            <v>3.20x205.00x1219.00</v>
          </cell>
          <cell r="Q45">
            <v>503</v>
          </cell>
        </row>
        <row r="46">
          <cell r="C46" t="str">
            <v>4.0 x 176 x 1219</v>
          </cell>
        </row>
        <row r="47">
          <cell r="C47" t="str">
            <v>5.0 x 66 x 1490</v>
          </cell>
        </row>
        <row r="48">
          <cell r="C48" t="str">
            <v>5.0 x 66 x 1550</v>
          </cell>
        </row>
        <row r="49">
          <cell r="C49" t="str">
            <v>6.000X135.00X1048.00</v>
          </cell>
          <cell r="Q49">
            <v>2675</v>
          </cell>
        </row>
        <row r="50">
          <cell r="C50" t="str">
            <v>6.00X135.00X1048.00</v>
          </cell>
        </row>
        <row r="51">
          <cell r="C51" t="str">
            <v>6.00X135.00X1048.00</v>
          </cell>
        </row>
        <row r="52">
          <cell r="C52" t="str">
            <v>6.40X164.00X920.00</v>
          </cell>
        </row>
        <row r="53">
          <cell r="C53" t="str">
            <v>6.40X164.00X920.00</v>
          </cell>
        </row>
        <row r="54">
          <cell r="C54" t="str">
            <v>7.000X116.00X1198.00</v>
          </cell>
          <cell r="P54">
            <v>381</v>
          </cell>
        </row>
        <row r="55">
          <cell r="C55" t="str">
            <v>7.000x130.00x986.00</v>
          </cell>
          <cell r="P55">
            <v>2816</v>
          </cell>
          <cell r="Q55">
            <v>3150</v>
          </cell>
        </row>
        <row r="56">
          <cell r="C56" t="str">
            <v>9.00x160.00x771.00</v>
          </cell>
          <cell r="P56">
            <v>2613</v>
          </cell>
          <cell r="Q56">
            <v>3089</v>
          </cell>
        </row>
        <row r="57">
          <cell r="C57" t="str">
            <v>PLATE 35030</v>
          </cell>
        </row>
        <row r="58">
          <cell r="C58" t="str">
            <v>SAPH440-P/O 2.3x165.00x1147.00</v>
          </cell>
        </row>
        <row r="59">
          <cell r="C59" t="str">
            <v>SPCC 1.6x125.00x1219.00</v>
          </cell>
        </row>
        <row r="60">
          <cell r="C60" t="str">
            <v>1.2X1220x2440</v>
          </cell>
          <cell r="Q60">
            <v>360</v>
          </cell>
        </row>
        <row r="61">
          <cell r="C61" t="str">
            <v>1.2X1220x2440</v>
          </cell>
        </row>
        <row r="62">
          <cell r="C62" t="str">
            <v>1.2X1220x2440</v>
          </cell>
          <cell r="Q62">
            <v>2785</v>
          </cell>
        </row>
        <row r="63">
          <cell r="C63" t="str">
            <v>1.2X1220x2440</v>
          </cell>
        </row>
        <row r="64">
          <cell r="C64" t="str">
            <v>1.2X1220x2440</v>
          </cell>
          <cell r="P64">
            <v>5615</v>
          </cell>
        </row>
        <row r="65">
          <cell r="C65" t="str">
            <v>1.5X1220x2440</v>
          </cell>
          <cell r="Q65">
            <v>2180</v>
          </cell>
        </row>
        <row r="66">
          <cell r="C66" t="str">
            <v>1.5X1220x2440</v>
          </cell>
        </row>
        <row r="67">
          <cell r="C67" t="str">
            <v>1.5X1220x2440</v>
          </cell>
        </row>
        <row r="68">
          <cell r="C68" t="str">
            <v>1.5X1220x2440</v>
          </cell>
        </row>
        <row r="69">
          <cell r="C69" t="str">
            <v>1.5X1220x2440</v>
          </cell>
          <cell r="Q69">
            <v>1736</v>
          </cell>
        </row>
        <row r="70">
          <cell r="C70" t="str">
            <v>1.5X1220x2440</v>
          </cell>
        </row>
        <row r="71">
          <cell r="C71" t="str">
            <v>1.5X1220x2440</v>
          </cell>
          <cell r="Q71">
            <v>1585</v>
          </cell>
        </row>
        <row r="72">
          <cell r="C72" t="str">
            <v>1.5X1220x2440</v>
          </cell>
          <cell r="P72">
            <v>2636</v>
          </cell>
        </row>
        <row r="73">
          <cell r="C73" t="str">
            <v>1X1220x2440</v>
          </cell>
          <cell r="Q73">
            <v>3035</v>
          </cell>
        </row>
        <row r="74">
          <cell r="C74" t="str">
            <v>1X1220x2440</v>
          </cell>
        </row>
        <row r="75">
          <cell r="C75" t="str">
            <v>1X1220x2440</v>
          </cell>
          <cell r="Q75">
            <v>3696</v>
          </cell>
        </row>
        <row r="76">
          <cell r="C76" t="str">
            <v>1X1220x2440</v>
          </cell>
        </row>
        <row r="77">
          <cell r="C77" t="str">
            <v>1X1220x2440</v>
          </cell>
        </row>
        <row r="78">
          <cell r="C78" t="str">
            <v>1X1220x2440</v>
          </cell>
        </row>
        <row r="79">
          <cell r="C79" t="str">
            <v>1X1220x2440</v>
          </cell>
          <cell r="Q79">
            <v>3262</v>
          </cell>
        </row>
        <row r="80">
          <cell r="C80" t="str">
            <v>1X1220x2440</v>
          </cell>
          <cell r="Q80">
            <v>3560</v>
          </cell>
        </row>
        <row r="81">
          <cell r="C81" t="str">
            <v>1X1220x2440</v>
          </cell>
          <cell r="P81">
            <v>1077</v>
          </cell>
        </row>
        <row r="82">
          <cell r="C82" t="str">
            <v>2.0X1220X2440</v>
          </cell>
        </row>
        <row r="83">
          <cell r="C83" t="str">
            <v>2.0X1220X2440</v>
          </cell>
        </row>
        <row r="84">
          <cell r="C84" t="str">
            <v>2.0X1220X24403</v>
          </cell>
        </row>
        <row r="85">
          <cell r="C85" t="str">
            <v>0.50X170.00XCOIL</v>
          </cell>
          <cell r="Q85">
            <v>1050</v>
          </cell>
        </row>
        <row r="86">
          <cell r="C86" t="str">
            <v>0.70x55.00xCOIL</v>
          </cell>
          <cell r="Q86">
            <v>5223</v>
          </cell>
        </row>
        <row r="87">
          <cell r="C87" t="str">
            <v>1.00X186.00XCOIL</v>
          </cell>
        </row>
        <row r="88">
          <cell r="C88" t="str">
            <v>1.20x165.00xCoil</v>
          </cell>
          <cell r="P88">
            <v>1050</v>
          </cell>
          <cell r="Q88">
            <v>4192</v>
          </cell>
        </row>
        <row r="89">
          <cell r="C89" t="str">
            <v>1.20x167.80xCOIL</v>
          </cell>
          <cell r="P89">
            <v>1236</v>
          </cell>
          <cell r="Q89">
            <v>2634</v>
          </cell>
        </row>
        <row r="90">
          <cell r="C90" t="str">
            <v>1.20x51xCOIL</v>
          </cell>
          <cell r="P90">
            <v>939</v>
          </cell>
          <cell r="Q90">
            <v>868</v>
          </cell>
        </row>
        <row r="91">
          <cell r="C91" t="str">
            <v>1.20X54.00XCOIL</v>
          </cell>
        </row>
        <row r="92">
          <cell r="C92" t="str">
            <v>1.500X166.00XCOIL</v>
          </cell>
          <cell r="P92">
            <v>2039</v>
          </cell>
        </row>
        <row r="93">
          <cell r="C93" t="str">
            <v>1.50x160.00xcoil</v>
          </cell>
          <cell r="P93">
            <v>4540</v>
          </cell>
        </row>
        <row r="94">
          <cell r="C94" t="str">
            <v>1.60x19.80xcoil</v>
          </cell>
          <cell r="P94">
            <v>1210</v>
          </cell>
        </row>
        <row r="95">
          <cell r="C95" t="str">
            <v>1010108001</v>
          </cell>
        </row>
        <row r="96">
          <cell r="C96" t="str">
            <v>1010128001</v>
          </cell>
          <cell r="P96">
            <v>1040</v>
          </cell>
        </row>
        <row r="97">
          <cell r="C97" t="str">
            <v>1010128001</v>
          </cell>
        </row>
        <row r="98">
          <cell r="C98" t="str">
            <v>1010415004</v>
          </cell>
          <cell r="P98">
            <v>2272</v>
          </cell>
          <cell r="Q98">
            <v>3245</v>
          </cell>
        </row>
        <row r="99">
          <cell r="C99" t="str">
            <v>1010508003</v>
          </cell>
        </row>
        <row r="100">
          <cell r="C100" t="str">
            <v>1010508003</v>
          </cell>
        </row>
        <row r="101">
          <cell r="C101" t="str">
            <v>1010510009</v>
          </cell>
        </row>
        <row r="102">
          <cell r="C102" t="str">
            <v>1011405004</v>
          </cell>
          <cell r="P102">
            <v>411</v>
          </cell>
          <cell r="Q102">
            <v>1528</v>
          </cell>
        </row>
        <row r="103">
          <cell r="C103" t="str">
            <v>2.000x31.00xcoil</v>
          </cell>
          <cell r="P103">
            <v>6203</v>
          </cell>
        </row>
        <row r="104">
          <cell r="C104" t="str">
            <v>2.00x262.00xcoil</v>
          </cell>
          <cell r="P104">
            <v>5494</v>
          </cell>
        </row>
        <row r="105">
          <cell r="C105" t="str">
            <v>2.00X360.00XCOIL</v>
          </cell>
          <cell r="P105">
            <v>1810</v>
          </cell>
        </row>
        <row r="106">
          <cell r="C106" t="str">
            <v>2.390X50.00XCOIL</v>
          </cell>
        </row>
        <row r="107">
          <cell r="C107" t="str">
            <v>RM600ST000023</v>
          </cell>
          <cell r="P107">
            <v>2423</v>
          </cell>
          <cell r="Q107">
            <v>3120</v>
          </cell>
        </row>
        <row r="108">
          <cell r="C108" t="str">
            <v>RM600ST000026</v>
          </cell>
        </row>
        <row r="109">
          <cell r="C109" t="str">
            <v>RM600ST000026</v>
          </cell>
          <cell r="P109">
            <v>5305</v>
          </cell>
          <cell r="Q109">
            <v>19386</v>
          </cell>
        </row>
        <row r="110">
          <cell r="C110" t="str">
            <v>RM600ST000027</v>
          </cell>
          <cell r="Q110">
            <v>5344</v>
          </cell>
        </row>
        <row r="111">
          <cell r="C111" t="str">
            <v>0209000752</v>
          </cell>
        </row>
        <row r="112">
          <cell r="C112" t="str">
            <v>0.8X88XCOIL</v>
          </cell>
        </row>
        <row r="113">
          <cell r="C113" t="str">
            <v>1.0x103x1220</v>
          </cell>
        </row>
        <row r="114">
          <cell r="C114" t="str">
            <v>1.0x36xCoil</v>
          </cell>
          <cell r="Q114">
            <v>630</v>
          </cell>
        </row>
        <row r="115">
          <cell r="C115" t="str">
            <v>1.0x44xCoil</v>
          </cell>
        </row>
        <row r="116">
          <cell r="C116" t="str">
            <v>1.0x44xCoil</v>
          </cell>
          <cell r="P116">
            <v>380</v>
          </cell>
        </row>
        <row r="117">
          <cell r="C117" t="str">
            <v>5.0X136X1220</v>
          </cell>
          <cell r="P117">
            <v>2672</v>
          </cell>
          <cell r="Q117">
            <v>1839</v>
          </cell>
        </row>
        <row r="118">
          <cell r="C118" t="str">
            <v>5X130X1220</v>
          </cell>
          <cell r="P118">
            <v>1867</v>
          </cell>
          <cell r="Q118">
            <v>3738</v>
          </cell>
        </row>
        <row r="119">
          <cell r="C119" t="str">
            <v>SECC01500860</v>
          </cell>
        </row>
        <row r="120">
          <cell r="C120" t="str">
            <v>2.000X94.50X1219.00</v>
          </cell>
          <cell r="Q120">
            <v>7583</v>
          </cell>
        </row>
        <row r="121">
          <cell r="C121" t="str">
            <v>2x101xcoil</v>
          </cell>
        </row>
        <row r="122">
          <cell r="C122" t="str">
            <v>2x167xcoil</v>
          </cell>
        </row>
        <row r="123">
          <cell r="C123" t="str">
            <v>1.600X90.000XCOIL</v>
          </cell>
          <cell r="Q123">
            <v>414</v>
          </cell>
        </row>
        <row r="124">
          <cell r="C124" t="str">
            <v>1.6X45XCOIL</v>
          </cell>
          <cell r="Q124">
            <v>1030</v>
          </cell>
        </row>
        <row r="125">
          <cell r="C125" t="str">
            <v>1.6X74XCOIL</v>
          </cell>
          <cell r="P125">
            <v>1066</v>
          </cell>
        </row>
        <row r="126">
          <cell r="C126" t="str">
            <v>1.6X77XCOIL</v>
          </cell>
          <cell r="P126">
            <v>1022</v>
          </cell>
        </row>
        <row r="127">
          <cell r="C127" t="str">
            <v>1.6X84XCOIL</v>
          </cell>
        </row>
        <row r="128">
          <cell r="C128" t="str">
            <v>-</v>
          </cell>
          <cell r="P128">
            <v>436</v>
          </cell>
        </row>
        <row r="129">
          <cell r="C129" t="str">
            <v>-</v>
          </cell>
          <cell r="P129">
            <v>135</v>
          </cell>
        </row>
        <row r="130">
          <cell r="C130" t="str">
            <v>-</v>
          </cell>
          <cell r="P130">
            <v>261</v>
          </cell>
        </row>
        <row r="131">
          <cell r="C131" t="str">
            <v>-</v>
          </cell>
          <cell r="P131">
            <v>1892</v>
          </cell>
        </row>
        <row r="132">
          <cell r="C132" t="str">
            <v>-</v>
          </cell>
          <cell r="P132">
            <v>792</v>
          </cell>
        </row>
        <row r="133">
          <cell r="C133" t="str">
            <v>-</v>
          </cell>
          <cell r="P133">
            <v>213</v>
          </cell>
        </row>
        <row r="134">
          <cell r="C134" t="str">
            <v>-</v>
          </cell>
          <cell r="P134">
            <v>55</v>
          </cell>
        </row>
        <row r="135">
          <cell r="C135" t="str">
            <v>-</v>
          </cell>
          <cell r="P135">
            <v>168</v>
          </cell>
        </row>
        <row r="136">
          <cell r="C136" t="str">
            <v>-</v>
          </cell>
          <cell r="P136">
            <v>457</v>
          </cell>
        </row>
        <row r="137">
          <cell r="C137" t="str">
            <v>-</v>
          </cell>
          <cell r="P137">
            <v>608</v>
          </cell>
        </row>
        <row r="138">
          <cell r="C138" t="str">
            <v>-</v>
          </cell>
          <cell r="P138">
            <v>660</v>
          </cell>
        </row>
        <row r="139">
          <cell r="C139" t="str">
            <v>1.200X1220.00X2440.00</v>
          </cell>
          <cell r="P139">
            <v>840</v>
          </cell>
        </row>
        <row r="140">
          <cell r="C140" t="str">
            <v>1.200X1220.00X2440.00</v>
          </cell>
          <cell r="P140">
            <v>1445</v>
          </cell>
        </row>
        <row r="141">
          <cell r="C141" t="str">
            <v>1.200X76.00X1220.00</v>
          </cell>
        </row>
        <row r="142">
          <cell r="C142" t="str">
            <v>1.600x1220.00x2440.00</v>
          </cell>
          <cell r="P142">
            <v>728</v>
          </cell>
        </row>
        <row r="143">
          <cell r="C143" t="str">
            <v>1.6X61x1220</v>
          </cell>
          <cell r="P143">
            <v>92</v>
          </cell>
        </row>
        <row r="144">
          <cell r="C144" t="str">
            <v>1.6X61x1220</v>
          </cell>
          <cell r="Q144">
            <v>92</v>
          </cell>
        </row>
        <row r="145">
          <cell r="C145" t="str">
            <v>1.6X70X1220</v>
          </cell>
        </row>
        <row r="146">
          <cell r="C146" t="str">
            <v>1.6x90x1220 SPHC</v>
          </cell>
          <cell r="Q146">
            <v>134</v>
          </cell>
        </row>
        <row r="147">
          <cell r="C147" t="str">
            <v>13049-7MA0A</v>
          </cell>
        </row>
        <row r="148">
          <cell r="C148" t="str">
            <v>13049-7MA0A</v>
          </cell>
          <cell r="P148">
            <v>755</v>
          </cell>
        </row>
        <row r="149">
          <cell r="C149" t="str">
            <v>1310A882-01</v>
          </cell>
          <cell r="Q149">
            <v>1243</v>
          </cell>
        </row>
        <row r="150">
          <cell r="C150" t="str">
            <v>14053-02</v>
          </cell>
          <cell r="P150">
            <v>155</v>
          </cell>
        </row>
        <row r="151">
          <cell r="C151" t="str">
            <v>14665W020P-02</v>
          </cell>
        </row>
        <row r="152">
          <cell r="C152" t="str">
            <v>16025-851YL-3</v>
          </cell>
        </row>
        <row r="153">
          <cell r="C153" t="str">
            <v>16268-730YL-01</v>
          </cell>
        </row>
        <row r="154">
          <cell r="C154" t="str">
            <v>16278-0E010-08</v>
          </cell>
          <cell r="P154">
            <v>165</v>
          </cell>
        </row>
        <row r="155">
          <cell r="C155" t="str">
            <v>16278-8519N-04</v>
          </cell>
        </row>
        <row r="156">
          <cell r="C156" t="str">
            <v>16278-851YM-01</v>
          </cell>
          <cell r="P156">
            <v>1344</v>
          </cell>
        </row>
        <row r="157">
          <cell r="C157" t="str">
            <v>16278-851YN-03</v>
          </cell>
        </row>
        <row r="158">
          <cell r="C158" t="str">
            <v>16278-851YN-1</v>
          </cell>
        </row>
        <row r="159">
          <cell r="C159" t="str">
            <v>16278-851YN-1</v>
          </cell>
        </row>
        <row r="160">
          <cell r="C160" t="str">
            <v>16278-851YN-2</v>
          </cell>
          <cell r="P160">
            <v>1094</v>
          </cell>
        </row>
        <row r="161">
          <cell r="C161" t="str">
            <v>16278-851YN-4</v>
          </cell>
          <cell r="P161">
            <v>856</v>
          </cell>
          <cell r="Q161">
            <v>648</v>
          </cell>
        </row>
        <row r="162">
          <cell r="C162" t="str">
            <v>16278-851YN-7</v>
          </cell>
        </row>
        <row r="163">
          <cell r="C163" t="str">
            <v>16278-BZ120-03</v>
          </cell>
        </row>
        <row r="164">
          <cell r="C164" t="str">
            <v>16278-BZ120-03</v>
          </cell>
          <cell r="Q164">
            <v>153</v>
          </cell>
        </row>
        <row r="165">
          <cell r="C165" t="str">
            <v>16278-BZ120-03</v>
          </cell>
          <cell r="P165">
            <v>230</v>
          </cell>
        </row>
        <row r="166">
          <cell r="C166" t="str">
            <v>16278-BZ120-03</v>
          </cell>
        </row>
        <row r="167">
          <cell r="C167" t="str">
            <v>16278-BZ120-04</v>
          </cell>
        </row>
        <row r="168">
          <cell r="C168" t="str">
            <v>16278-BZ120-04</v>
          </cell>
          <cell r="Q168">
            <v>230</v>
          </cell>
        </row>
        <row r="169">
          <cell r="C169" t="str">
            <v>16278-BZ120-04</v>
          </cell>
          <cell r="P169">
            <v>459</v>
          </cell>
        </row>
        <row r="170">
          <cell r="C170" t="str">
            <v>16278-BZ120-04</v>
          </cell>
        </row>
        <row r="171">
          <cell r="C171" t="str">
            <v>16278-BZ170-01</v>
          </cell>
        </row>
        <row r="172">
          <cell r="C172" t="str">
            <v>16279-851YM-01</v>
          </cell>
          <cell r="P172">
            <v>1394</v>
          </cell>
        </row>
        <row r="173">
          <cell r="C173" t="str">
            <v>1678-BZ120-03</v>
          </cell>
        </row>
        <row r="174">
          <cell r="C174" t="str">
            <v>1678-BZ120-03</v>
          </cell>
        </row>
        <row r="175">
          <cell r="C175" t="str">
            <v>1678-BZ120-04</v>
          </cell>
        </row>
        <row r="176">
          <cell r="C176" t="str">
            <v>17762-3C2</v>
          </cell>
          <cell r="P176">
            <v>1699</v>
          </cell>
        </row>
        <row r="177">
          <cell r="C177" t="str">
            <v>17762-3C2-T00</v>
          </cell>
        </row>
        <row r="178">
          <cell r="C178" t="str">
            <v>17764-3C2</v>
          </cell>
          <cell r="P178">
            <v>598</v>
          </cell>
        </row>
        <row r="179">
          <cell r="C179" t="str">
            <v>2.000X1220.00X2440.0</v>
          </cell>
          <cell r="P179">
            <v>1368</v>
          </cell>
        </row>
        <row r="180">
          <cell r="C180" t="str">
            <v>2.000X1220.00X2440.00</v>
          </cell>
        </row>
        <row r="181">
          <cell r="C181" t="str">
            <v>2.000X1220.00X2440.00</v>
          </cell>
          <cell r="P181">
            <v>615</v>
          </cell>
        </row>
        <row r="182">
          <cell r="C182" t="str">
            <v>2.000X1220.00X2440.00</v>
          </cell>
          <cell r="P182">
            <v>140</v>
          </cell>
        </row>
        <row r="183">
          <cell r="C183" t="str">
            <v>2.00X112.00X1220.00</v>
          </cell>
          <cell r="P183">
            <v>319</v>
          </cell>
          <cell r="Q183">
            <v>209</v>
          </cell>
        </row>
        <row r="184">
          <cell r="C184" t="str">
            <v>2.00X75.00X1220.00</v>
          </cell>
        </row>
        <row r="185">
          <cell r="C185" t="str">
            <v>2.00X75.00X1220.00</v>
          </cell>
          <cell r="Q185">
            <v>431</v>
          </cell>
        </row>
        <row r="186">
          <cell r="C186" t="str">
            <v>2.00x86.00x1220.00</v>
          </cell>
          <cell r="P186">
            <v>408</v>
          </cell>
        </row>
        <row r="187">
          <cell r="C187" t="str">
            <v>2.0x108x1220</v>
          </cell>
        </row>
        <row r="188">
          <cell r="C188" t="str">
            <v>2.0x108x1220</v>
          </cell>
          <cell r="Q188">
            <v>1033</v>
          </cell>
        </row>
        <row r="189">
          <cell r="C189" t="str">
            <v>2.0x108x1220</v>
          </cell>
          <cell r="P189">
            <v>1038</v>
          </cell>
        </row>
        <row r="190">
          <cell r="C190" t="str">
            <v>2.0x108x1220</v>
          </cell>
        </row>
        <row r="191">
          <cell r="C191" t="str">
            <v>2.0X36X1220 SAPH440</v>
          </cell>
          <cell r="P191">
            <v>70</v>
          </cell>
        </row>
        <row r="192">
          <cell r="C192" t="str">
            <v>2.0X45X1220</v>
          </cell>
        </row>
        <row r="193">
          <cell r="C193" t="str">
            <v>2.0X45X1220</v>
          </cell>
          <cell r="P193">
            <v>771</v>
          </cell>
        </row>
        <row r="194">
          <cell r="C194" t="str">
            <v>2.0X73x1220</v>
          </cell>
          <cell r="P194">
            <v>139</v>
          </cell>
        </row>
        <row r="195">
          <cell r="C195" t="str">
            <v>2.0x78x1220</v>
          </cell>
          <cell r="P195">
            <v>298</v>
          </cell>
        </row>
        <row r="196">
          <cell r="C196" t="str">
            <v>2.0x86x1220</v>
          </cell>
        </row>
        <row r="197">
          <cell r="C197" t="str">
            <v>2.3x65.0x1220.0</v>
          </cell>
          <cell r="P197">
            <v>144</v>
          </cell>
        </row>
        <row r="198">
          <cell r="C198" t="str">
            <v>2.60x93.00x1220.00</v>
          </cell>
        </row>
        <row r="199">
          <cell r="C199" t="str">
            <v>2.6x75x1220</v>
          </cell>
          <cell r="Q199">
            <v>279</v>
          </cell>
        </row>
        <row r="200">
          <cell r="C200" t="str">
            <v>2.6x76x1220</v>
          </cell>
          <cell r="Q200">
            <v>1914</v>
          </cell>
        </row>
        <row r="201">
          <cell r="C201" t="str">
            <v>2.6x93x1220</v>
          </cell>
          <cell r="P201">
            <v>3086</v>
          </cell>
          <cell r="Q201">
            <v>5817</v>
          </cell>
        </row>
        <row r="202">
          <cell r="C202" t="str">
            <v>21021A030P-01</v>
          </cell>
        </row>
        <row r="203">
          <cell r="C203" t="str">
            <v>21021A030P-02</v>
          </cell>
          <cell r="P203">
            <v>188</v>
          </cell>
        </row>
        <row r="204">
          <cell r="C204" t="str">
            <v>21021A370P-02</v>
          </cell>
          <cell r="P204">
            <v>20</v>
          </cell>
        </row>
        <row r="205">
          <cell r="C205" t="str">
            <v>21021A370P-3</v>
          </cell>
        </row>
        <row r="206">
          <cell r="C206" t="str">
            <v>21021A370P-3</v>
          </cell>
          <cell r="P206">
            <v>33</v>
          </cell>
        </row>
        <row r="207">
          <cell r="C207" t="str">
            <v>21519W000P-02</v>
          </cell>
        </row>
        <row r="208">
          <cell r="C208" t="str">
            <v>23811-01</v>
          </cell>
          <cell r="Q208">
            <v>254</v>
          </cell>
        </row>
        <row r="209">
          <cell r="C209" t="str">
            <v>23812-0E010-01</v>
          </cell>
          <cell r="Q209">
            <v>1610</v>
          </cell>
        </row>
        <row r="210">
          <cell r="C210" t="str">
            <v>25733-851YL-02</v>
          </cell>
        </row>
        <row r="211">
          <cell r="C211" t="str">
            <v>25733-851YL-02</v>
          </cell>
          <cell r="P211">
            <v>220</v>
          </cell>
        </row>
        <row r="212">
          <cell r="C212" t="str">
            <v>36168-55AA-Z000-01</v>
          </cell>
        </row>
        <row r="213">
          <cell r="C213" t="str">
            <v>4.5x63x1220</v>
          </cell>
          <cell r="Q213">
            <v>404</v>
          </cell>
        </row>
        <row r="214">
          <cell r="C214" t="str">
            <v>4.5x67x1220</v>
          </cell>
          <cell r="P214">
            <v>1842</v>
          </cell>
        </row>
        <row r="215">
          <cell r="C215" t="str">
            <v>4.5X68X1220</v>
          </cell>
          <cell r="P215">
            <v>1451</v>
          </cell>
        </row>
        <row r="216">
          <cell r="C216" t="str">
            <v>4.5x93x1220</v>
          </cell>
          <cell r="P216">
            <v>1190</v>
          </cell>
          <cell r="Q216">
            <v>599</v>
          </cell>
        </row>
        <row r="217">
          <cell r="C217" t="str">
            <v>47401A00P-B1</v>
          </cell>
        </row>
        <row r="218">
          <cell r="C218" t="str">
            <v>49714A020P-B1</v>
          </cell>
        </row>
        <row r="219">
          <cell r="C219" t="str">
            <v>49714A030P-B1</v>
          </cell>
        </row>
        <row r="220">
          <cell r="C220" t="str">
            <v>49721A000P-B1</v>
          </cell>
          <cell r="P220">
            <v>62</v>
          </cell>
        </row>
        <row r="221">
          <cell r="C221" t="str">
            <v>49721A000P-B1/B2</v>
          </cell>
          <cell r="P221">
            <v>1280</v>
          </cell>
        </row>
        <row r="222">
          <cell r="C222" t="str">
            <v>49721A00P-B3</v>
          </cell>
          <cell r="P222">
            <v>228</v>
          </cell>
          <cell r="Q222">
            <v>693</v>
          </cell>
        </row>
        <row r="223">
          <cell r="C223" t="str">
            <v>6.0x75x1220</v>
          </cell>
          <cell r="P223">
            <v>1712</v>
          </cell>
          <cell r="Q223">
            <v>6293</v>
          </cell>
        </row>
        <row r="224">
          <cell r="C224" t="str">
            <v>6.0x75x1220</v>
          </cell>
        </row>
        <row r="225">
          <cell r="C225" t="str">
            <v>SPCC-SD 1.20x1220x2440</v>
          </cell>
        </row>
        <row r="226">
          <cell r="C226" t="str">
            <v>SPHC-P/O 2.0x51x1220</v>
          </cell>
          <cell r="P226">
            <v>684</v>
          </cell>
        </row>
        <row r="227">
          <cell r="C227" t="str">
            <v>t2.0x65x1220</v>
          </cell>
        </row>
        <row r="228">
          <cell r="C228" t="str">
            <v>0.8x100x1219</v>
          </cell>
          <cell r="P228">
            <v>314</v>
          </cell>
          <cell r="Q228">
            <v>382</v>
          </cell>
        </row>
        <row r="229">
          <cell r="C229" t="str">
            <v>0.8x63x1219</v>
          </cell>
          <cell r="P229">
            <v>170</v>
          </cell>
          <cell r="Q229">
            <v>252</v>
          </cell>
        </row>
        <row r="230">
          <cell r="C230" t="str">
            <v>30049867</v>
          </cell>
          <cell r="P230">
            <v>1550</v>
          </cell>
          <cell r="Q230">
            <v>1580</v>
          </cell>
        </row>
        <row r="231">
          <cell r="C231" t="str">
            <v>5.0x46x1219</v>
          </cell>
        </row>
        <row r="232">
          <cell r="C232" t="str">
            <v>77004607</v>
          </cell>
        </row>
        <row r="233">
          <cell r="C233" t="str">
            <v>77004614</v>
          </cell>
        </row>
        <row r="234">
          <cell r="C234" t="str">
            <v>77004624</v>
          </cell>
          <cell r="Q234">
            <v>1864</v>
          </cell>
        </row>
        <row r="235">
          <cell r="C235" t="str">
            <v>77004626</v>
          </cell>
          <cell r="P235">
            <v>178</v>
          </cell>
          <cell r="Q235">
            <v>915</v>
          </cell>
        </row>
        <row r="236">
          <cell r="C236" t="str">
            <v>77004644</v>
          </cell>
          <cell r="Q236">
            <v>2867</v>
          </cell>
        </row>
        <row r="237">
          <cell r="C237" t="str">
            <v>77004919</v>
          </cell>
          <cell r="Q237">
            <v>1167</v>
          </cell>
        </row>
        <row r="238">
          <cell r="C238">
            <v>77004978</v>
          </cell>
        </row>
        <row r="239">
          <cell r="C239" t="str">
            <v>JSC270C 1.6*58*1219</v>
          </cell>
        </row>
        <row r="240">
          <cell r="C240" t="str">
            <v>JSC270C 1.6*70*1219</v>
          </cell>
        </row>
        <row r="241">
          <cell r="C241" t="str">
            <v>JSH440W 4.0*106*1219</v>
          </cell>
          <cell r="P241">
            <v>663</v>
          </cell>
          <cell r="Q241">
            <v>533</v>
          </cell>
        </row>
        <row r="242">
          <cell r="C242" t="str">
            <v>JSH440W 4.0*67*1219</v>
          </cell>
          <cell r="P242">
            <v>192</v>
          </cell>
        </row>
        <row r="243">
          <cell r="C243" t="str">
            <v>SS400 8.0*102*1219</v>
          </cell>
        </row>
        <row r="244">
          <cell r="C244" t="str">
            <v/>
          </cell>
        </row>
        <row r="245">
          <cell r="C245" t="str">
            <v>13SG06-D13-01</v>
          </cell>
          <cell r="Q245">
            <v>2040</v>
          </cell>
        </row>
        <row r="246">
          <cell r="C246" t="str">
            <v>13SG06-D13-01</v>
          </cell>
          <cell r="P246">
            <v>9216</v>
          </cell>
          <cell r="Q246">
            <v>7011</v>
          </cell>
        </row>
        <row r="247">
          <cell r="C247" t="str">
            <v>13SG06-D28-01</v>
          </cell>
        </row>
        <row r="248">
          <cell r="C248" t="str">
            <v>13SG06-D28-01</v>
          </cell>
          <cell r="Q248">
            <v>3953</v>
          </cell>
        </row>
        <row r="249">
          <cell r="C249" t="str">
            <v>13SG06-D28-01</v>
          </cell>
          <cell r="P249">
            <v>7711</v>
          </cell>
          <cell r="Q249">
            <v>3884</v>
          </cell>
        </row>
        <row r="250">
          <cell r="C250" t="str">
            <v>13SG06-D28-01</v>
          </cell>
        </row>
        <row r="251">
          <cell r="C251" t="str">
            <v>13SG06-D29-01</v>
          </cell>
        </row>
        <row r="252">
          <cell r="C252" t="str">
            <v>13SG06-D29-01</v>
          </cell>
          <cell r="Q252">
            <v>4586</v>
          </cell>
        </row>
        <row r="253">
          <cell r="C253" t="str">
            <v>13SG06-D29-01</v>
          </cell>
          <cell r="P253">
            <v>4334</v>
          </cell>
          <cell r="Q253">
            <v>4623</v>
          </cell>
        </row>
        <row r="254">
          <cell r="C254" t="str">
            <v>13SG06-D29-01</v>
          </cell>
          <cell r="P254">
            <v>1554</v>
          </cell>
        </row>
        <row r="255">
          <cell r="C255" t="str">
            <v>13SG06-D30-01</v>
          </cell>
        </row>
        <row r="256">
          <cell r="C256" t="str">
            <v>13SG06-D30-01</v>
          </cell>
          <cell r="Q256">
            <v>3822</v>
          </cell>
        </row>
        <row r="257">
          <cell r="C257" t="str">
            <v>13SG06-D30-01</v>
          </cell>
          <cell r="P257">
            <v>7586</v>
          </cell>
          <cell r="Q257">
            <v>3844</v>
          </cell>
        </row>
        <row r="258">
          <cell r="C258" t="str">
            <v>13SG06-D30-01</v>
          </cell>
        </row>
        <row r="259">
          <cell r="C259" t="str">
            <v>13SG06-D31-01</v>
          </cell>
        </row>
        <row r="260">
          <cell r="C260" t="str">
            <v>13SG06-D31-01</v>
          </cell>
          <cell r="P260">
            <v>5716</v>
          </cell>
          <cell r="Q260">
            <v>7391</v>
          </cell>
        </row>
        <row r="261">
          <cell r="C261" t="str">
            <v>13SG06-D31-01</v>
          </cell>
          <cell r="P261">
            <v>1317</v>
          </cell>
        </row>
        <row r="262">
          <cell r="C262" t="str">
            <v>13SG16-D22-01</v>
          </cell>
        </row>
        <row r="263">
          <cell r="C263" t="str">
            <v>13SG16-D22-01</v>
          </cell>
          <cell r="P263">
            <v>3078</v>
          </cell>
          <cell r="Q263">
            <v>760</v>
          </cell>
        </row>
        <row r="264">
          <cell r="C264" t="str">
            <v>13SG16-D22-01</v>
          </cell>
          <cell r="Q264">
            <v>1530</v>
          </cell>
        </row>
        <row r="265">
          <cell r="C265" t="str">
            <v>13SG16-D67-01</v>
          </cell>
        </row>
        <row r="266">
          <cell r="C266" t="str">
            <v>13SG16-D67-01</v>
          </cell>
          <cell r="P266">
            <v>2131</v>
          </cell>
        </row>
        <row r="267">
          <cell r="C267" t="str">
            <v>13SP05-A20-00</v>
          </cell>
        </row>
        <row r="268">
          <cell r="C268" t="str">
            <v>13SP05-A20-00</v>
          </cell>
          <cell r="Q268">
            <v>80</v>
          </cell>
        </row>
        <row r="269">
          <cell r="C269" t="str">
            <v>13SP20-C212-00</v>
          </cell>
          <cell r="Q269">
            <v>1991</v>
          </cell>
        </row>
        <row r="270">
          <cell r="C270" t="str">
            <v>13SP20-C212-00</v>
          </cell>
        </row>
        <row r="271">
          <cell r="C271" t="str">
            <v>13SP20-C212-00</v>
          </cell>
        </row>
        <row r="272">
          <cell r="C272" t="str">
            <v>13SP20-C212-00</v>
          </cell>
        </row>
        <row r="273">
          <cell r="C273" t="str">
            <v>13SP20-C212-00</v>
          </cell>
          <cell r="P273">
            <v>903</v>
          </cell>
          <cell r="Q273">
            <v>486</v>
          </cell>
        </row>
        <row r="274">
          <cell r="C274" t="str">
            <v>14SG06-D104-00</v>
          </cell>
          <cell r="P274">
            <v>3098</v>
          </cell>
          <cell r="Q274">
            <v>3491</v>
          </cell>
        </row>
        <row r="275">
          <cell r="C275" t="str">
            <v>14SG06-D23-01</v>
          </cell>
          <cell r="P275">
            <v>144</v>
          </cell>
          <cell r="Q275">
            <v>211</v>
          </cell>
        </row>
        <row r="276">
          <cell r="C276" t="str">
            <v>14SG08-E07-00</v>
          </cell>
        </row>
        <row r="277">
          <cell r="C277" t="str">
            <v>14SG08-E08-00</v>
          </cell>
        </row>
        <row r="278">
          <cell r="C278" t="str">
            <v>14SG08-E08-00</v>
          </cell>
        </row>
        <row r="279">
          <cell r="C279" t="str">
            <v>14SG16-D92-00</v>
          </cell>
        </row>
        <row r="280">
          <cell r="C280" t="str">
            <v>14SG16-D92-00</v>
          </cell>
          <cell r="P280">
            <v>2918</v>
          </cell>
          <cell r="Q280">
            <v>1192</v>
          </cell>
        </row>
        <row r="281">
          <cell r="C281" t="str">
            <v>14SG16-D95-00</v>
          </cell>
          <cell r="P281">
            <v>1384</v>
          </cell>
          <cell r="Q281">
            <v>739</v>
          </cell>
        </row>
        <row r="282">
          <cell r="C282" t="str">
            <v>14SP05-K18-01</v>
          </cell>
        </row>
        <row r="283">
          <cell r="C283" t="str">
            <v>14SP05-K20-01</v>
          </cell>
        </row>
        <row r="284">
          <cell r="C284" t="str">
            <v>14SP05-K38-01</v>
          </cell>
        </row>
        <row r="285">
          <cell r="C285" t="str">
            <v>14SP06-L115-20</v>
          </cell>
          <cell r="Q285">
            <v>149</v>
          </cell>
        </row>
        <row r="286">
          <cell r="C286" t="str">
            <v>14SP08-C195-00</v>
          </cell>
          <cell r="P286">
            <v>64</v>
          </cell>
        </row>
        <row r="287">
          <cell r="C287" t="str">
            <v>14SP10-A16-00</v>
          </cell>
        </row>
        <row r="288">
          <cell r="C288" t="str">
            <v>14SP16-A15-00</v>
          </cell>
          <cell r="P288">
            <v>574</v>
          </cell>
          <cell r="Q288">
            <v>1221</v>
          </cell>
        </row>
        <row r="289">
          <cell r="C289" t="str">
            <v>14SP16-L112-00</v>
          </cell>
          <cell r="P289">
            <v>119</v>
          </cell>
          <cell r="Q289">
            <v>118</v>
          </cell>
        </row>
        <row r="290">
          <cell r="C290" t="str">
            <v>14SP18-A22-02</v>
          </cell>
          <cell r="P290">
            <v>300</v>
          </cell>
          <cell r="Q290">
            <v>401</v>
          </cell>
        </row>
        <row r="291">
          <cell r="C291" t="str">
            <v>14SP20-C266-00</v>
          </cell>
          <cell r="Q291">
            <v>78</v>
          </cell>
        </row>
        <row r="292">
          <cell r="C292" t="str">
            <v>14SP32-K77-01</v>
          </cell>
          <cell r="Q292">
            <v>177</v>
          </cell>
        </row>
        <row r="293">
          <cell r="C293" t="str">
            <v>0.600X105.00X1219.00</v>
          </cell>
          <cell r="Q293">
            <v>426</v>
          </cell>
        </row>
        <row r="294">
          <cell r="C294" t="str">
            <v>0.600X116.00X1219.00</v>
          </cell>
        </row>
        <row r="295">
          <cell r="C295" t="str">
            <v>0.600X116.00X1219.00</v>
          </cell>
          <cell r="Q295">
            <v>270</v>
          </cell>
        </row>
        <row r="296">
          <cell r="C296" t="str">
            <v>0.600X116.00X1219.00</v>
          </cell>
          <cell r="Q296">
            <v>270</v>
          </cell>
        </row>
        <row r="297">
          <cell r="C297" t="str">
            <v>0.600X140.00X250.00</v>
          </cell>
          <cell r="Q297">
            <v>18</v>
          </cell>
        </row>
        <row r="298">
          <cell r="C298" t="str">
            <v>0.600X140.00X250.00</v>
          </cell>
          <cell r="Q298">
            <v>34</v>
          </cell>
        </row>
        <row r="299">
          <cell r="C299" t="str">
            <v>1.000X275.00X1219.00</v>
          </cell>
          <cell r="P299">
            <v>131</v>
          </cell>
        </row>
        <row r="300">
          <cell r="C300" t="str">
            <v>1.000X520.00X600.00</v>
          </cell>
        </row>
        <row r="301">
          <cell r="C301" t="str">
            <v>1.2x218x1219</v>
          </cell>
          <cell r="Q301">
            <v>76</v>
          </cell>
        </row>
        <row r="302">
          <cell r="C302" t="str">
            <v>1.2x218x1219</v>
          </cell>
        </row>
        <row r="303">
          <cell r="C303" t="str">
            <v>1.2x65x1219</v>
          </cell>
          <cell r="Q303">
            <v>71</v>
          </cell>
        </row>
        <row r="304">
          <cell r="C304" t="str">
            <v>1.6x100x1219</v>
          </cell>
        </row>
        <row r="305">
          <cell r="C305" t="str">
            <v>1.6x30x1219</v>
          </cell>
          <cell r="P305">
            <v>12</v>
          </cell>
          <cell r="Q305">
            <v>15</v>
          </cell>
        </row>
        <row r="306">
          <cell r="C306" t="str">
            <v>2.0x86x1219</v>
          </cell>
          <cell r="P306">
            <v>328</v>
          </cell>
        </row>
        <row r="307">
          <cell r="C307" t="str">
            <v>3.2x100x1219</v>
          </cell>
        </row>
        <row r="308">
          <cell r="C308" t="str">
            <v>6.000X216.00X1219.00</v>
          </cell>
          <cell r="Q308">
            <v>1305</v>
          </cell>
        </row>
        <row r="309">
          <cell r="C309">
            <v>77003668</v>
          </cell>
          <cell r="P309">
            <v>37</v>
          </cell>
        </row>
        <row r="310">
          <cell r="C310">
            <v>77004063</v>
          </cell>
          <cell r="Q310">
            <v>879</v>
          </cell>
        </row>
        <row r="311">
          <cell r="C311">
            <v>77004064</v>
          </cell>
          <cell r="Q311">
            <v>6</v>
          </cell>
        </row>
        <row r="312">
          <cell r="C312">
            <v>77004065</v>
          </cell>
          <cell r="P312">
            <v>320</v>
          </cell>
          <cell r="Q312">
            <v>321</v>
          </cell>
        </row>
        <row r="313">
          <cell r="C313">
            <v>77004071</v>
          </cell>
          <cell r="Q313">
            <v>32</v>
          </cell>
        </row>
        <row r="314">
          <cell r="C314">
            <v>77004081</v>
          </cell>
          <cell r="Q314">
            <v>38</v>
          </cell>
        </row>
        <row r="315">
          <cell r="C315">
            <v>77004082</v>
          </cell>
          <cell r="Q315">
            <v>71</v>
          </cell>
        </row>
        <row r="316">
          <cell r="C316">
            <v>77004122</v>
          </cell>
          <cell r="Q316">
            <v>200</v>
          </cell>
        </row>
        <row r="317">
          <cell r="C317">
            <v>77004124</v>
          </cell>
        </row>
        <row r="318">
          <cell r="C318">
            <v>77004132</v>
          </cell>
          <cell r="Q318">
            <v>169</v>
          </cell>
        </row>
        <row r="319">
          <cell r="C319">
            <v>77004140</v>
          </cell>
          <cell r="Q319">
            <v>24</v>
          </cell>
        </row>
        <row r="320">
          <cell r="C320">
            <v>77004179</v>
          </cell>
          <cell r="P320">
            <v>73</v>
          </cell>
        </row>
        <row r="321">
          <cell r="C321">
            <v>77004180</v>
          </cell>
          <cell r="P321">
            <v>75</v>
          </cell>
        </row>
        <row r="322">
          <cell r="C322">
            <v>77004242</v>
          </cell>
          <cell r="P322">
            <v>34</v>
          </cell>
        </row>
        <row r="323">
          <cell r="C323">
            <v>77004269</v>
          </cell>
          <cell r="P323">
            <v>142</v>
          </cell>
        </row>
        <row r="324">
          <cell r="C324">
            <v>77004280</v>
          </cell>
          <cell r="Q324">
            <v>298</v>
          </cell>
        </row>
        <row r="325">
          <cell r="C325">
            <v>77004388</v>
          </cell>
        </row>
        <row r="326">
          <cell r="C326">
            <v>77004419</v>
          </cell>
          <cell r="P326">
            <v>397</v>
          </cell>
          <cell r="Q326">
            <v>132</v>
          </cell>
        </row>
        <row r="327">
          <cell r="C327">
            <v>77004422</v>
          </cell>
          <cell r="P327">
            <v>430</v>
          </cell>
          <cell r="Q327">
            <v>130</v>
          </cell>
        </row>
        <row r="328">
          <cell r="C328">
            <v>77004486</v>
          </cell>
          <cell r="P328">
            <v>116</v>
          </cell>
        </row>
        <row r="329">
          <cell r="C329">
            <v>77004487</v>
          </cell>
          <cell r="P329">
            <v>35</v>
          </cell>
        </row>
        <row r="330">
          <cell r="C330">
            <v>77004532</v>
          </cell>
          <cell r="P330">
            <v>268</v>
          </cell>
          <cell r="Q330">
            <v>264</v>
          </cell>
        </row>
        <row r="331">
          <cell r="C331">
            <v>77004533</v>
          </cell>
        </row>
        <row r="332">
          <cell r="C332">
            <v>77004557</v>
          </cell>
          <cell r="P332">
            <v>2293</v>
          </cell>
          <cell r="Q332">
            <v>2070</v>
          </cell>
        </row>
        <row r="333">
          <cell r="C333">
            <v>77004682</v>
          </cell>
          <cell r="Q333">
            <v>2428</v>
          </cell>
        </row>
        <row r="334">
          <cell r="C334">
            <v>77004840</v>
          </cell>
          <cell r="P334">
            <v>169</v>
          </cell>
        </row>
        <row r="335">
          <cell r="C335">
            <v>77004910</v>
          </cell>
          <cell r="Q335">
            <v>306</v>
          </cell>
        </row>
        <row r="336">
          <cell r="C336">
            <v>77004930</v>
          </cell>
          <cell r="P336">
            <v>215</v>
          </cell>
          <cell r="Q336">
            <v>197</v>
          </cell>
        </row>
        <row r="337">
          <cell r="C337">
            <v>77004931</v>
          </cell>
          <cell r="Q337">
            <v>39</v>
          </cell>
        </row>
        <row r="338">
          <cell r="C338">
            <v>77004931</v>
          </cell>
          <cell r="Q338">
            <v>289</v>
          </cell>
        </row>
        <row r="339">
          <cell r="C339">
            <v>77004979</v>
          </cell>
          <cell r="P339">
            <v>919</v>
          </cell>
          <cell r="Q339">
            <v>2305</v>
          </cell>
        </row>
        <row r="340">
          <cell r="C340">
            <v>77004979</v>
          </cell>
        </row>
        <row r="341">
          <cell r="C341">
            <v>77004981</v>
          </cell>
          <cell r="P341">
            <v>906</v>
          </cell>
          <cell r="Q341">
            <v>757</v>
          </cell>
        </row>
        <row r="342">
          <cell r="C342">
            <v>77005609</v>
          </cell>
          <cell r="Q342">
            <v>2067</v>
          </cell>
        </row>
        <row r="343">
          <cell r="C343" t="str">
            <v>JSC270C 1.2x65x1219</v>
          </cell>
          <cell r="Q343">
            <v>73</v>
          </cell>
        </row>
        <row r="344">
          <cell r="C344" t="str">
            <v>SPCC-SD 0.8x54.00x1219.00</v>
          </cell>
          <cell r="Q344">
            <v>12</v>
          </cell>
        </row>
        <row r="345">
          <cell r="C345" t="str">
            <v>SPHC 3.20x50.00x1219.00</v>
          </cell>
          <cell r="Q345">
            <v>154</v>
          </cell>
        </row>
        <row r="346">
          <cell r="C346" t="str">
            <v>SPHC 3.2x64.00x1219.00</v>
          </cell>
          <cell r="Q346">
            <v>228</v>
          </cell>
        </row>
        <row r="347">
          <cell r="C347" t="str">
            <v>SPHC-P/O 1.60x235.00x1219.00</v>
          </cell>
          <cell r="Q347">
            <v>180</v>
          </cell>
        </row>
        <row r="348">
          <cell r="C348" t="str">
            <v>0.6x111x1219</v>
          </cell>
          <cell r="P348">
            <v>53</v>
          </cell>
        </row>
        <row r="349">
          <cell r="C349" t="str">
            <v>0.6x111x1219</v>
          </cell>
        </row>
        <row r="350">
          <cell r="C350" t="str">
            <v>24711-MLRG-DN02-21</v>
          </cell>
          <cell r="P350">
            <v>209</v>
          </cell>
        </row>
        <row r="351">
          <cell r="C351">
            <v>30037413</v>
          </cell>
          <cell r="Q351">
            <v>143</v>
          </cell>
        </row>
        <row r="352">
          <cell r="C352">
            <v>30051230</v>
          </cell>
          <cell r="P352">
            <v>16</v>
          </cell>
          <cell r="Q352">
            <v>25</v>
          </cell>
        </row>
        <row r="353">
          <cell r="C353" t="str">
            <v>6.000X63.00X1219.00</v>
          </cell>
          <cell r="P353">
            <v>314</v>
          </cell>
        </row>
        <row r="354">
          <cell r="C354">
            <v>77005177</v>
          </cell>
          <cell r="Q354">
            <v>45</v>
          </cell>
        </row>
        <row r="355">
          <cell r="C355" t="str">
            <v>JSH270C 6.000X82.00X1219.00</v>
          </cell>
        </row>
        <row r="356">
          <cell r="C356" t="str">
            <v>JSH270C 6.000X82.00X1219.00</v>
          </cell>
          <cell r="Q356">
            <v>136</v>
          </cell>
        </row>
        <row r="357">
          <cell r="C357" t="str">
            <v>JSH270C 6.000X82.00X1219.00</v>
          </cell>
        </row>
        <row r="358">
          <cell r="C358" t="str">
            <v>1.6X90x223</v>
          </cell>
          <cell r="Q358">
            <v>488</v>
          </cell>
        </row>
        <row r="359">
          <cell r="C359" t="str">
            <v>12ST0010</v>
          </cell>
        </row>
        <row r="360">
          <cell r="C360" t="str">
            <v>12ST0013</v>
          </cell>
          <cell r="P360">
            <v>741</v>
          </cell>
        </row>
        <row r="361">
          <cell r="C361" t="str">
            <v>2.3x105x1219</v>
          </cell>
          <cell r="Q361">
            <v>497</v>
          </cell>
        </row>
        <row r="362">
          <cell r="C362" t="str">
            <v>2.3x130x1219</v>
          </cell>
          <cell r="Q362">
            <v>509</v>
          </cell>
        </row>
        <row r="363">
          <cell r="C363" t="str">
            <v>2.3x165x1219</v>
          </cell>
          <cell r="P363">
            <v>905</v>
          </cell>
          <cell r="Q363">
            <v>1086</v>
          </cell>
        </row>
        <row r="364">
          <cell r="C364" t="str">
            <v>1.2x74x1219</v>
          </cell>
          <cell r="P364">
            <v>45</v>
          </cell>
          <cell r="Q364">
            <v>43</v>
          </cell>
        </row>
        <row r="365">
          <cell r="C365" t="str">
            <v>1.0X80X1000</v>
          </cell>
        </row>
        <row r="366">
          <cell r="C366" t="str">
            <v>0.800x127.00x1093.00</v>
          </cell>
          <cell r="P366">
            <v>971</v>
          </cell>
          <cell r="Q366">
            <v>5866</v>
          </cell>
        </row>
        <row r="367">
          <cell r="C367" t="str">
            <v>0.800x127.00x705.00</v>
          </cell>
          <cell r="P367">
            <v>558</v>
          </cell>
          <cell r="Q367">
            <v>3844</v>
          </cell>
        </row>
        <row r="368">
          <cell r="C368" t="str">
            <v>0.50x488X610</v>
          </cell>
          <cell r="P368">
            <v>813</v>
          </cell>
        </row>
        <row r="369">
          <cell r="C369" t="str">
            <v>0.6x488X610</v>
          </cell>
          <cell r="P369">
            <v>726</v>
          </cell>
        </row>
        <row r="370">
          <cell r="C370" t="str">
            <v>0.7X210X570</v>
          </cell>
          <cell r="P370">
            <v>1091</v>
          </cell>
        </row>
        <row r="371">
          <cell r="C371" t="str">
            <v>0.7x400x550</v>
          </cell>
          <cell r="P371">
            <v>1033</v>
          </cell>
        </row>
        <row r="372">
          <cell r="C372" t="str">
            <v>0.9X375X610</v>
          </cell>
          <cell r="Q372">
            <v>1986</v>
          </cell>
        </row>
        <row r="373">
          <cell r="C373" t="str">
            <v>1.0x370x610</v>
          </cell>
        </row>
        <row r="374">
          <cell r="C374" t="str">
            <v>1.0x370x610</v>
          </cell>
        </row>
        <row r="375">
          <cell r="C375" t="str">
            <v>1.000X1000.00X1219.00</v>
          </cell>
          <cell r="P375">
            <v>972</v>
          </cell>
          <cell r="Q375">
            <v>2101</v>
          </cell>
        </row>
        <row r="376">
          <cell r="C376" t="str">
            <v>1.000X1000.00X1500.00</v>
          </cell>
          <cell r="Q376">
            <v>1008</v>
          </cell>
        </row>
        <row r="377">
          <cell r="C377" t="str">
            <v>1.000X1219.00X1650.00</v>
          </cell>
          <cell r="Q377">
            <v>541</v>
          </cell>
        </row>
        <row r="378">
          <cell r="C378" t="str">
            <v>SGCC-Z08 1.0x1219x1219</v>
          </cell>
          <cell r="Q378">
            <v>172</v>
          </cell>
        </row>
        <row r="379">
          <cell r="C379" t="str">
            <v>SGCC-Z08 1.0x1219x820</v>
          </cell>
          <cell r="Q379">
            <v>324</v>
          </cell>
        </row>
        <row r="380">
          <cell r="C380" t="str">
            <v>0.80X155.00X267</v>
          </cell>
          <cell r="P380">
            <v>1415</v>
          </cell>
          <cell r="Q380">
            <v>1410</v>
          </cell>
        </row>
        <row r="381">
          <cell r="C381" t="str">
            <v>0.80X172.00X190</v>
          </cell>
          <cell r="P381">
            <v>1798</v>
          </cell>
        </row>
        <row r="382">
          <cell r="C382" t="str">
            <v>0.80x186.00x1097.00</v>
          </cell>
        </row>
        <row r="383">
          <cell r="C383" t="str">
            <v>1.20X224.00X1219.00</v>
          </cell>
          <cell r="P383">
            <v>1137</v>
          </cell>
        </row>
        <row r="384">
          <cell r="C384" t="str">
            <v>1.20X280.00X1170.00</v>
          </cell>
        </row>
        <row r="385">
          <cell r="C385" t="str">
            <v>1.50X226X1219</v>
          </cell>
          <cell r="P385">
            <v>650</v>
          </cell>
        </row>
        <row r="386">
          <cell r="C386" t="str">
            <v>1.60x200.00x1166.00</v>
          </cell>
          <cell r="P386">
            <v>2831</v>
          </cell>
        </row>
        <row r="387">
          <cell r="C387" t="str">
            <v>1M73100D001</v>
          </cell>
          <cell r="P387">
            <v>469</v>
          </cell>
        </row>
        <row r="388">
          <cell r="C388" t="str">
            <v>1M73100F001</v>
          </cell>
          <cell r="P388">
            <v>758</v>
          </cell>
        </row>
        <row r="389">
          <cell r="C389" t="str">
            <v>1M73100F001</v>
          </cell>
        </row>
        <row r="390">
          <cell r="C390" t="str">
            <v>1M73300A001</v>
          </cell>
          <cell r="Q390">
            <v>103</v>
          </cell>
        </row>
        <row r="391">
          <cell r="C391" t="str">
            <v>1M73300C001 / D001</v>
          </cell>
          <cell r="Q391">
            <v>1484</v>
          </cell>
        </row>
        <row r="392">
          <cell r="C392" t="str">
            <v>1M816C2C001</v>
          </cell>
          <cell r="P392">
            <v>1605</v>
          </cell>
          <cell r="Q392">
            <v>1451</v>
          </cell>
        </row>
        <row r="393">
          <cell r="C393" t="str">
            <v>1M816C2D001</v>
          </cell>
        </row>
        <row r="394">
          <cell r="C394" t="str">
            <v>1M886C0C001</v>
          </cell>
          <cell r="P394">
            <v>1000</v>
          </cell>
          <cell r="Q394">
            <v>1866</v>
          </cell>
        </row>
        <row r="395">
          <cell r="C395" t="str">
            <v>1M886C0D001</v>
          </cell>
          <cell r="P395">
            <v>1843</v>
          </cell>
          <cell r="Q395">
            <v>2760</v>
          </cell>
        </row>
        <row r="396">
          <cell r="C396" t="str">
            <v>1M886C0E001</v>
          </cell>
          <cell r="P396">
            <v>1010</v>
          </cell>
          <cell r="Q396">
            <v>1491</v>
          </cell>
        </row>
        <row r="397">
          <cell r="C397" t="str">
            <v>1M886C0G001.</v>
          </cell>
        </row>
        <row r="398">
          <cell r="C398" t="str">
            <v>305-01171.</v>
          </cell>
          <cell r="Q398">
            <v>19778</v>
          </cell>
        </row>
        <row r="399">
          <cell r="C399" t="str">
            <v>313-03913</v>
          </cell>
          <cell r="P399">
            <v>3802</v>
          </cell>
          <cell r="Q399">
            <v>16005</v>
          </cell>
        </row>
        <row r="400">
          <cell r="C400" t="str">
            <v>313-03915 CPT-SCN</v>
          </cell>
          <cell r="Q400">
            <v>3473</v>
          </cell>
        </row>
        <row r="401">
          <cell r="C401" t="str">
            <v>317-00211.</v>
          </cell>
          <cell r="Q401">
            <v>10568</v>
          </cell>
        </row>
        <row r="402">
          <cell r="C402" t="str">
            <v>317-00211.</v>
          </cell>
          <cell r="Q402">
            <v>147</v>
          </cell>
        </row>
        <row r="403">
          <cell r="C403" t="str">
            <v>399-00157</v>
          </cell>
          <cell r="Q403">
            <v>4032</v>
          </cell>
        </row>
        <row r="404">
          <cell r="C404" t="str">
            <v>399-00157 Accessories</v>
          </cell>
          <cell r="Q404">
            <v>565</v>
          </cell>
        </row>
        <row r="405">
          <cell r="C405" t="str">
            <v>399-00165</v>
          </cell>
        </row>
        <row r="406">
          <cell r="C406" t="str">
            <v>399-00165</v>
          </cell>
        </row>
        <row r="407">
          <cell r="C407" t="str">
            <v>399-03914</v>
          </cell>
          <cell r="Q407">
            <v>10898</v>
          </cell>
        </row>
        <row r="408">
          <cell r="C408" t="str">
            <v>H001R10</v>
          </cell>
          <cell r="P408">
            <v>1145</v>
          </cell>
          <cell r="Q408">
            <v>2725</v>
          </cell>
        </row>
        <row r="409">
          <cell r="C409" t="str">
            <v>H002R10</v>
          </cell>
          <cell r="P409">
            <v>544</v>
          </cell>
          <cell r="Q409">
            <v>650</v>
          </cell>
        </row>
        <row r="410">
          <cell r="C410" t="str">
            <v>SPCEN-SD 0.8x315.00x600.00</v>
          </cell>
          <cell r="P410">
            <v>276</v>
          </cell>
        </row>
        <row r="411">
          <cell r="C411" t="str">
            <v>0.400X90.00XCOIL</v>
          </cell>
          <cell r="P411">
            <v>624</v>
          </cell>
        </row>
        <row r="412">
          <cell r="C412" t="str">
            <v>0.400X90.00XCOIL</v>
          </cell>
        </row>
        <row r="413">
          <cell r="C413" t="str">
            <v>0.400X90.00XCOIL</v>
          </cell>
        </row>
        <row r="414">
          <cell r="C414" t="str">
            <v>0.4X116XCOIL</v>
          </cell>
        </row>
        <row r="415">
          <cell r="C415" t="str">
            <v>0.4X130.5XCOIL</v>
          </cell>
        </row>
        <row r="416">
          <cell r="C416" t="str">
            <v>0.4X130.5XCOIL</v>
          </cell>
          <cell r="P416">
            <v>1298</v>
          </cell>
        </row>
        <row r="417">
          <cell r="C417" t="str">
            <v>0.4X130.5XCOIL</v>
          </cell>
        </row>
        <row r="418">
          <cell r="C418" t="str">
            <v>1.500X107.00X1219.00</v>
          </cell>
        </row>
        <row r="419">
          <cell r="C419" t="str">
            <v>2.000X141.00X1219.00</v>
          </cell>
          <cell r="P419">
            <v>547</v>
          </cell>
          <cell r="Q419">
            <v>780</v>
          </cell>
        </row>
        <row r="420">
          <cell r="C420" t="str">
            <v>2.600X76.00X1219.00</v>
          </cell>
          <cell r="P420">
            <v>1533</v>
          </cell>
          <cell r="Q420">
            <v>1959</v>
          </cell>
        </row>
        <row r="421">
          <cell r="C421" t="str">
            <v>4.500X112.00X1219.00</v>
          </cell>
          <cell r="P421">
            <v>1506</v>
          </cell>
          <cell r="Q421">
            <v>1377</v>
          </cell>
        </row>
        <row r="422">
          <cell r="C422" t="str">
            <v>7.25x104x1219</v>
          </cell>
          <cell r="P422">
            <v>7230</v>
          </cell>
        </row>
        <row r="423">
          <cell r="C423" t="str">
            <v>7.25x104x1219</v>
          </cell>
          <cell r="Q423">
            <v>9598</v>
          </cell>
        </row>
        <row r="424">
          <cell r="C424" t="str">
            <v>7.25x104x1219</v>
          </cell>
          <cell r="P424">
            <v>11755</v>
          </cell>
          <cell r="Q424">
            <v>14460</v>
          </cell>
        </row>
        <row r="425">
          <cell r="C425" t="str">
            <v>1.0x61xCOIL</v>
          </cell>
        </row>
        <row r="426">
          <cell r="C426" t="str">
            <v>1.0x61xCOIL</v>
          </cell>
        </row>
        <row r="427">
          <cell r="C427" t="str">
            <v>1.0x61xCOIL</v>
          </cell>
        </row>
        <row r="428">
          <cell r="C428" t="str">
            <v>1.0x61xCOIL</v>
          </cell>
        </row>
        <row r="429">
          <cell r="C429" t="str">
            <v>2.000X108.00XCOIL</v>
          </cell>
        </row>
        <row r="430">
          <cell r="C430">
            <v>3002376130023760</v>
          </cell>
          <cell r="Q430">
            <v>214</v>
          </cell>
        </row>
        <row r="431">
          <cell r="C431">
            <v>30034035</v>
          </cell>
          <cell r="Q431">
            <v>1645</v>
          </cell>
        </row>
        <row r="432">
          <cell r="C432" t="str">
            <v>1.60X315X550</v>
          </cell>
          <cell r="P432">
            <v>5072</v>
          </cell>
          <cell r="Q432">
            <v>8514</v>
          </cell>
        </row>
        <row r="433">
          <cell r="C433" t="str">
            <v>2x330xCoil</v>
          </cell>
          <cell r="P433">
            <v>3120</v>
          </cell>
        </row>
        <row r="434">
          <cell r="C434" t="str">
            <v>2x330xCoil</v>
          </cell>
          <cell r="Q434">
            <v>2137</v>
          </cell>
        </row>
        <row r="435">
          <cell r="C435" t="str">
            <v>1.2*74.4*1109</v>
          </cell>
          <cell r="Q435">
            <v>561</v>
          </cell>
        </row>
        <row r="436">
          <cell r="C436" t="str">
            <v>1.2X74.4x1109</v>
          </cell>
          <cell r="P436">
            <v>612</v>
          </cell>
          <cell r="Q436">
            <v>31</v>
          </cell>
        </row>
        <row r="437">
          <cell r="C437" t="str">
            <v>1.2X74.4x1309</v>
          </cell>
          <cell r="P437">
            <v>452</v>
          </cell>
          <cell r="Q437">
            <v>878</v>
          </cell>
        </row>
        <row r="438">
          <cell r="C438" t="str">
            <v>1.2X74.4x509</v>
          </cell>
          <cell r="P438">
            <v>288</v>
          </cell>
          <cell r="Q438">
            <v>355</v>
          </cell>
        </row>
        <row r="439">
          <cell r="C439" t="str">
            <v>1.2X74.4x709</v>
          </cell>
          <cell r="P439">
            <v>297</v>
          </cell>
          <cell r="Q439">
            <v>297</v>
          </cell>
        </row>
        <row r="440">
          <cell r="C440" t="str">
            <v>1.2X74.4x909</v>
          </cell>
          <cell r="P440">
            <v>759</v>
          </cell>
          <cell r="Q440">
            <v>1993</v>
          </cell>
        </row>
        <row r="441">
          <cell r="C441" t="str">
            <v>1.60x43.80x593</v>
          </cell>
          <cell r="P441">
            <v>63</v>
          </cell>
        </row>
        <row r="442">
          <cell r="C442" t="str">
            <v>1.60X43.80X627.00</v>
          </cell>
          <cell r="P442">
            <v>68</v>
          </cell>
        </row>
        <row r="443">
          <cell r="C443" t="str">
            <v>1.60X43.80X745</v>
          </cell>
          <cell r="P443">
            <v>240</v>
          </cell>
          <cell r="Q443">
            <v>240</v>
          </cell>
        </row>
        <row r="444">
          <cell r="C444" t="str">
            <v>1.60x43.80x795.00</v>
          </cell>
          <cell r="P444">
            <v>430</v>
          </cell>
        </row>
        <row r="445">
          <cell r="C445" t="str">
            <v>1.60X43.80X820</v>
          </cell>
          <cell r="P445">
            <v>715</v>
          </cell>
          <cell r="Q445">
            <v>521</v>
          </cell>
        </row>
        <row r="446">
          <cell r="C446" t="str">
            <v>1.60x43.80x830</v>
          </cell>
          <cell r="Q446">
            <v>178</v>
          </cell>
        </row>
        <row r="447">
          <cell r="C447" t="str">
            <v>1.6X43.8X795</v>
          </cell>
          <cell r="Q447">
            <v>516</v>
          </cell>
        </row>
        <row r="448">
          <cell r="C448" t="str">
            <v>1.6X43.8X830</v>
          </cell>
          <cell r="P448">
            <v>349</v>
          </cell>
        </row>
        <row r="449">
          <cell r="C449" t="str">
            <v>1.6X43.8X855</v>
          </cell>
          <cell r="P449">
            <v>450</v>
          </cell>
          <cell r="Q449">
            <v>372</v>
          </cell>
        </row>
        <row r="450">
          <cell r="C450" t="str">
            <v>2.30x42.00xcoil</v>
          </cell>
          <cell r="Q450">
            <v>120</v>
          </cell>
        </row>
        <row r="451">
          <cell r="C451" t="str">
            <v>2.3x42xCoil</v>
          </cell>
          <cell r="P451">
            <v>115</v>
          </cell>
        </row>
        <row r="452">
          <cell r="C452" t="str">
            <v>NSH482 P147</v>
          </cell>
        </row>
        <row r="453">
          <cell r="C453" t="str">
            <v/>
          </cell>
        </row>
        <row r="454">
          <cell r="C454">
            <v>30052577.300000001</v>
          </cell>
        </row>
        <row r="455">
          <cell r="C455">
            <v>30052581</v>
          </cell>
          <cell r="P455">
            <v>499</v>
          </cell>
        </row>
        <row r="456">
          <cell r="C456">
            <v>30052581</v>
          </cell>
        </row>
        <row r="457">
          <cell r="C457">
            <v>300525827</v>
          </cell>
          <cell r="P457">
            <v>35</v>
          </cell>
        </row>
        <row r="458">
          <cell r="C458">
            <v>300525831</v>
          </cell>
          <cell r="P458">
            <v>36</v>
          </cell>
        </row>
        <row r="459">
          <cell r="C459">
            <v>300525834.10000002</v>
          </cell>
        </row>
        <row r="460">
          <cell r="C460">
            <v>30052830</v>
          </cell>
        </row>
        <row r="461">
          <cell r="C461">
            <v>30052830</v>
          </cell>
          <cell r="P461">
            <v>48</v>
          </cell>
        </row>
        <row r="462">
          <cell r="C462">
            <v>30053681</v>
          </cell>
          <cell r="P462">
            <v>1087</v>
          </cell>
          <cell r="Q462">
            <v>2256</v>
          </cell>
        </row>
        <row r="463">
          <cell r="C463">
            <v>30053976.199999999</v>
          </cell>
          <cell r="P463">
            <v>264</v>
          </cell>
        </row>
        <row r="464">
          <cell r="C464">
            <v>30053977.199999999</v>
          </cell>
          <cell r="P464">
            <v>189</v>
          </cell>
        </row>
        <row r="465">
          <cell r="C465">
            <v>30053977.300000001</v>
          </cell>
          <cell r="P465">
            <v>186</v>
          </cell>
        </row>
        <row r="466">
          <cell r="C466">
            <v>30054114</v>
          </cell>
          <cell r="P466">
            <v>497</v>
          </cell>
        </row>
        <row r="467">
          <cell r="C467">
            <v>30054114</v>
          </cell>
        </row>
        <row r="468">
          <cell r="C468">
            <v>30054120</v>
          </cell>
          <cell r="P468">
            <v>17</v>
          </cell>
        </row>
        <row r="469">
          <cell r="C469">
            <v>30054121</v>
          </cell>
          <cell r="P469">
            <v>35</v>
          </cell>
        </row>
        <row r="470">
          <cell r="C470">
            <v>73022575.200000003</v>
          </cell>
          <cell r="P470">
            <v>2019</v>
          </cell>
          <cell r="Q470">
            <v>2637</v>
          </cell>
        </row>
        <row r="471">
          <cell r="C471">
            <v>73022575.299999997</v>
          </cell>
          <cell r="P471">
            <v>1537</v>
          </cell>
          <cell r="Q471">
            <v>2118</v>
          </cell>
        </row>
        <row r="472">
          <cell r="C472">
            <v>73022575.400000006</v>
          </cell>
          <cell r="P472">
            <v>346</v>
          </cell>
          <cell r="Q472">
            <v>448</v>
          </cell>
        </row>
        <row r="473">
          <cell r="C473">
            <v>73022575.5</v>
          </cell>
          <cell r="P473">
            <v>346</v>
          </cell>
          <cell r="Q473">
            <v>402</v>
          </cell>
        </row>
        <row r="474">
          <cell r="C474" t="str">
            <v>77004929-TSD</v>
          </cell>
        </row>
        <row r="475">
          <cell r="C475" t="str">
            <v>-</v>
          </cell>
        </row>
        <row r="476">
          <cell r="C476" t="str">
            <v>-</v>
          </cell>
        </row>
        <row r="477">
          <cell r="C477" t="str">
            <v>-</v>
          </cell>
        </row>
        <row r="478">
          <cell r="C478" t="str">
            <v>0.50x14.00x438.00</v>
          </cell>
        </row>
        <row r="479">
          <cell r="C479" t="str">
            <v>0.50x29.00x422.00</v>
          </cell>
        </row>
        <row r="480">
          <cell r="C480" t="str">
            <v>1.40x1219.00x160.00</v>
          </cell>
          <cell r="P480">
            <v>169</v>
          </cell>
        </row>
        <row r="481">
          <cell r="C481" t="str">
            <v>1.40x1219x183</v>
          </cell>
          <cell r="P481">
            <v>1121</v>
          </cell>
        </row>
        <row r="482">
          <cell r="C482" t="str">
            <v>1.40x1219x183</v>
          </cell>
          <cell r="P482">
            <v>367</v>
          </cell>
          <cell r="Q482">
            <v>1458</v>
          </cell>
        </row>
        <row r="483">
          <cell r="C483" t="str">
            <v>1.40x160.00x1219.00</v>
          </cell>
          <cell r="Q483">
            <v>294</v>
          </cell>
        </row>
        <row r="484">
          <cell r="C484" t="str">
            <v>1.40x180.00x1219.00</v>
          </cell>
        </row>
        <row r="485">
          <cell r="C485" t="str">
            <v>1.40x180.00x1219.00</v>
          </cell>
          <cell r="P485">
            <v>484</v>
          </cell>
          <cell r="Q485">
            <v>1944</v>
          </cell>
        </row>
        <row r="486">
          <cell r="C486" t="str">
            <v>1.40x265.00x1219.00</v>
          </cell>
          <cell r="P486">
            <v>214</v>
          </cell>
          <cell r="Q486">
            <v>204</v>
          </cell>
        </row>
        <row r="487">
          <cell r="C487" t="str">
            <v>1.4x1219x2438</v>
          </cell>
        </row>
        <row r="488">
          <cell r="C488" t="str">
            <v>1.60x343.00x1219.00</v>
          </cell>
          <cell r="P488">
            <v>424</v>
          </cell>
        </row>
        <row r="489">
          <cell r="C489">
            <v>77004209</v>
          </cell>
          <cell r="P489">
            <v>1426</v>
          </cell>
          <cell r="Q489">
            <v>1424</v>
          </cell>
        </row>
        <row r="490">
          <cell r="C490">
            <v>77004416</v>
          </cell>
          <cell r="P490">
            <v>6580</v>
          </cell>
          <cell r="Q490">
            <v>6689</v>
          </cell>
        </row>
        <row r="491">
          <cell r="C491">
            <v>77004641</v>
          </cell>
          <cell r="P491">
            <v>150</v>
          </cell>
          <cell r="Q491">
            <v>1576</v>
          </cell>
        </row>
        <row r="492">
          <cell r="C492">
            <v>77004809</v>
          </cell>
          <cell r="Q492">
            <v>1900</v>
          </cell>
        </row>
        <row r="493">
          <cell r="C493">
            <v>77004810</v>
          </cell>
          <cell r="Q493">
            <v>3750</v>
          </cell>
        </row>
        <row r="494">
          <cell r="C494">
            <v>77004811</v>
          </cell>
        </row>
        <row r="495">
          <cell r="C495">
            <v>77004812</v>
          </cell>
        </row>
        <row r="496">
          <cell r="C496">
            <v>77004812</v>
          </cell>
        </row>
        <row r="497">
          <cell r="C497">
            <v>77004814</v>
          </cell>
          <cell r="P497">
            <v>440</v>
          </cell>
        </row>
        <row r="498">
          <cell r="C498">
            <v>77004815</v>
          </cell>
        </row>
        <row r="499">
          <cell r="C499">
            <v>77004816</v>
          </cell>
          <cell r="Q499">
            <v>540</v>
          </cell>
        </row>
        <row r="500">
          <cell r="C500">
            <v>77004817</v>
          </cell>
        </row>
        <row r="501">
          <cell r="C501">
            <v>77004818</v>
          </cell>
        </row>
        <row r="502">
          <cell r="C502">
            <v>77004819</v>
          </cell>
        </row>
        <row r="503">
          <cell r="C503">
            <v>77004821</v>
          </cell>
        </row>
        <row r="504">
          <cell r="C504">
            <v>77004823</v>
          </cell>
          <cell r="Q504">
            <v>185</v>
          </cell>
        </row>
        <row r="505">
          <cell r="C505">
            <v>77004824</v>
          </cell>
          <cell r="P505">
            <v>11985</v>
          </cell>
          <cell r="Q505">
            <v>7515</v>
          </cell>
        </row>
        <row r="506">
          <cell r="C506">
            <v>77004825</v>
          </cell>
          <cell r="Q506">
            <v>2685</v>
          </cell>
        </row>
        <row r="507">
          <cell r="C507">
            <v>77004827</v>
          </cell>
        </row>
        <row r="508">
          <cell r="C508">
            <v>77004828</v>
          </cell>
        </row>
        <row r="509">
          <cell r="C509" t="str">
            <v>77004929-TSD</v>
          </cell>
          <cell r="P509">
            <v>179</v>
          </cell>
        </row>
        <row r="510">
          <cell r="C510" t="str">
            <v>JSC270C 1.4x1219x2438</v>
          </cell>
        </row>
        <row r="511">
          <cell r="C511" t="str">
            <v>SPFH590-P/O 2.30x270.00x1219.00</v>
          </cell>
          <cell r="Q511">
            <v>1025</v>
          </cell>
        </row>
        <row r="512">
          <cell r="C512">
            <v>77003622</v>
          </cell>
        </row>
        <row r="513">
          <cell r="C513">
            <v>77003622</v>
          </cell>
        </row>
        <row r="514">
          <cell r="C514">
            <v>77003623</v>
          </cell>
        </row>
        <row r="515">
          <cell r="C515">
            <v>77003623</v>
          </cell>
        </row>
        <row r="516">
          <cell r="C516">
            <v>77004076</v>
          </cell>
          <cell r="Q516">
            <v>21</v>
          </cell>
        </row>
        <row r="517">
          <cell r="C517">
            <v>77004111</v>
          </cell>
          <cell r="Q517">
            <v>97</v>
          </cell>
        </row>
        <row r="518">
          <cell r="C518">
            <v>77004113</v>
          </cell>
          <cell r="Q518">
            <v>91</v>
          </cell>
        </row>
        <row r="519">
          <cell r="C519">
            <v>77004115</v>
          </cell>
          <cell r="Q519">
            <v>124</v>
          </cell>
        </row>
        <row r="520">
          <cell r="C520">
            <v>77004120</v>
          </cell>
          <cell r="Q520">
            <v>473</v>
          </cell>
        </row>
        <row r="521">
          <cell r="C521">
            <v>77004125</v>
          </cell>
        </row>
        <row r="522">
          <cell r="C522">
            <v>77004125</v>
          </cell>
          <cell r="Q522">
            <v>53</v>
          </cell>
        </row>
        <row r="523">
          <cell r="C523">
            <v>77004125</v>
          </cell>
          <cell r="P523">
            <v>54</v>
          </cell>
          <cell r="Q523">
            <v>78</v>
          </cell>
        </row>
        <row r="524">
          <cell r="C524">
            <v>77004125</v>
          </cell>
          <cell r="P524">
            <v>172</v>
          </cell>
        </row>
        <row r="525">
          <cell r="C525">
            <v>77004146</v>
          </cell>
          <cell r="P525">
            <v>3221</v>
          </cell>
          <cell r="Q525">
            <v>2968</v>
          </cell>
        </row>
        <row r="526">
          <cell r="C526">
            <v>77004163</v>
          </cell>
          <cell r="P526">
            <v>2001</v>
          </cell>
          <cell r="Q526">
            <v>2301</v>
          </cell>
        </row>
        <row r="527">
          <cell r="C527">
            <v>77004163</v>
          </cell>
        </row>
        <row r="528">
          <cell r="C528">
            <v>77004166</v>
          </cell>
          <cell r="Q528">
            <v>71</v>
          </cell>
        </row>
        <row r="529">
          <cell r="C529">
            <v>77004166</v>
          </cell>
          <cell r="P529">
            <v>99</v>
          </cell>
        </row>
        <row r="530">
          <cell r="C530">
            <v>77004171</v>
          </cell>
        </row>
        <row r="531">
          <cell r="C531">
            <v>77004172</v>
          </cell>
          <cell r="Q531">
            <v>125</v>
          </cell>
        </row>
        <row r="532">
          <cell r="C532">
            <v>77004192</v>
          </cell>
        </row>
        <row r="533">
          <cell r="C533">
            <v>77004192</v>
          </cell>
          <cell r="Q533">
            <v>1410</v>
          </cell>
        </row>
        <row r="534">
          <cell r="C534">
            <v>77004192</v>
          </cell>
          <cell r="P534">
            <v>3006</v>
          </cell>
          <cell r="Q534">
            <v>660</v>
          </cell>
        </row>
        <row r="535">
          <cell r="C535">
            <v>77004201</v>
          </cell>
          <cell r="P535">
            <v>5333</v>
          </cell>
          <cell r="Q535">
            <v>2147</v>
          </cell>
        </row>
        <row r="536">
          <cell r="C536">
            <v>77004202</v>
          </cell>
        </row>
        <row r="537">
          <cell r="C537">
            <v>77004282</v>
          </cell>
        </row>
        <row r="538">
          <cell r="C538">
            <v>77004282</v>
          </cell>
        </row>
        <row r="539">
          <cell r="C539">
            <v>77004489</v>
          </cell>
          <cell r="P539">
            <v>12</v>
          </cell>
          <cell r="Q539">
            <v>23</v>
          </cell>
        </row>
        <row r="540">
          <cell r="C540">
            <v>77004535</v>
          </cell>
          <cell r="P540">
            <v>821</v>
          </cell>
        </row>
        <row r="541">
          <cell r="C541">
            <v>77004698</v>
          </cell>
        </row>
        <row r="542">
          <cell r="C542">
            <v>77004701</v>
          </cell>
        </row>
        <row r="543">
          <cell r="C543">
            <v>77004701</v>
          </cell>
          <cell r="Q543">
            <v>10</v>
          </cell>
        </row>
        <row r="544">
          <cell r="C544">
            <v>77004720</v>
          </cell>
        </row>
        <row r="545">
          <cell r="C545">
            <v>77004728</v>
          </cell>
        </row>
        <row r="546">
          <cell r="C546">
            <v>77004728</v>
          </cell>
        </row>
        <row r="547">
          <cell r="C547">
            <v>77004729</v>
          </cell>
          <cell r="Q547">
            <v>124</v>
          </cell>
        </row>
        <row r="548">
          <cell r="C548">
            <v>77004736</v>
          </cell>
        </row>
        <row r="549">
          <cell r="C549">
            <v>50001273</v>
          </cell>
        </row>
        <row r="550">
          <cell r="C550">
            <v>50001276</v>
          </cell>
        </row>
        <row r="551">
          <cell r="C551">
            <v>50001285</v>
          </cell>
        </row>
        <row r="552">
          <cell r="C552">
            <v>50001285</v>
          </cell>
        </row>
        <row r="553">
          <cell r="C553">
            <v>50001285</v>
          </cell>
        </row>
        <row r="554">
          <cell r="C554">
            <v>50001294</v>
          </cell>
          <cell r="Q554">
            <v>848</v>
          </cell>
        </row>
        <row r="555">
          <cell r="C555">
            <v>50001294</v>
          </cell>
        </row>
        <row r="556">
          <cell r="C556">
            <v>50001294</v>
          </cell>
          <cell r="Q556">
            <v>849</v>
          </cell>
        </row>
        <row r="557">
          <cell r="C557">
            <v>50001295</v>
          </cell>
          <cell r="Q557">
            <v>820</v>
          </cell>
        </row>
        <row r="558">
          <cell r="C558">
            <v>50001295</v>
          </cell>
        </row>
        <row r="559">
          <cell r="C559">
            <v>50001295</v>
          </cell>
          <cell r="P559">
            <v>1654</v>
          </cell>
          <cell r="Q559">
            <v>1427</v>
          </cell>
        </row>
        <row r="560">
          <cell r="C560">
            <v>50001823</v>
          </cell>
          <cell r="P560">
            <v>339</v>
          </cell>
        </row>
        <row r="561">
          <cell r="C561">
            <v>50004529</v>
          </cell>
        </row>
        <row r="562">
          <cell r="C562">
            <v>50020834</v>
          </cell>
        </row>
        <row r="563">
          <cell r="C563">
            <v>50021630</v>
          </cell>
        </row>
        <row r="564">
          <cell r="C564">
            <v>50021630</v>
          </cell>
        </row>
        <row r="565">
          <cell r="C565">
            <v>50021630</v>
          </cell>
          <cell r="Q565">
            <v>399</v>
          </cell>
        </row>
        <row r="566">
          <cell r="C566">
            <v>50021937</v>
          </cell>
        </row>
        <row r="567">
          <cell r="C567">
            <v>50023489</v>
          </cell>
        </row>
        <row r="568">
          <cell r="C568">
            <v>50023489</v>
          </cell>
        </row>
        <row r="569">
          <cell r="C569">
            <v>50025525</v>
          </cell>
        </row>
        <row r="570">
          <cell r="C570">
            <v>50025525</v>
          </cell>
          <cell r="P570">
            <v>39506</v>
          </cell>
          <cell r="Q570">
            <v>71368</v>
          </cell>
        </row>
        <row r="571">
          <cell r="C571">
            <v>50025527</v>
          </cell>
        </row>
        <row r="572">
          <cell r="C572">
            <v>50025527</v>
          </cell>
          <cell r="P572">
            <v>3441</v>
          </cell>
          <cell r="Q572">
            <v>1717</v>
          </cell>
        </row>
        <row r="573">
          <cell r="C573">
            <v>50025528</v>
          </cell>
        </row>
        <row r="574">
          <cell r="C574">
            <v>50025528</v>
          </cell>
          <cell r="P574">
            <v>2592</v>
          </cell>
        </row>
        <row r="575">
          <cell r="C575">
            <v>50025529</v>
          </cell>
        </row>
        <row r="576">
          <cell r="C576">
            <v>50025529</v>
          </cell>
          <cell r="P576">
            <v>1402</v>
          </cell>
        </row>
        <row r="577">
          <cell r="C577">
            <v>50025529</v>
          </cell>
        </row>
        <row r="578">
          <cell r="C578">
            <v>50025529</v>
          </cell>
        </row>
        <row r="579">
          <cell r="C579">
            <v>50025529</v>
          </cell>
        </row>
        <row r="580">
          <cell r="C580">
            <v>50025529</v>
          </cell>
        </row>
        <row r="581">
          <cell r="C581">
            <v>50025529</v>
          </cell>
          <cell r="P581">
            <v>2794</v>
          </cell>
          <cell r="Q581">
            <v>1404</v>
          </cell>
        </row>
        <row r="582">
          <cell r="C582">
            <v>50025529</v>
          </cell>
        </row>
        <row r="583">
          <cell r="C583">
            <v>50025530</v>
          </cell>
        </row>
        <row r="584">
          <cell r="C584">
            <v>50025530</v>
          </cell>
        </row>
        <row r="585">
          <cell r="C585">
            <v>50025530</v>
          </cell>
          <cell r="P585">
            <v>1472</v>
          </cell>
        </row>
        <row r="586">
          <cell r="C586">
            <v>50025530</v>
          </cell>
        </row>
        <row r="587">
          <cell r="C587">
            <v>50025530</v>
          </cell>
          <cell r="Q587">
            <v>2280</v>
          </cell>
        </row>
        <row r="588">
          <cell r="C588">
            <v>50025530</v>
          </cell>
          <cell r="P588">
            <v>1143</v>
          </cell>
        </row>
        <row r="589">
          <cell r="C589">
            <v>50025530</v>
          </cell>
        </row>
        <row r="590">
          <cell r="C590">
            <v>50025836</v>
          </cell>
          <cell r="P590">
            <v>4235</v>
          </cell>
          <cell r="Q590">
            <v>5977</v>
          </cell>
        </row>
        <row r="591">
          <cell r="C591">
            <v>50026363</v>
          </cell>
          <cell r="P591">
            <v>4688</v>
          </cell>
          <cell r="Q591">
            <v>6755</v>
          </cell>
        </row>
        <row r="592">
          <cell r="C592">
            <v>50029275</v>
          </cell>
          <cell r="Q592">
            <v>109</v>
          </cell>
        </row>
        <row r="593">
          <cell r="C593">
            <v>50029275</v>
          </cell>
          <cell r="Q593">
            <v>432</v>
          </cell>
        </row>
        <row r="594">
          <cell r="C594">
            <v>50029335</v>
          </cell>
          <cell r="Q594">
            <v>430</v>
          </cell>
        </row>
        <row r="595">
          <cell r="C595">
            <v>50029335</v>
          </cell>
          <cell r="P595">
            <v>1339</v>
          </cell>
          <cell r="Q595">
            <v>849</v>
          </cell>
        </row>
        <row r="596">
          <cell r="C596">
            <v>50029336</v>
          </cell>
        </row>
        <row r="597">
          <cell r="C597">
            <v>50029336</v>
          </cell>
          <cell r="Q597">
            <v>283</v>
          </cell>
        </row>
        <row r="598">
          <cell r="C598">
            <v>50029337</v>
          </cell>
          <cell r="P598">
            <v>300</v>
          </cell>
          <cell r="Q598">
            <v>295</v>
          </cell>
        </row>
        <row r="599">
          <cell r="C599">
            <v>50029424</v>
          </cell>
          <cell r="Q599">
            <v>1380</v>
          </cell>
        </row>
        <row r="600">
          <cell r="C600">
            <v>77004720</v>
          </cell>
        </row>
        <row r="601">
          <cell r="C601">
            <v>77003671</v>
          </cell>
          <cell r="P601">
            <v>870</v>
          </cell>
          <cell r="Q601">
            <v>490</v>
          </cell>
        </row>
        <row r="602">
          <cell r="C602">
            <v>77004149</v>
          </cell>
          <cell r="P602">
            <v>753</v>
          </cell>
        </row>
        <row r="603">
          <cell r="C603">
            <v>77004218</v>
          </cell>
          <cell r="P603">
            <v>60</v>
          </cell>
          <cell r="Q603">
            <v>85</v>
          </cell>
        </row>
        <row r="604">
          <cell r="C604">
            <v>77004218</v>
          </cell>
        </row>
        <row r="605">
          <cell r="C605">
            <v>77004234</v>
          </cell>
          <cell r="P605">
            <v>216</v>
          </cell>
          <cell r="Q605">
            <v>201</v>
          </cell>
        </row>
        <row r="606">
          <cell r="C606">
            <v>77004235</v>
          </cell>
          <cell r="P606">
            <v>76</v>
          </cell>
        </row>
        <row r="607">
          <cell r="C607">
            <v>77004258</v>
          </cell>
          <cell r="P607">
            <v>115</v>
          </cell>
          <cell r="Q607">
            <v>134</v>
          </cell>
        </row>
        <row r="608">
          <cell r="C608">
            <v>77004262</v>
          </cell>
          <cell r="P608">
            <v>102</v>
          </cell>
          <cell r="Q608">
            <v>85</v>
          </cell>
        </row>
        <row r="609">
          <cell r="C609">
            <v>77004272</v>
          </cell>
        </row>
        <row r="610">
          <cell r="C610">
            <v>77004283</v>
          </cell>
          <cell r="P610">
            <v>51</v>
          </cell>
        </row>
        <row r="611">
          <cell r="C611">
            <v>77004283</v>
          </cell>
        </row>
        <row r="612">
          <cell r="C612">
            <v>77004283</v>
          </cell>
        </row>
        <row r="613">
          <cell r="C613">
            <v>77004286</v>
          </cell>
          <cell r="Q613">
            <v>9</v>
          </cell>
        </row>
        <row r="614">
          <cell r="C614">
            <v>77004298</v>
          </cell>
          <cell r="P614">
            <v>6</v>
          </cell>
        </row>
        <row r="615">
          <cell r="C615">
            <v>77004301</v>
          </cell>
          <cell r="P615">
            <v>17</v>
          </cell>
        </row>
        <row r="616">
          <cell r="C616">
            <v>77004305</v>
          </cell>
          <cell r="Q616">
            <v>29</v>
          </cell>
        </row>
        <row r="617">
          <cell r="C617">
            <v>77004433</v>
          </cell>
          <cell r="P617">
            <v>8</v>
          </cell>
          <cell r="Q617">
            <v>13</v>
          </cell>
        </row>
        <row r="618">
          <cell r="C618">
            <v>77004442</v>
          </cell>
          <cell r="P618">
            <v>234</v>
          </cell>
          <cell r="Q618">
            <v>20</v>
          </cell>
        </row>
        <row r="619">
          <cell r="C619">
            <v>77004447</v>
          </cell>
          <cell r="P619">
            <v>306</v>
          </cell>
          <cell r="Q619">
            <v>39</v>
          </cell>
        </row>
        <row r="620">
          <cell r="C620">
            <v>77004450</v>
          </cell>
          <cell r="P620">
            <v>688</v>
          </cell>
          <cell r="Q620">
            <v>478</v>
          </cell>
        </row>
        <row r="621">
          <cell r="C621">
            <v>77004451</v>
          </cell>
          <cell r="P621">
            <v>444</v>
          </cell>
          <cell r="Q621">
            <v>112</v>
          </cell>
        </row>
        <row r="622">
          <cell r="C622">
            <v>77004459</v>
          </cell>
          <cell r="P622">
            <v>66</v>
          </cell>
        </row>
        <row r="623">
          <cell r="C623">
            <v>77004459</v>
          </cell>
        </row>
        <row r="624">
          <cell r="C624">
            <v>77004459</v>
          </cell>
          <cell r="P624">
            <v>67</v>
          </cell>
          <cell r="Q624">
            <v>132</v>
          </cell>
        </row>
        <row r="625">
          <cell r="C625">
            <v>77004459</v>
          </cell>
        </row>
        <row r="626">
          <cell r="C626">
            <v>77004477</v>
          </cell>
          <cell r="P626">
            <v>290</v>
          </cell>
          <cell r="Q626">
            <v>193</v>
          </cell>
        </row>
        <row r="627">
          <cell r="C627">
            <v>77004478</v>
          </cell>
          <cell r="P627">
            <v>168</v>
          </cell>
          <cell r="Q627">
            <v>80</v>
          </cell>
        </row>
        <row r="628">
          <cell r="C628">
            <v>77004493</v>
          </cell>
          <cell r="P628">
            <v>2397</v>
          </cell>
          <cell r="Q628">
            <v>1586</v>
          </cell>
        </row>
        <row r="629">
          <cell r="C629">
            <v>77004494</v>
          </cell>
          <cell r="P629">
            <v>792</v>
          </cell>
          <cell r="Q629">
            <v>528</v>
          </cell>
        </row>
        <row r="630">
          <cell r="C630">
            <v>77004497</v>
          </cell>
          <cell r="P630">
            <v>1056</v>
          </cell>
        </row>
        <row r="631">
          <cell r="C631">
            <v>77004498</v>
          </cell>
          <cell r="P631">
            <v>72</v>
          </cell>
        </row>
        <row r="632">
          <cell r="C632">
            <v>77004499</v>
          </cell>
          <cell r="P632">
            <v>75</v>
          </cell>
          <cell r="Q632">
            <v>77</v>
          </cell>
        </row>
        <row r="633">
          <cell r="C633">
            <v>77004501</v>
          </cell>
        </row>
        <row r="634">
          <cell r="C634">
            <v>77004503</v>
          </cell>
          <cell r="P634">
            <v>76</v>
          </cell>
          <cell r="Q634">
            <v>76</v>
          </cell>
        </row>
        <row r="635">
          <cell r="C635">
            <v>77004514</v>
          </cell>
          <cell r="Q635">
            <v>106</v>
          </cell>
        </row>
        <row r="636">
          <cell r="C636">
            <v>77004531</v>
          </cell>
          <cell r="P636">
            <v>104</v>
          </cell>
        </row>
        <row r="637">
          <cell r="C637">
            <v>77004535</v>
          </cell>
        </row>
        <row r="638">
          <cell r="C638">
            <v>77004536</v>
          </cell>
          <cell r="P638">
            <v>190</v>
          </cell>
        </row>
        <row r="639">
          <cell r="C639">
            <v>77004540</v>
          </cell>
        </row>
        <row r="640">
          <cell r="C640">
            <v>77004541</v>
          </cell>
          <cell r="P640">
            <v>164</v>
          </cell>
          <cell r="Q640">
            <v>163</v>
          </cell>
        </row>
        <row r="641">
          <cell r="C641">
            <v>77004543</v>
          </cell>
          <cell r="Q641">
            <v>148</v>
          </cell>
        </row>
        <row r="642">
          <cell r="C642">
            <v>77004546</v>
          </cell>
          <cell r="P642">
            <v>824</v>
          </cell>
        </row>
        <row r="643">
          <cell r="C643">
            <v>77004559</v>
          </cell>
          <cell r="P643">
            <v>1433</v>
          </cell>
          <cell r="Q643">
            <v>720</v>
          </cell>
        </row>
        <row r="644">
          <cell r="C644">
            <v>77004564</v>
          </cell>
          <cell r="P644">
            <v>1230</v>
          </cell>
          <cell r="Q644">
            <v>1416</v>
          </cell>
        </row>
        <row r="645">
          <cell r="C645">
            <v>77004568</v>
          </cell>
          <cell r="P645">
            <v>281</v>
          </cell>
        </row>
        <row r="646">
          <cell r="C646">
            <v>77004568</v>
          </cell>
        </row>
        <row r="647">
          <cell r="C647">
            <v>77004571</v>
          </cell>
          <cell r="P647">
            <v>289</v>
          </cell>
        </row>
        <row r="648">
          <cell r="C648">
            <v>77004575</v>
          </cell>
          <cell r="P648">
            <v>247</v>
          </cell>
        </row>
        <row r="649">
          <cell r="C649">
            <v>77004575</v>
          </cell>
        </row>
        <row r="650">
          <cell r="C650">
            <v>77004579</v>
          </cell>
        </row>
        <row r="651">
          <cell r="C651">
            <v>77004581</v>
          </cell>
          <cell r="P651">
            <v>655</v>
          </cell>
          <cell r="Q651">
            <v>796</v>
          </cell>
        </row>
        <row r="652">
          <cell r="C652">
            <v>77004591</v>
          </cell>
          <cell r="P652">
            <v>82</v>
          </cell>
          <cell r="Q652">
            <v>80</v>
          </cell>
        </row>
        <row r="653">
          <cell r="C653">
            <v>77004604</v>
          </cell>
          <cell r="P653">
            <v>5662</v>
          </cell>
          <cell r="Q653">
            <v>3915</v>
          </cell>
        </row>
        <row r="654">
          <cell r="C654">
            <v>77004610</v>
          </cell>
          <cell r="P654">
            <v>652</v>
          </cell>
          <cell r="Q654">
            <v>639</v>
          </cell>
        </row>
        <row r="655">
          <cell r="C655">
            <v>77004639</v>
          </cell>
        </row>
        <row r="656">
          <cell r="C656">
            <v>77004643</v>
          </cell>
          <cell r="P656">
            <v>540</v>
          </cell>
          <cell r="Q656">
            <v>1360</v>
          </cell>
        </row>
        <row r="657">
          <cell r="C657">
            <v>77004688</v>
          </cell>
        </row>
        <row r="658">
          <cell r="C658">
            <v>77004692</v>
          </cell>
          <cell r="P658">
            <v>981</v>
          </cell>
          <cell r="Q658">
            <v>987</v>
          </cell>
        </row>
        <row r="659">
          <cell r="C659">
            <v>77004756</v>
          </cell>
          <cell r="P659">
            <v>88</v>
          </cell>
        </row>
        <row r="660">
          <cell r="C660">
            <v>77004770</v>
          </cell>
          <cell r="P660">
            <v>84</v>
          </cell>
        </row>
        <row r="661">
          <cell r="C661">
            <v>77004775</v>
          </cell>
          <cell r="P661">
            <v>86</v>
          </cell>
        </row>
        <row r="662">
          <cell r="C662">
            <v>77004844</v>
          </cell>
          <cell r="Q662">
            <v>32</v>
          </cell>
        </row>
        <row r="663">
          <cell r="C663">
            <v>77004863</v>
          </cell>
          <cell r="P663">
            <v>764</v>
          </cell>
          <cell r="Q663">
            <v>126</v>
          </cell>
        </row>
        <row r="664">
          <cell r="C664">
            <v>77004876</v>
          </cell>
        </row>
        <row r="665">
          <cell r="C665">
            <v>77004929</v>
          </cell>
          <cell r="P665">
            <v>179</v>
          </cell>
          <cell r="Q665">
            <v>448</v>
          </cell>
        </row>
        <row r="666">
          <cell r="C666">
            <v>77004477</v>
          </cell>
        </row>
        <row r="667">
          <cell r="C667">
            <v>77000466</v>
          </cell>
        </row>
        <row r="668">
          <cell r="C668">
            <v>77000466</v>
          </cell>
          <cell r="Q668">
            <v>134</v>
          </cell>
        </row>
        <row r="669">
          <cell r="C669">
            <v>77000466</v>
          </cell>
        </row>
        <row r="670">
          <cell r="C670">
            <v>77000466</v>
          </cell>
        </row>
        <row r="671">
          <cell r="C671">
            <v>77000466</v>
          </cell>
          <cell r="P671">
            <v>109</v>
          </cell>
        </row>
        <row r="672">
          <cell r="C672">
            <v>77004068</v>
          </cell>
          <cell r="Q672">
            <v>24</v>
          </cell>
        </row>
        <row r="673">
          <cell r="C673">
            <v>77004295</v>
          </cell>
          <cell r="P673">
            <v>40</v>
          </cell>
        </row>
        <row r="674">
          <cell r="C674">
            <v>77004337</v>
          </cell>
          <cell r="P674">
            <v>331</v>
          </cell>
          <cell r="Q674">
            <v>131</v>
          </cell>
        </row>
        <row r="675">
          <cell r="C675">
            <v>77004429</v>
          </cell>
          <cell r="P675">
            <v>117</v>
          </cell>
          <cell r="Q675">
            <v>92</v>
          </cell>
        </row>
        <row r="676">
          <cell r="C676">
            <v>77004434</v>
          </cell>
          <cell r="P676">
            <v>264</v>
          </cell>
          <cell r="Q676">
            <v>170</v>
          </cell>
        </row>
        <row r="677">
          <cell r="C677">
            <v>77004441</v>
          </cell>
          <cell r="P677">
            <v>972</v>
          </cell>
          <cell r="Q677">
            <v>940</v>
          </cell>
        </row>
        <row r="678">
          <cell r="C678">
            <v>77004446</v>
          </cell>
          <cell r="P678">
            <v>89</v>
          </cell>
          <cell r="Q678">
            <v>83</v>
          </cell>
        </row>
        <row r="679">
          <cell r="C679">
            <v>77004449</v>
          </cell>
          <cell r="P679">
            <v>179</v>
          </cell>
          <cell r="Q679">
            <v>184</v>
          </cell>
        </row>
        <row r="680">
          <cell r="C680">
            <v>77004457</v>
          </cell>
          <cell r="P680">
            <v>1100</v>
          </cell>
          <cell r="Q680">
            <v>892</v>
          </cell>
        </row>
        <row r="681">
          <cell r="C681">
            <v>77004466</v>
          </cell>
          <cell r="P681">
            <v>938</v>
          </cell>
          <cell r="Q681">
            <v>822</v>
          </cell>
        </row>
        <row r="682">
          <cell r="C682">
            <v>77004474</v>
          </cell>
          <cell r="P682">
            <v>15</v>
          </cell>
          <cell r="Q682">
            <v>15</v>
          </cell>
        </row>
        <row r="683">
          <cell r="C683">
            <v>77004480</v>
          </cell>
          <cell r="P683">
            <v>198</v>
          </cell>
          <cell r="Q683">
            <v>201</v>
          </cell>
        </row>
        <row r="684">
          <cell r="C684">
            <v>77004511</v>
          </cell>
          <cell r="P684">
            <v>142</v>
          </cell>
          <cell r="Q684">
            <v>105</v>
          </cell>
        </row>
        <row r="685">
          <cell r="C685">
            <v>77004555</v>
          </cell>
          <cell r="P685">
            <v>41</v>
          </cell>
          <cell r="Q685">
            <v>41</v>
          </cell>
        </row>
        <row r="686">
          <cell r="C686">
            <v>77004567</v>
          </cell>
          <cell r="P686">
            <v>73</v>
          </cell>
          <cell r="Q686">
            <v>77</v>
          </cell>
        </row>
        <row r="687">
          <cell r="C687">
            <v>77004908</v>
          </cell>
          <cell r="Q687">
            <v>32</v>
          </cell>
        </row>
        <row r="688">
          <cell r="C688">
            <v>77005630</v>
          </cell>
          <cell r="P688">
            <v>24</v>
          </cell>
          <cell r="Q688">
            <v>22</v>
          </cell>
        </row>
        <row r="689">
          <cell r="C689">
            <v>77006010</v>
          </cell>
          <cell r="P689">
            <v>337</v>
          </cell>
          <cell r="Q689">
            <v>338</v>
          </cell>
        </row>
        <row r="690">
          <cell r="C690">
            <v>77006081</v>
          </cell>
          <cell r="P690">
            <v>269</v>
          </cell>
          <cell r="Q690">
            <v>224</v>
          </cell>
        </row>
        <row r="691">
          <cell r="C691">
            <v>50000117</v>
          </cell>
          <cell r="Q691">
            <v>576</v>
          </cell>
        </row>
        <row r="692">
          <cell r="C692">
            <v>50000117</v>
          </cell>
        </row>
        <row r="693">
          <cell r="C693">
            <v>50000117</v>
          </cell>
        </row>
        <row r="694">
          <cell r="C694">
            <v>50000125</v>
          </cell>
          <cell r="P694">
            <v>191</v>
          </cell>
        </row>
        <row r="695">
          <cell r="C695">
            <v>50000125</v>
          </cell>
          <cell r="Q695">
            <v>130</v>
          </cell>
        </row>
        <row r="696">
          <cell r="C696">
            <v>50001889</v>
          </cell>
          <cell r="P696">
            <v>303</v>
          </cell>
        </row>
        <row r="697">
          <cell r="C697">
            <v>50001889</v>
          </cell>
        </row>
        <row r="698">
          <cell r="C698">
            <v>50005068</v>
          </cell>
          <cell r="P698">
            <v>709</v>
          </cell>
          <cell r="Q698">
            <v>1065</v>
          </cell>
        </row>
        <row r="699">
          <cell r="C699">
            <v>50005108</v>
          </cell>
          <cell r="P699">
            <v>17</v>
          </cell>
          <cell r="Q699">
            <v>42</v>
          </cell>
        </row>
        <row r="700">
          <cell r="C700">
            <v>50005147</v>
          </cell>
          <cell r="P700">
            <v>265</v>
          </cell>
        </row>
        <row r="701">
          <cell r="C701">
            <v>50005170</v>
          </cell>
          <cell r="P701">
            <v>548</v>
          </cell>
          <cell r="Q701">
            <v>454</v>
          </cell>
        </row>
        <row r="702">
          <cell r="C702">
            <v>50010237</v>
          </cell>
          <cell r="Q702">
            <v>43</v>
          </cell>
        </row>
        <row r="703">
          <cell r="C703">
            <v>50013398</v>
          </cell>
          <cell r="Q703">
            <v>38</v>
          </cell>
        </row>
        <row r="704">
          <cell r="C704">
            <v>50013398</v>
          </cell>
        </row>
        <row r="705">
          <cell r="C705">
            <v>50013398</v>
          </cell>
          <cell r="P705">
            <v>37</v>
          </cell>
        </row>
        <row r="706">
          <cell r="C706">
            <v>50013398</v>
          </cell>
          <cell r="Q706">
            <v>39</v>
          </cell>
        </row>
        <row r="707">
          <cell r="C707">
            <v>50013398</v>
          </cell>
        </row>
        <row r="708">
          <cell r="C708">
            <v>50019457</v>
          </cell>
          <cell r="P708">
            <v>62</v>
          </cell>
        </row>
        <row r="709">
          <cell r="C709">
            <v>50019748</v>
          </cell>
        </row>
        <row r="710">
          <cell r="C710">
            <v>50019748</v>
          </cell>
        </row>
        <row r="711">
          <cell r="C711">
            <v>50019748</v>
          </cell>
          <cell r="Q711">
            <v>41</v>
          </cell>
        </row>
        <row r="712">
          <cell r="C712">
            <v>50025907</v>
          </cell>
          <cell r="P712">
            <v>14882</v>
          </cell>
          <cell r="Q712">
            <v>14840</v>
          </cell>
        </row>
        <row r="713">
          <cell r="C713">
            <v>50027511</v>
          </cell>
          <cell r="P713">
            <v>2915</v>
          </cell>
          <cell r="Q713">
            <v>52184</v>
          </cell>
        </row>
        <row r="714">
          <cell r="C714">
            <v>50028218</v>
          </cell>
          <cell r="P714">
            <v>8</v>
          </cell>
          <cell r="Q714">
            <v>147</v>
          </cell>
        </row>
        <row r="715">
          <cell r="C715">
            <v>50030680</v>
          </cell>
        </row>
        <row r="716">
          <cell r="C716">
            <v>77004201</v>
          </cell>
        </row>
        <row r="717">
          <cell r="C717">
            <v>77004540</v>
          </cell>
        </row>
        <row r="718">
          <cell r="C718">
            <v>50030944</v>
          </cell>
          <cell r="P718">
            <v>34796</v>
          </cell>
          <cell r="Q718">
            <v>49179</v>
          </cell>
        </row>
        <row r="719">
          <cell r="C719">
            <v>50031507</v>
          </cell>
          <cell r="P719">
            <v>1320</v>
          </cell>
          <cell r="Q719">
            <v>2002</v>
          </cell>
        </row>
        <row r="720">
          <cell r="C720" t="str">
            <v>1.00x1219x2010</v>
          </cell>
          <cell r="Q720">
            <v>3682</v>
          </cell>
        </row>
        <row r="721">
          <cell r="C721" t="str">
            <v>1.00x1219x2120</v>
          </cell>
          <cell r="Q721">
            <v>200</v>
          </cell>
        </row>
        <row r="722">
          <cell r="C722" t="str">
            <v/>
          </cell>
          <cell r="Q722">
            <v>454</v>
          </cell>
        </row>
        <row r="723">
          <cell r="C723" t="str">
            <v>0.80X265XC</v>
          </cell>
        </row>
        <row r="724">
          <cell r="C724" t="str">
            <v>0.80X390XC</v>
          </cell>
        </row>
        <row r="725">
          <cell r="C725" t="str">
            <v>0101030-G1</v>
          </cell>
          <cell r="Q725">
            <v>2348</v>
          </cell>
        </row>
        <row r="726">
          <cell r="C726" t="str">
            <v>0101033-G1</v>
          </cell>
        </row>
        <row r="727">
          <cell r="C727" t="str">
            <v>1.00X52XCOIL</v>
          </cell>
          <cell r="Q727">
            <v>281</v>
          </cell>
        </row>
        <row r="728">
          <cell r="C728" t="str">
            <v>1.2 x 70 x coil</v>
          </cell>
        </row>
        <row r="729">
          <cell r="C729" t="str">
            <v>1.20x171xCoil</v>
          </cell>
          <cell r="Q729">
            <v>2449</v>
          </cell>
        </row>
        <row r="730">
          <cell r="C730" t="str">
            <v>1.20X84XCOIL</v>
          </cell>
        </row>
        <row r="731">
          <cell r="C731" t="str">
            <v>1.2x142.5x800</v>
          </cell>
        </row>
        <row r="732">
          <cell r="C732" t="str">
            <v>1.2x180x535</v>
          </cell>
        </row>
        <row r="733">
          <cell r="C733" t="str">
            <v>1.2X326XCOIL</v>
          </cell>
          <cell r="Q733">
            <v>8977</v>
          </cell>
        </row>
        <row r="734">
          <cell r="C734" t="str">
            <v>1.50X113XCOIL</v>
          </cell>
          <cell r="Q734">
            <v>1903</v>
          </cell>
        </row>
        <row r="735">
          <cell r="C735" t="str">
            <v>1.50X167XCOIL</v>
          </cell>
          <cell r="Q735">
            <v>2147</v>
          </cell>
        </row>
        <row r="736">
          <cell r="C736" t="str">
            <v>1.50X175XCOIL</v>
          </cell>
          <cell r="Q736">
            <v>1236</v>
          </cell>
        </row>
        <row r="737">
          <cell r="C737" t="str">
            <v>1.50X210XCOIL</v>
          </cell>
        </row>
        <row r="738">
          <cell r="C738" t="str">
            <v>1.50X246XCOIL</v>
          </cell>
        </row>
        <row r="739">
          <cell r="C739" t="str">
            <v>1.5x128xCoil</v>
          </cell>
          <cell r="Q739">
            <v>1438</v>
          </cell>
        </row>
        <row r="740">
          <cell r="C740" t="str">
            <v>1.5x128xCoil</v>
          </cell>
        </row>
        <row r="741">
          <cell r="C741" t="str">
            <v>1.5x206xCoil</v>
          </cell>
          <cell r="Q741">
            <v>1460</v>
          </cell>
        </row>
        <row r="742">
          <cell r="C742" t="str">
            <v>1.5x360xCoil</v>
          </cell>
          <cell r="Q742">
            <v>1814</v>
          </cell>
        </row>
        <row r="743">
          <cell r="C743" t="str">
            <v>1.5x81xCoil</v>
          </cell>
        </row>
        <row r="744">
          <cell r="C744" t="str">
            <v>1.6x140xCoil</v>
          </cell>
        </row>
        <row r="745">
          <cell r="C745">
            <v>1072405100</v>
          </cell>
        </row>
        <row r="746">
          <cell r="C746">
            <v>1072405100</v>
          </cell>
        </row>
        <row r="747">
          <cell r="C747">
            <v>1072425100</v>
          </cell>
        </row>
        <row r="748">
          <cell r="C748" t="str">
            <v>2.00X130XCOIL</v>
          </cell>
          <cell r="Q748">
            <v>2054</v>
          </cell>
        </row>
        <row r="749">
          <cell r="C749" t="str">
            <v>2.0x104xCoil</v>
          </cell>
          <cell r="Q749">
            <v>527</v>
          </cell>
        </row>
        <row r="750">
          <cell r="C750" t="str">
            <v>2.0x115xCoil</v>
          </cell>
          <cell r="Q750">
            <v>853</v>
          </cell>
        </row>
        <row r="751">
          <cell r="C751" t="str">
            <v>2.0X80XCOIL</v>
          </cell>
          <cell r="Q751">
            <v>382</v>
          </cell>
        </row>
        <row r="752">
          <cell r="C752" t="str">
            <v>SGRU-0008-(03)-1</v>
          </cell>
          <cell r="P752">
            <v>1694</v>
          </cell>
        </row>
        <row r="753">
          <cell r="C753" t="str">
            <v>SGUR-0006-(44)</v>
          </cell>
        </row>
        <row r="754">
          <cell r="C754" t="str">
            <v>SGUR-0006-(44)-01</v>
          </cell>
          <cell r="P754">
            <v>158</v>
          </cell>
        </row>
        <row r="755">
          <cell r="C755" t="str">
            <v>SGUR-0006-(46)</v>
          </cell>
        </row>
        <row r="756">
          <cell r="C756" t="str">
            <v>SGUR-0006-(46)</v>
          </cell>
        </row>
        <row r="757">
          <cell r="C757" t="str">
            <v>SGUR-0006-(46)</v>
          </cell>
        </row>
        <row r="758">
          <cell r="C758" t="str">
            <v>SGUR-0006-(46)-1</v>
          </cell>
          <cell r="P758">
            <v>3180</v>
          </cell>
          <cell r="Q758">
            <v>3915</v>
          </cell>
        </row>
        <row r="759">
          <cell r="C759" t="str">
            <v>SGUR-0006-(47)</v>
          </cell>
        </row>
        <row r="760">
          <cell r="C760" t="str">
            <v>SGUR-0006-(47)-1</v>
          </cell>
          <cell r="Q760">
            <v>200</v>
          </cell>
        </row>
        <row r="761">
          <cell r="C761" t="str">
            <v>SGUR-0008-(03)</v>
          </cell>
        </row>
        <row r="762">
          <cell r="C762" t="str">
            <v>SGUR-0008-(03)</v>
          </cell>
        </row>
        <row r="763">
          <cell r="C763" t="str">
            <v>SGUR-0012-(08)</v>
          </cell>
          <cell r="P763">
            <v>57</v>
          </cell>
        </row>
        <row r="764">
          <cell r="C764" t="str">
            <v>SGUR-0012-(08)-1</v>
          </cell>
          <cell r="P764">
            <v>163</v>
          </cell>
          <cell r="Q764">
            <v>343</v>
          </cell>
        </row>
        <row r="765">
          <cell r="C765" t="str">
            <v>SGUR-0012-(31)</v>
          </cell>
          <cell r="P765">
            <v>376</v>
          </cell>
        </row>
        <row r="766">
          <cell r="C766" t="str">
            <v>SGUR-0012-(32)</v>
          </cell>
          <cell r="P766">
            <v>610</v>
          </cell>
        </row>
        <row r="767">
          <cell r="C767" t="str">
            <v>SGUR-0012-(33)</v>
          </cell>
          <cell r="P767">
            <v>1337</v>
          </cell>
        </row>
        <row r="768">
          <cell r="C768" t="str">
            <v>SGUR-0012-(57)</v>
          </cell>
        </row>
        <row r="769">
          <cell r="C769" t="str">
            <v>SGUR-0012-(57)</v>
          </cell>
        </row>
        <row r="770">
          <cell r="C770" t="str">
            <v>SGUR-0012-(57)-1</v>
          </cell>
          <cell r="Q770">
            <v>145</v>
          </cell>
        </row>
        <row r="771">
          <cell r="C771" t="str">
            <v>SGUR-0012-(71)</v>
          </cell>
        </row>
        <row r="772">
          <cell r="C772" t="str">
            <v>SGUR-0012-(71)</v>
          </cell>
        </row>
        <row r="773">
          <cell r="C773" t="str">
            <v>SGUR-0012-(71)</v>
          </cell>
        </row>
        <row r="774">
          <cell r="C774" t="str">
            <v>SGUR-0012-(71)</v>
          </cell>
        </row>
        <row r="775">
          <cell r="C775" t="str">
            <v>SGUR-0012-(71)-1</v>
          </cell>
          <cell r="P775">
            <v>2768</v>
          </cell>
        </row>
        <row r="776">
          <cell r="C776" t="str">
            <v>SGUR-0012-(75)</v>
          </cell>
        </row>
        <row r="777">
          <cell r="C777" t="str">
            <v>SGUR-0012-(75)</v>
          </cell>
        </row>
        <row r="778">
          <cell r="C778" t="str">
            <v>SGUR-0012-(75)</v>
          </cell>
        </row>
        <row r="779">
          <cell r="C779" t="str">
            <v>SGUR-0012-(75)-1</v>
          </cell>
          <cell r="P779">
            <v>1992</v>
          </cell>
        </row>
        <row r="780">
          <cell r="C780" t="str">
            <v>SGUR-0026-(05)</v>
          </cell>
          <cell r="P780">
            <v>194</v>
          </cell>
          <cell r="Q780">
            <v>279</v>
          </cell>
        </row>
        <row r="781">
          <cell r="C781" t="str">
            <v>SGUR-0026-(05)</v>
          </cell>
          <cell r="Q781">
            <v>94</v>
          </cell>
        </row>
        <row r="782">
          <cell r="C782" t="str">
            <v>SGUR-006-(50)</v>
          </cell>
          <cell r="P782">
            <v>481</v>
          </cell>
        </row>
        <row r="783">
          <cell r="C783" t="str">
            <v>1.20 x 60.00 x 604.00</v>
          </cell>
        </row>
        <row r="784">
          <cell r="C784">
            <v>30041945</v>
          </cell>
          <cell r="Q784">
            <v>12459</v>
          </cell>
        </row>
        <row r="785">
          <cell r="C785" t="str">
            <v>4.50x370.00x1219.00</v>
          </cell>
          <cell r="Q785">
            <v>6086</v>
          </cell>
        </row>
        <row r="786">
          <cell r="C786">
            <v>77004642</v>
          </cell>
          <cell r="Q786">
            <v>1666</v>
          </cell>
        </row>
        <row r="787">
          <cell r="C787" t="str">
            <v>3.50X135.00XCOIL</v>
          </cell>
          <cell r="Q787">
            <v>3558</v>
          </cell>
        </row>
        <row r="788">
          <cell r="C788" t="str">
            <v>3.50X210.00XCOIL</v>
          </cell>
          <cell r="Q788">
            <v>3688</v>
          </cell>
        </row>
        <row r="789">
          <cell r="C789" t="str">
            <v>S420MC-P/O 2.50X290.00XC</v>
          </cell>
          <cell r="Q789">
            <v>3400</v>
          </cell>
        </row>
        <row r="790">
          <cell r="C790" t="str">
            <v>S420MC-P/O 3.0X205X1220</v>
          </cell>
        </row>
        <row r="791">
          <cell r="C791" t="str">
            <v>0.6X556X561</v>
          </cell>
          <cell r="P791">
            <v>9984</v>
          </cell>
          <cell r="Q791">
            <v>6999</v>
          </cell>
        </row>
        <row r="792">
          <cell r="C792" t="str">
            <v>0.80X40.00XCOIL</v>
          </cell>
        </row>
        <row r="793">
          <cell r="C793" t="str">
            <v>CH 9911 G</v>
          </cell>
        </row>
        <row r="794">
          <cell r="C794" t="str">
            <v>EK 8548 T</v>
          </cell>
        </row>
        <row r="795">
          <cell r="C795" t="str">
            <v>EK 8862 T</v>
          </cell>
        </row>
        <row r="796">
          <cell r="C796" t="str">
            <v>EK 8949 T</v>
          </cell>
        </row>
        <row r="797">
          <cell r="C797" t="str">
            <v>EK 8951 T/B</v>
          </cell>
        </row>
        <row r="798">
          <cell r="C798" t="str">
            <v>EK 9143 T2</v>
          </cell>
          <cell r="P798">
            <v>490</v>
          </cell>
        </row>
        <row r="799">
          <cell r="C799" t="str">
            <v>EK 9172 T</v>
          </cell>
        </row>
        <row r="800">
          <cell r="C800" t="str">
            <v>EK 9272 T</v>
          </cell>
        </row>
        <row r="801">
          <cell r="C801" t="str">
            <v>EK 9277 T</v>
          </cell>
        </row>
        <row r="802">
          <cell r="C802" t="str">
            <v>EK 9372 T</v>
          </cell>
        </row>
        <row r="803">
          <cell r="C803" t="str">
            <v>EK 9486 T</v>
          </cell>
        </row>
        <row r="804">
          <cell r="C804" t="str">
            <v>EK 9490 T</v>
          </cell>
        </row>
        <row r="805">
          <cell r="C805" t="str">
            <v>EK 9506 T</v>
          </cell>
          <cell r="Q805">
            <v>55</v>
          </cell>
        </row>
        <row r="806">
          <cell r="C806" t="str">
            <v>EK 9506 T</v>
          </cell>
        </row>
        <row r="807">
          <cell r="C807" t="str">
            <v>EK 9508 T</v>
          </cell>
        </row>
        <row r="808">
          <cell r="C808" t="str">
            <v>EK 9508 T</v>
          </cell>
        </row>
        <row r="809">
          <cell r="C809" t="str">
            <v>EK 9536 T/B</v>
          </cell>
        </row>
        <row r="810">
          <cell r="C810" t="str">
            <v>EK 9536 T/B</v>
          </cell>
        </row>
        <row r="811">
          <cell r="C811" t="str">
            <v>EK 9536 T/B</v>
          </cell>
        </row>
        <row r="812">
          <cell r="C812" t="str">
            <v>EK 9586 T</v>
          </cell>
          <cell r="Q812">
            <v>145</v>
          </cell>
        </row>
        <row r="813">
          <cell r="C813" t="str">
            <v>EK 9602 T/B</v>
          </cell>
        </row>
        <row r="814">
          <cell r="C814" t="str">
            <v>EK 9719 T</v>
          </cell>
        </row>
        <row r="815">
          <cell r="C815" t="str">
            <v>EK 9720 T</v>
          </cell>
        </row>
        <row r="816">
          <cell r="C816" t="str">
            <v>EK 9735 T</v>
          </cell>
        </row>
        <row r="817">
          <cell r="C817" t="str">
            <v>EK 9735 T/B</v>
          </cell>
        </row>
        <row r="818">
          <cell r="C818" t="str">
            <v>EK 9750 T</v>
          </cell>
        </row>
        <row r="819">
          <cell r="C819" t="str">
            <v>EK 9751 T</v>
          </cell>
        </row>
        <row r="820">
          <cell r="C820" t="str">
            <v>EK 9752 T</v>
          </cell>
        </row>
        <row r="821">
          <cell r="C821" t="str">
            <v>EK 9753 T</v>
          </cell>
        </row>
        <row r="822">
          <cell r="C822" t="str">
            <v>EK 9758 T</v>
          </cell>
        </row>
        <row r="823">
          <cell r="C823" t="str">
            <v>EK 9758 T/B</v>
          </cell>
        </row>
        <row r="824">
          <cell r="C824" t="str">
            <v>EK8754T/B</v>
          </cell>
        </row>
        <row r="825">
          <cell r="C825" t="str">
            <v>IHI10006 T</v>
          </cell>
          <cell r="P825">
            <v>243</v>
          </cell>
        </row>
        <row r="826">
          <cell r="C826" t="str">
            <v>NN 8724 T</v>
          </cell>
          <cell r="Q826">
            <v>190</v>
          </cell>
        </row>
        <row r="827">
          <cell r="C827" t="str">
            <v>NN 9180 H3</v>
          </cell>
        </row>
        <row r="828">
          <cell r="C828" t="str">
            <v>NN 9180 H3</v>
          </cell>
          <cell r="Q828">
            <v>120</v>
          </cell>
        </row>
        <row r="829">
          <cell r="C829" t="str">
            <v>NN 9497 T</v>
          </cell>
          <cell r="P829">
            <v>345</v>
          </cell>
        </row>
        <row r="830">
          <cell r="C830" t="str">
            <v>NN 9646 T5</v>
          </cell>
        </row>
        <row r="831">
          <cell r="C831" t="str">
            <v>NN 9652 H</v>
          </cell>
          <cell r="P831">
            <v>607</v>
          </cell>
        </row>
        <row r="832">
          <cell r="C832" t="str">
            <v>PIE  9960 G</v>
          </cell>
          <cell r="P832">
            <v>1745</v>
          </cell>
        </row>
        <row r="833">
          <cell r="C833" t="str">
            <v>PIE (QMB) 9960 G</v>
          </cell>
        </row>
        <row r="834">
          <cell r="C834" t="str">
            <v>SN 8459 T</v>
          </cell>
          <cell r="Q834">
            <v>390</v>
          </cell>
        </row>
        <row r="835">
          <cell r="C835" t="str">
            <v>TM 9884 T</v>
          </cell>
          <cell r="Q835">
            <v>175</v>
          </cell>
        </row>
        <row r="836">
          <cell r="C836" t="str">
            <v>TM 9884 T</v>
          </cell>
          <cell r="P836">
            <v>136</v>
          </cell>
        </row>
        <row r="837">
          <cell r="C837" t="str">
            <v>TM 9885 T</v>
          </cell>
          <cell r="P837">
            <v>276</v>
          </cell>
          <cell r="Q837">
            <v>95</v>
          </cell>
        </row>
        <row r="838">
          <cell r="C838" t="str">
            <v>UNI 9963 G</v>
          </cell>
        </row>
        <row r="839">
          <cell r="C839" t="str">
            <v>UNI 9963 G</v>
          </cell>
          <cell r="P839">
            <v>499</v>
          </cell>
        </row>
        <row r="840">
          <cell r="C840" t="str">
            <v>UNI 9965 G/A</v>
          </cell>
        </row>
        <row r="841">
          <cell r="C841" t="str">
            <v>UNI 9965 G/A</v>
          </cell>
          <cell r="P841">
            <v>456</v>
          </cell>
        </row>
        <row r="842">
          <cell r="C842" t="str">
            <v>UNI 9965 G/B</v>
          </cell>
          <cell r="P842">
            <v>343</v>
          </cell>
        </row>
        <row r="843">
          <cell r="C843" t="str">
            <v>UNI 9965 G/C</v>
          </cell>
        </row>
        <row r="844">
          <cell r="C844" t="str">
            <v>UNI 9967 T</v>
          </cell>
          <cell r="P844">
            <v>152</v>
          </cell>
        </row>
        <row r="845">
          <cell r="C845" t="str">
            <v>UNI 9967 T</v>
          </cell>
        </row>
        <row r="846">
          <cell r="C846" t="str">
            <v>UNI 9968 T</v>
          </cell>
          <cell r="P846">
            <v>105</v>
          </cell>
        </row>
        <row r="847">
          <cell r="C847" t="str">
            <v>UNI 9968 T</v>
          </cell>
        </row>
        <row r="848">
          <cell r="C848" t="str">
            <v>UNI 9968 T</v>
          </cell>
        </row>
        <row r="849">
          <cell r="C849" t="str">
            <v>UNI 9969 T</v>
          </cell>
          <cell r="P849">
            <v>56</v>
          </cell>
        </row>
        <row r="850">
          <cell r="C850" t="str">
            <v>UNI 9970 T</v>
          </cell>
          <cell r="P850">
            <v>132</v>
          </cell>
        </row>
        <row r="851">
          <cell r="C851" t="str">
            <v>UNI 9970 T</v>
          </cell>
        </row>
        <row r="852">
          <cell r="C852" t="str">
            <v>UNI 9971 T</v>
          </cell>
          <cell r="P852">
            <v>134</v>
          </cell>
        </row>
        <row r="853">
          <cell r="C853" t="str">
            <v>UNI 9972 T</v>
          </cell>
          <cell r="P853">
            <v>28</v>
          </cell>
        </row>
        <row r="854">
          <cell r="C854" t="str">
            <v>UNI 9976 G</v>
          </cell>
        </row>
        <row r="855">
          <cell r="C855" t="str">
            <v>UNI 9977 G</v>
          </cell>
        </row>
        <row r="856">
          <cell r="C856" t="str">
            <v>UNI 9978 G</v>
          </cell>
          <cell r="P856">
            <v>85</v>
          </cell>
        </row>
        <row r="857">
          <cell r="C857" t="str">
            <v>UNI 9979 G</v>
          </cell>
          <cell r="P857">
            <v>278</v>
          </cell>
        </row>
        <row r="858">
          <cell r="C858" t="str">
            <v>UNI 9980 G</v>
          </cell>
          <cell r="P858">
            <v>239</v>
          </cell>
        </row>
        <row r="859">
          <cell r="C859" t="str">
            <v>UNI 9982 T</v>
          </cell>
        </row>
        <row r="860">
          <cell r="C860" t="str">
            <v>UNI 9983 G</v>
          </cell>
          <cell r="Q860">
            <v>543</v>
          </cell>
        </row>
        <row r="861">
          <cell r="C861" t="str">
            <v>UNI 9984 G</v>
          </cell>
          <cell r="Q861">
            <v>542</v>
          </cell>
        </row>
        <row r="862">
          <cell r="C862" t="str">
            <v>UNI 9985 G</v>
          </cell>
          <cell r="Q862">
            <v>375</v>
          </cell>
        </row>
        <row r="863">
          <cell r="C863" t="str">
            <v>UNI 9986 G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5954-3449-4722-BD17-1A35E63791D1}">
  <sheetPr>
    <tabColor rgb="FF00B0F0"/>
  </sheetPr>
  <dimension ref="A1:AI910"/>
  <sheetViews>
    <sheetView showGridLines="0" tabSelected="1" workbookViewId="0">
      <pane ySplit="4" topLeftCell="A5" activePane="bottomLeft" state="frozen"/>
      <selection pane="bottomLeft" activeCell="AE4" sqref="AE4"/>
    </sheetView>
  </sheetViews>
  <sheetFormatPr defaultColWidth="8.875" defaultRowHeight="11.25" outlineLevelCol="1" x14ac:dyDescent="0.55000000000000004"/>
  <cols>
    <col min="1" max="1" width="27.375" style="2" bestFit="1" customWidth="1"/>
    <col min="2" max="2" width="13.3125" style="2" bestFit="1" customWidth="1"/>
    <col min="3" max="3" width="9.125" style="2" hidden="1" customWidth="1" outlineLevel="1"/>
    <col min="4" max="4" width="15.6875" style="2" customWidth="1" collapsed="1"/>
    <col min="5" max="5" width="14.625" style="2" bestFit="1" customWidth="1"/>
    <col min="6" max="6" width="17" style="2" hidden="1" customWidth="1" outlineLevel="1"/>
    <col min="7" max="7" width="6.375" style="3" customWidth="1" collapsed="1"/>
    <col min="8" max="8" width="17.125" style="2" bestFit="1" customWidth="1"/>
    <col min="9" max="10" width="7.125" style="3" customWidth="1"/>
    <col min="11" max="11" width="7.375" style="3" customWidth="1"/>
    <col min="12" max="14" width="8.875" style="2" customWidth="1" outlineLevel="1"/>
    <col min="15" max="15" width="9.3125" style="2" customWidth="1" outlineLevel="1" collapsed="1"/>
    <col min="16" max="28" width="10" style="2" customWidth="1" outlineLevel="1"/>
    <col min="29" max="29" width="10.3125" style="2" customWidth="1" outlineLevel="1"/>
    <col min="30" max="30" width="11.3125" style="2" customWidth="1"/>
    <col min="31" max="31" width="10.375" style="2" bestFit="1" customWidth="1"/>
    <col min="32" max="32" width="8.875" style="2"/>
    <col min="33" max="34" width="9.625" style="2" bestFit="1" customWidth="1"/>
    <col min="35" max="35" width="7.1875" style="2" bestFit="1" customWidth="1"/>
    <col min="36" max="16384" width="8.875" style="2"/>
  </cols>
  <sheetData>
    <row r="1" spans="1:35" x14ac:dyDescent="0.55000000000000004">
      <c r="A1" s="1" t="s">
        <v>0</v>
      </c>
      <c r="D1" s="2" t="s">
        <v>1</v>
      </c>
      <c r="L1" s="2">
        <v>1</v>
      </c>
      <c r="M1" s="2">
        <f>L1+1</f>
        <v>2</v>
      </c>
      <c r="N1" s="2">
        <f t="shared" ref="N1:W1" si="0">M1+1</f>
        <v>3</v>
      </c>
      <c r="O1" s="2">
        <f t="shared" si="0"/>
        <v>4</v>
      </c>
      <c r="P1" s="2">
        <f t="shared" si="0"/>
        <v>5</v>
      </c>
      <c r="Q1" s="2">
        <f t="shared" si="0"/>
        <v>6</v>
      </c>
      <c r="R1" s="2">
        <f t="shared" si="0"/>
        <v>7</v>
      </c>
      <c r="S1" s="2">
        <f t="shared" si="0"/>
        <v>8</v>
      </c>
      <c r="T1" s="2">
        <f t="shared" si="0"/>
        <v>9</v>
      </c>
      <c r="U1" s="2">
        <f t="shared" si="0"/>
        <v>10</v>
      </c>
      <c r="V1" s="2">
        <f t="shared" si="0"/>
        <v>11</v>
      </c>
      <c r="W1" s="2">
        <f t="shared" si="0"/>
        <v>12</v>
      </c>
      <c r="X1" s="2">
        <v>1</v>
      </c>
      <c r="Y1" s="2">
        <f>X1+1</f>
        <v>2</v>
      </c>
      <c r="Z1" s="2">
        <f t="shared" ref="Z1" si="1">Y1+1</f>
        <v>3</v>
      </c>
      <c r="AC1" s="2">
        <f>W1+1</f>
        <v>13</v>
      </c>
      <c r="AG1" s="4" t="s">
        <v>2</v>
      </c>
    </row>
    <row r="2" spans="1:35" x14ac:dyDescent="0.55000000000000004">
      <c r="L2" s="5">
        <f t="shared" ref="L2:AB2" si="2">SUBTOTAL(9,L5:L690)</f>
        <v>289246.5</v>
      </c>
      <c r="M2" s="5">
        <f t="shared" si="2"/>
        <v>272944</v>
      </c>
      <c r="N2" s="5">
        <f t="shared" si="2"/>
        <v>293886.8</v>
      </c>
      <c r="O2" s="5">
        <f t="shared" si="2"/>
        <v>266819.5</v>
      </c>
      <c r="P2" s="5">
        <f t="shared" si="2"/>
        <v>321106</v>
      </c>
      <c r="Q2" s="5">
        <f t="shared" si="2"/>
        <v>303203</v>
      </c>
      <c r="R2" s="5">
        <f t="shared" si="2"/>
        <v>302654.09999999998</v>
      </c>
      <c r="S2" s="5">
        <f t="shared" si="2"/>
        <v>325115.03999999998</v>
      </c>
      <c r="T2" s="5">
        <f t="shared" si="2"/>
        <v>296659</v>
      </c>
      <c r="U2" s="5">
        <f t="shared" si="2"/>
        <v>320911</v>
      </c>
      <c r="V2" s="5">
        <f t="shared" si="2"/>
        <v>281218</v>
      </c>
      <c r="W2" s="5">
        <f t="shared" si="2"/>
        <v>224987</v>
      </c>
      <c r="X2" s="6">
        <f t="shared" si="2"/>
        <v>248486</v>
      </c>
      <c r="Y2" s="6">
        <f t="shared" si="2"/>
        <v>251168</v>
      </c>
      <c r="Z2" s="6">
        <f t="shared" si="2"/>
        <v>250414</v>
      </c>
      <c r="AA2" s="6">
        <f t="shared" si="2"/>
        <v>212216</v>
      </c>
      <c r="AB2" s="6">
        <f t="shared" si="2"/>
        <v>253487</v>
      </c>
      <c r="AC2" s="5">
        <f>SUBTOTAL(9,AC5:AC396)</f>
        <v>4040624.44</v>
      </c>
      <c r="AD2" s="5">
        <f>SUBTOTAL(9,AD5:AD1582)</f>
        <v>335853.02588235296</v>
      </c>
      <c r="AG2" s="7" t="s">
        <v>3</v>
      </c>
      <c r="AH2" s="7"/>
      <c r="AI2" s="7"/>
    </row>
    <row r="3" spans="1:35" x14ac:dyDescent="0.55000000000000004">
      <c r="A3" s="8" t="s">
        <v>4</v>
      </c>
      <c r="B3" s="9" t="s">
        <v>5</v>
      </c>
      <c r="C3" s="10" t="s">
        <v>6</v>
      </c>
      <c r="D3" s="11" t="s">
        <v>7</v>
      </c>
      <c r="E3" s="12" t="s">
        <v>8</v>
      </c>
      <c r="F3" s="10" t="s">
        <v>9</v>
      </c>
      <c r="G3" s="13" t="s">
        <v>10</v>
      </c>
      <c r="H3" s="10" t="s">
        <v>11</v>
      </c>
      <c r="I3" s="13" t="s">
        <v>12</v>
      </c>
      <c r="J3" s="13" t="s">
        <v>13</v>
      </c>
      <c r="K3" s="13" t="s">
        <v>14</v>
      </c>
      <c r="L3" s="3">
        <v>2025</v>
      </c>
      <c r="M3" s="3">
        <v>2025</v>
      </c>
      <c r="N3" s="3">
        <v>2025</v>
      </c>
      <c r="O3" s="3">
        <v>2025</v>
      </c>
      <c r="P3" s="3">
        <v>2025</v>
      </c>
      <c r="Q3" s="3">
        <v>2025</v>
      </c>
      <c r="R3" s="3">
        <v>2025</v>
      </c>
      <c r="S3" s="14">
        <v>2025</v>
      </c>
      <c r="T3" s="14">
        <v>2025</v>
      </c>
      <c r="U3" s="14">
        <v>2025</v>
      </c>
      <c r="V3" s="14">
        <v>2025</v>
      </c>
      <c r="W3" s="14">
        <v>2025</v>
      </c>
      <c r="X3" s="15">
        <v>2026</v>
      </c>
      <c r="Y3" s="15">
        <v>2026</v>
      </c>
      <c r="Z3" s="15">
        <v>2026</v>
      </c>
      <c r="AA3" s="15">
        <v>2026</v>
      </c>
      <c r="AB3" s="15">
        <v>2026</v>
      </c>
      <c r="AC3" s="3" t="s">
        <v>15</v>
      </c>
      <c r="AD3" s="2" t="s">
        <v>16</v>
      </c>
      <c r="AG3" s="16" t="s">
        <v>17</v>
      </c>
      <c r="AH3" s="16" t="s">
        <v>18</v>
      </c>
      <c r="AI3" s="16" t="s">
        <v>19</v>
      </c>
    </row>
    <row r="4" spans="1:35" x14ac:dyDescent="0.55000000000000004">
      <c r="L4" s="3" t="s">
        <v>20</v>
      </c>
      <c r="M4" s="3" t="s">
        <v>21</v>
      </c>
      <c r="N4" s="3" t="s">
        <v>22</v>
      </c>
      <c r="O4" s="3" t="s">
        <v>23</v>
      </c>
      <c r="P4" s="3" t="s">
        <v>24</v>
      </c>
      <c r="Q4" s="3" t="s">
        <v>25</v>
      </c>
      <c r="R4" s="3" t="s">
        <v>26</v>
      </c>
      <c r="S4" s="14" t="s">
        <v>27</v>
      </c>
      <c r="T4" s="14" t="s">
        <v>28</v>
      </c>
      <c r="U4" s="14" t="s">
        <v>29</v>
      </c>
      <c r="V4" s="14" t="s">
        <v>30</v>
      </c>
      <c r="W4" s="14" t="s">
        <v>31</v>
      </c>
      <c r="X4" s="14" t="s">
        <v>20</v>
      </c>
      <c r="Y4" s="14" t="s">
        <v>21</v>
      </c>
      <c r="Z4" s="14" t="s">
        <v>22</v>
      </c>
      <c r="AA4" s="14" t="s">
        <v>23</v>
      </c>
      <c r="AB4" s="14" t="s">
        <v>24</v>
      </c>
      <c r="AC4" s="3" t="s">
        <v>32</v>
      </c>
      <c r="AD4" s="3" t="s">
        <v>33</v>
      </c>
      <c r="AE4" s="2" t="s">
        <v>34</v>
      </c>
    </row>
    <row r="5" spans="1:35" ht="11.45" customHeight="1" x14ac:dyDescent="0.55000000000000004">
      <c r="A5" s="2" t="s">
        <v>35</v>
      </c>
      <c r="B5" s="2" t="s">
        <v>36</v>
      </c>
      <c r="C5" s="2" t="s">
        <v>36</v>
      </c>
      <c r="D5" s="2" t="s">
        <v>37</v>
      </c>
      <c r="E5" s="2" t="s">
        <v>38</v>
      </c>
      <c r="F5" s="2" t="s">
        <v>38</v>
      </c>
      <c r="G5" s="3" t="s">
        <v>39</v>
      </c>
      <c r="H5" s="2" t="s">
        <v>40</v>
      </c>
      <c r="I5" s="17">
        <v>0.5</v>
      </c>
      <c r="J5" s="3">
        <v>55</v>
      </c>
      <c r="K5" s="3" t="s">
        <v>41</v>
      </c>
      <c r="L5" s="18">
        <v>0</v>
      </c>
      <c r="M5" s="18">
        <v>457</v>
      </c>
      <c r="N5" s="18">
        <v>1762</v>
      </c>
      <c r="O5" s="18">
        <v>0</v>
      </c>
      <c r="P5" s="18">
        <v>1012</v>
      </c>
      <c r="Q5" s="18">
        <v>7919</v>
      </c>
      <c r="R5" s="18">
        <v>3107</v>
      </c>
      <c r="S5" s="18">
        <v>0</v>
      </c>
      <c r="T5" s="18">
        <v>2323</v>
      </c>
      <c r="U5" s="18">
        <v>1158</v>
      </c>
      <c r="V5" s="18">
        <v>0</v>
      </c>
      <c r="W5" s="18">
        <v>0</v>
      </c>
      <c r="X5" s="18">
        <v>919</v>
      </c>
      <c r="Y5" s="18">
        <v>0</v>
      </c>
      <c r="Z5" s="18">
        <v>0</v>
      </c>
      <c r="AA5" s="18">
        <f>SUMIF([1]SA007!$C:$C,'SA007 2025.01-2026.05 '!$D5,[1]SA007!P:P)</f>
        <v>0</v>
      </c>
      <c r="AB5" s="18">
        <f>SUMIF([1]SA007!$C:$C,'SA007 2025.01-2026.05 '!$D5,[1]SA007!Q:Q)</f>
        <v>0</v>
      </c>
      <c r="AC5" s="19">
        <f>SUM(L5:AB5)</f>
        <v>18657</v>
      </c>
      <c r="AD5" s="19">
        <f>AVERAGE(L5:AB5)</f>
        <v>1097.4705882352941</v>
      </c>
      <c r="AE5" s="20" t="s">
        <v>42</v>
      </c>
      <c r="AG5" s="21">
        <f>SUMIF([1]SO003!$H:$H,'SA007 2025.01-2026.05 '!$D5,[1]SO003!AF:AF)</f>
        <v>0</v>
      </c>
      <c r="AH5" s="21">
        <f>SUMIF([1]SO003!$H:$H,'SA007 2025.01-2026.05 '!$D5,[1]SO003!AH:AH)</f>
        <v>0</v>
      </c>
      <c r="AI5" s="21">
        <f>SUMIF([1]SO003!$H:$H,'SA007 2025.01-2026.05 '!$D5,[1]SO003!AJ:AJ)</f>
        <v>0</v>
      </c>
    </row>
    <row r="6" spans="1:35" ht="11.45" customHeight="1" x14ac:dyDescent="0.55000000000000004">
      <c r="A6" s="2" t="s">
        <v>43</v>
      </c>
      <c r="B6" s="2" t="s">
        <v>44</v>
      </c>
      <c r="C6" s="2" t="s">
        <v>44</v>
      </c>
      <c r="D6" s="2" t="s">
        <v>45</v>
      </c>
      <c r="E6" s="2" t="s">
        <v>46</v>
      </c>
      <c r="F6" s="2" t="s">
        <v>46</v>
      </c>
      <c r="G6" s="3" t="s">
        <v>47</v>
      </c>
      <c r="H6" s="2" t="s">
        <v>44</v>
      </c>
      <c r="I6" s="17">
        <v>2</v>
      </c>
      <c r="J6" s="3">
        <v>220</v>
      </c>
      <c r="K6" s="3">
        <v>1220</v>
      </c>
      <c r="L6" s="18">
        <v>0</v>
      </c>
      <c r="M6" s="18">
        <v>0</v>
      </c>
      <c r="N6" s="18">
        <v>420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f>SUMIF([1]SA007!$C:$C,'SA007 2025.01-2026.05 '!$D6,[1]SA007!P:P)</f>
        <v>0</v>
      </c>
      <c r="AB6" s="18">
        <f>SUMIF([1]SA007!$C:$C,'SA007 2025.01-2026.05 '!$D6,[1]SA007!Q:Q)</f>
        <v>0</v>
      </c>
      <c r="AC6" s="19">
        <f t="shared" ref="AC6:AC69" si="3">SUM(L6:AB6)</f>
        <v>420</v>
      </c>
      <c r="AD6" s="19">
        <f t="shared" ref="AD6:AD69" si="4">AVERAGE(L6:AB6)</f>
        <v>24.705882352941178</v>
      </c>
      <c r="AE6" s="20" t="s">
        <v>48</v>
      </c>
      <c r="AG6" s="21">
        <f>SUMIF([1]SO003!$H:$H,'SA007 2025.01-2026.05 '!$D6,[1]SO003!AF:AF)</f>
        <v>0</v>
      </c>
      <c r="AH6" s="21">
        <f>SUMIF([1]SO003!$H:$H,'SA007 2025.01-2026.05 '!$D6,[1]SO003!AH:AH)</f>
        <v>0</v>
      </c>
      <c r="AI6" s="21">
        <f>SUMIF([1]SO003!$H:$H,'SA007 2025.01-2026.05 '!$D6,[1]SO003!AJ:AJ)</f>
        <v>0</v>
      </c>
    </row>
    <row r="7" spans="1:35" ht="11.45" customHeight="1" x14ac:dyDescent="0.55000000000000004">
      <c r="A7" s="2" t="s">
        <v>43</v>
      </c>
      <c r="B7" s="2" t="s">
        <v>44</v>
      </c>
      <c r="C7" s="2" t="s">
        <v>44</v>
      </c>
      <c r="D7" s="2" t="s">
        <v>49</v>
      </c>
      <c r="E7" s="2" t="s">
        <v>46</v>
      </c>
      <c r="F7" s="2" t="s">
        <v>46</v>
      </c>
      <c r="G7" s="3" t="s">
        <v>47</v>
      </c>
      <c r="H7" s="2" t="s">
        <v>50</v>
      </c>
      <c r="I7" s="17">
        <v>2</v>
      </c>
      <c r="J7" s="3">
        <v>95</v>
      </c>
      <c r="K7" s="3">
        <v>1220</v>
      </c>
      <c r="L7" s="18">
        <v>0</v>
      </c>
      <c r="M7" s="18">
        <v>0</v>
      </c>
      <c r="N7" s="18">
        <v>183</v>
      </c>
      <c r="O7" s="18">
        <v>184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f>SUMIF([1]SA007!$C:$C,'SA007 2025.01-2026.05 '!$D7,[1]SA007!P:P)</f>
        <v>0</v>
      </c>
      <c r="AB7" s="18">
        <f>SUMIF([1]SA007!$C:$C,'SA007 2025.01-2026.05 '!$D7,[1]SA007!Q:Q)</f>
        <v>0</v>
      </c>
      <c r="AC7" s="19">
        <f t="shared" si="3"/>
        <v>367</v>
      </c>
      <c r="AD7" s="19">
        <f t="shared" si="4"/>
        <v>21.588235294117649</v>
      </c>
      <c r="AE7" s="20" t="s">
        <v>51</v>
      </c>
      <c r="AG7" s="21">
        <f>SUMIF([1]SO003!$H:$H,'SA007 2025.01-2026.05 '!$D7,[1]SO003!AF:AF)</f>
        <v>0</v>
      </c>
      <c r="AH7" s="21">
        <f>SUMIF([1]SO003!$H:$H,'SA007 2025.01-2026.05 '!$D7,[1]SO003!AH:AH)</f>
        <v>0</v>
      </c>
      <c r="AI7" s="21">
        <f>SUMIF([1]SO003!$H:$H,'SA007 2025.01-2026.05 '!$D7,[1]SO003!AJ:AJ)</f>
        <v>0</v>
      </c>
    </row>
    <row r="8" spans="1:35" ht="11.45" customHeight="1" x14ac:dyDescent="0.55000000000000004">
      <c r="A8" s="2" t="s">
        <v>43</v>
      </c>
      <c r="B8" s="2" t="s">
        <v>44</v>
      </c>
      <c r="C8" s="2" t="s">
        <v>44</v>
      </c>
      <c r="D8" s="2" t="s">
        <v>52</v>
      </c>
      <c r="E8" s="2" t="s">
        <v>46</v>
      </c>
      <c r="F8" s="2" t="s">
        <v>46</v>
      </c>
      <c r="G8" s="3" t="s">
        <v>47</v>
      </c>
      <c r="H8" s="2" t="s">
        <v>44</v>
      </c>
      <c r="I8" s="17">
        <v>2</v>
      </c>
      <c r="J8" s="3">
        <v>220</v>
      </c>
      <c r="K8" s="3">
        <v>1220</v>
      </c>
      <c r="L8" s="18">
        <v>0</v>
      </c>
      <c r="M8" s="18">
        <v>0</v>
      </c>
      <c r="N8" s="18">
        <v>420</v>
      </c>
      <c r="O8" s="18">
        <v>907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f>SUMIF([1]SA007!$C:$C,'SA007 2025.01-2026.05 '!$D8,[1]SA007!P:P)</f>
        <v>0</v>
      </c>
      <c r="AB8" s="18">
        <f>SUMIF([1]SA007!$C:$C,'SA007 2025.01-2026.05 '!$D8,[1]SA007!Q:Q)</f>
        <v>0</v>
      </c>
      <c r="AC8" s="19">
        <f t="shared" si="3"/>
        <v>1327</v>
      </c>
      <c r="AD8" s="19">
        <f t="shared" si="4"/>
        <v>78.058823529411768</v>
      </c>
      <c r="AE8" s="20" t="s">
        <v>48</v>
      </c>
      <c r="AG8" s="21">
        <f>SUMIF([1]SO003!$H:$H,'SA007 2025.01-2026.05 '!$D8,[1]SO003!AF:AF)</f>
        <v>0</v>
      </c>
      <c r="AH8" s="21">
        <f>SUMIF([1]SO003!$H:$H,'SA007 2025.01-2026.05 '!$D8,[1]SO003!AH:AH)</f>
        <v>0</v>
      </c>
      <c r="AI8" s="21">
        <f>SUMIF([1]SO003!$H:$H,'SA007 2025.01-2026.05 '!$D8,[1]SO003!AJ:AJ)</f>
        <v>0</v>
      </c>
    </row>
    <row r="9" spans="1:35" ht="11.45" customHeight="1" x14ac:dyDescent="0.55000000000000004">
      <c r="A9" s="2" t="s">
        <v>53</v>
      </c>
      <c r="B9" s="2" t="s">
        <v>54</v>
      </c>
      <c r="C9" s="2" t="s">
        <v>54</v>
      </c>
      <c r="D9" s="2" t="s">
        <v>55</v>
      </c>
      <c r="E9" s="2" t="s">
        <v>56</v>
      </c>
      <c r="F9" s="2" t="s">
        <v>56</v>
      </c>
      <c r="G9" s="3" t="s">
        <v>57</v>
      </c>
      <c r="H9" s="2" t="s">
        <v>58</v>
      </c>
      <c r="I9" s="17">
        <v>0.5</v>
      </c>
      <c r="J9" s="3">
        <v>121.5</v>
      </c>
      <c r="K9" s="3">
        <v>1219</v>
      </c>
      <c r="L9" s="18">
        <v>0</v>
      </c>
      <c r="M9" s="18">
        <v>581</v>
      </c>
      <c r="N9" s="18">
        <v>0</v>
      </c>
      <c r="O9" s="18">
        <v>0</v>
      </c>
      <c r="P9" s="18">
        <v>0</v>
      </c>
      <c r="Q9" s="18">
        <v>0</v>
      </c>
      <c r="R9" s="18">
        <v>626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580</v>
      </c>
      <c r="Y9" s="18">
        <v>0</v>
      </c>
      <c r="Z9" s="18">
        <v>0</v>
      </c>
      <c r="AA9" s="18">
        <f>SUMIF([1]SA007!$C:$C,'SA007 2025.01-2026.05 '!$D9,[1]SA007!P:P)</f>
        <v>0</v>
      </c>
      <c r="AB9" s="18">
        <f>SUMIF([1]SA007!$C:$C,'SA007 2025.01-2026.05 '!$D9,[1]SA007!Q:Q)</f>
        <v>0</v>
      </c>
      <c r="AC9" s="19">
        <f t="shared" si="3"/>
        <v>1787</v>
      </c>
      <c r="AD9" s="19">
        <f t="shared" si="4"/>
        <v>105.11764705882354</v>
      </c>
      <c r="AE9" s="20" t="s">
        <v>59</v>
      </c>
      <c r="AG9" s="21">
        <f>SUMIF([1]SO003!$H:$H,'SA007 2025.01-2026.05 '!$D9,[1]SO003!AF:AF)</f>
        <v>0</v>
      </c>
      <c r="AH9" s="21">
        <f>SUMIF([1]SO003!$H:$H,'SA007 2025.01-2026.05 '!$D9,[1]SO003!AH:AH)</f>
        <v>0</v>
      </c>
      <c r="AI9" s="21">
        <f>SUMIF([1]SO003!$H:$H,'SA007 2025.01-2026.05 '!$D9,[1]SO003!AJ:AJ)</f>
        <v>0</v>
      </c>
    </row>
    <row r="10" spans="1:35" ht="11.45" customHeight="1" x14ac:dyDescent="0.55000000000000004">
      <c r="A10" s="2" t="s">
        <v>60</v>
      </c>
      <c r="B10" s="2" t="s">
        <v>61</v>
      </c>
      <c r="C10" s="2" t="s">
        <v>61</v>
      </c>
      <c r="D10" s="2" t="s">
        <v>62</v>
      </c>
      <c r="E10" s="2" t="s">
        <v>38</v>
      </c>
      <c r="F10" s="2" t="s">
        <v>38</v>
      </c>
      <c r="G10" s="3" t="s">
        <v>63</v>
      </c>
      <c r="H10" s="2" t="s">
        <v>64</v>
      </c>
      <c r="I10" s="17">
        <v>2.8</v>
      </c>
      <c r="J10" s="3">
        <v>140.5</v>
      </c>
      <c r="K10" s="3" t="s">
        <v>41</v>
      </c>
      <c r="L10" s="18">
        <v>2180</v>
      </c>
      <c r="M10" s="18">
        <v>2633</v>
      </c>
      <c r="N10" s="18">
        <v>0</v>
      </c>
      <c r="O10" s="18">
        <v>1017</v>
      </c>
      <c r="P10" s="18">
        <v>616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1582</v>
      </c>
      <c r="AA10" s="18">
        <f>SUMIF([1]SA007!$C:$C,'SA007 2025.01-2026.05 '!$D10,[1]SA007!P:P)</f>
        <v>1040</v>
      </c>
      <c r="AB10" s="18">
        <f>SUMIF([1]SA007!$C:$C,'SA007 2025.01-2026.05 '!$D10,[1]SA007!Q:Q)</f>
        <v>0</v>
      </c>
      <c r="AC10" s="19">
        <f t="shared" si="3"/>
        <v>9068</v>
      </c>
      <c r="AD10" s="19">
        <f t="shared" si="4"/>
        <v>533.41176470588232</v>
      </c>
      <c r="AE10" s="20" t="s">
        <v>65</v>
      </c>
      <c r="AG10" s="21">
        <f>SUMIF([1]SO003!$H:$H,'SA007 2025.01-2026.05 '!$D10,[1]SO003!AF:AF)</f>
        <v>0</v>
      </c>
      <c r="AH10" s="21">
        <f>SUMIF([1]SO003!$H:$H,'SA007 2025.01-2026.05 '!$D10,[1]SO003!AH:AH)</f>
        <v>0</v>
      </c>
      <c r="AI10" s="21">
        <f>SUMIF([1]SO003!$H:$H,'SA007 2025.01-2026.05 '!$D10,[1]SO003!AJ:AJ)</f>
        <v>0</v>
      </c>
    </row>
    <row r="11" spans="1:35" ht="11.45" customHeight="1" x14ac:dyDescent="0.55000000000000004">
      <c r="A11" s="2" t="s">
        <v>66</v>
      </c>
      <c r="B11" s="2" t="s">
        <v>67</v>
      </c>
      <c r="C11" s="2" t="s">
        <v>67</v>
      </c>
      <c r="D11" s="2" t="s">
        <v>68</v>
      </c>
      <c r="E11" s="2" t="s">
        <v>69</v>
      </c>
      <c r="F11" s="2" t="s">
        <v>69</v>
      </c>
      <c r="G11" s="3" t="s">
        <v>57</v>
      </c>
      <c r="H11" s="2" t="s">
        <v>70</v>
      </c>
      <c r="I11" s="17">
        <v>0.8</v>
      </c>
      <c r="J11" s="3">
        <v>320</v>
      </c>
      <c r="K11" s="3">
        <v>760</v>
      </c>
      <c r="L11" s="18">
        <v>0</v>
      </c>
      <c r="M11" s="18">
        <v>764</v>
      </c>
      <c r="N11" s="18">
        <v>743</v>
      </c>
      <c r="O11" s="18">
        <v>0</v>
      </c>
      <c r="P11" s="18">
        <v>0</v>
      </c>
      <c r="Q11" s="18">
        <v>744</v>
      </c>
      <c r="R11" s="18">
        <v>1492</v>
      </c>
      <c r="S11" s="18">
        <v>0</v>
      </c>
      <c r="T11" s="18">
        <v>1572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f>SUMIF([1]SA007!$C:$C,'SA007 2025.01-2026.05 '!$D11,[1]SA007!P:P)</f>
        <v>0</v>
      </c>
      <c r="AB11" s="18">
        <f>SUMIF([1]SA007!$C:$C,'SA007 2025.01-2026.05 '!$D11,[1]SA007!Q:Q)</f>
        <v>0</v>
      </c>
      <c r="AC11" s="19">
        <f t="shared" si="3"/>
        <v>5315</v>
      </c>
      <c r="AD11" s="19">
        <f t="shared" si="4"/>
        <v>312.64705882352939</v>
      </c>
      <c r="AE11" s="20" t="s">
        <v>71</v>
      </c>
      <c r="AG11" s="21">
        <f>SUMIF([1]SO003!$H:$H,'SA007 2025.01-2026.05 '!$D11,[1]SO003!AF:AF)</f>
        <v>0</v>
      </c>
      <c r="AH11" s="21">
        <f>SUMIF([1]SO003!$H:$H,'SA007 2025.01-2026.05 '!$D11,[1]SO003!AH:AH)</f>
        <v>0</v>
      </c>
      <c r="AI11" s="21">
        <f>SUMIF([1]SO003!$H:$H,'SA007 2025.01-2026.05 '!$D11,[1]SO003!AJ:AJ)</f>
        <v>0</v>
      </c>
    </row>
    <row r="12" spans="1:35" ht="11.45" customHeight="1" x14ac:dyDescent="0.55000000000000004">
      <c r="A12" s="2" t="s">
        <v>72</v>
      </c>
      <c r="B12" s="2" t="s">
        <v>67</v>
      </c>
      <c r="C12" s="2" t="s">
        <v>67</v>
      </c>
      <c r="D12" s="2" t="s">
        <v>73</v>
      </c>
      <c r="E12" s="2" t="s">
        <v>38</v>
      </c>
      <c r="F12" s="2" t="s">
        <v>38</v>
      </c>
      <c r="G12" s="3" t="s">
        <v>57</v>
      </c>
      <c r="H12" s="2" t="s">
        <v>74</v>
      </c>
      <c r="I12" s="17">
        <v>1.5</v>
      </c>
      <c r="J12" s="3">
        <v>135.19999999999999</v>
      </c>
      <c r="K12" s="3" t="s">
        <v>41</v>
      </c>
      <c r="L12" s="18">
        <v>2805</v>
      </c>
      <c r="M12" s="18">
        <v>2140</v>
      </c>
      <c r="N12" s="18">
        <v>4058</v>
      </c>
      <c r="O12" s="18">
        <v>1351</v>
      </c>
      <c r="P12" s="18">
        <v>0</v>
      </c>
      <c r="Q12" s="18">
        <v>1962</v>
      </c>
      <c r="R12" s="18">
        <v>1383</v>
      </c>
      <c r="S12" s="18">
        <v>1152</v>
      </c>
      <c r="T12" s="18">
        <v>4994</v>
      </c>
      <c r="U12" s="18">
        <v>4018</v>
      </c>
      <c r="V12" s="18">
        <v>0</v>
      </c>
      <c r="W12" s="18">
        <v>1965</v>
      </c>
      <c r="X12" s="18">
        <v>674</v>
      </c>
      <c r="Y12" s="18">
        <v>0</v>
      </c>
      <c r="Z12" s="18">
        <v>0</v>
      </c>
      <c r="AA12" s="18">
        <f>SUMIF([1]SA007!$C:$C,'SA007 2025.01-2026.05 '!$D12,[1]SA007!P:P)</f>
        <v>2272</v>
      </c>
      <c r="AB12" s="18">
        <f>SUMIF([1]SA007!$C:$C,'SA007 2025.01-2026.05 '!$D12,[1]SA007!Q:Q)</f>
        <v>3245</v>
      </c>
      <c r="AC12" s="19">
        <f t="shared" si="3"/>
        <v>32019</v>
      </c>
      <c r="AD12" s="19">
        <f t="shared" si="4"/>
        <v>1883.4705882352941</v>
      </c>
      <c r="AE12" s="20" t="s">
        <v>75</v>
      </c>
      <c r="AG12" s="21">
        <f>SUMIF([1]SO003!$H:$H,'SA007 2025.01-2026.05 '!$D12,[1]SO003!AF:AF)</f>
        <v>7200</v>
      </c>
      <c r="AH12" s="21">
        <f>SUMIF([1]SO003!$H:$H,'SA007 2025.01-2026.05 '!$D12,[1]SO003!AH:AH)</f>
        <v>2547</v>
      </c>
      <c r="AI12" s="21">
        <f>SUMIF([1]SO003!$H:$H,'SA007 2025.01-2026.05 '!$D12,[1]SO003!AJ:AJ)</f>
        <v>1553</v>
      </c>
    </row>
    <row r="13" spans="1:35" ht="11.45" customHeight="1" x14ac:dyDescent="0.55000000000000004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38</v>
      </c>
      <c r="F13" s="2" t="s">
        <v>38</v>
      </c>
      <c r="G13" s="3" t="s">
        <v>39</v>
      </c>
      <c r="H13" s="2" t="s">
        <v>80</v>
      </c>
      <c r="I13" s="17">
        <v>0.8</v>
      </c>
      <c r="J13" s="3">
        <v>68</v>
      </c>
      <c r="K13" s="3" t="s">
        <v>41</v>
      </c>
      <c r="L13" s="18">
        <v>0</v>
      </c>
      <c r="M13" s="18">
        <v>1606</v>
      </c>
      <c r="N13" s="18">
        <v>0</v>
      </c>
      <c r="O13" s="18">
        <v>1846</v>
      </c>
      <c r="P13" s="18">
        <v>0</v>
      </c>
      <c r="Q13" s="18">
        <v>1822</v>
      </c>
      <c r="R13" s="18">
        <v>1129</v>
      </c>
      <c r="S13" s="18">
        <v>0</v>
      </c>
      <c r="T13" s="18">
        <v>2635</v>
      </c>
      <c r="U13" s="18">
        <v>1485</v>
      </c>
      <c r="V13" s="18">
        <v>966</v>
      </c>
      <c r="W13" s="18">
        <v>1303</v>
      </c>
      <c r="X13" s="18">
        <v>555</v>
      </c>
      <c r="Y13" s="18">
        <v>0</v>
      </c>
      <c r="Z13" s="18">
        <v>3250</v>
      </c>
      <c r="AA13" s="18">
        <f>SUMIF([1]SA007!$C:$C,'SA007 2025.01-2026.05 '!$D13,[1]SA007!P:P)</f>
        <v>0</v>
      </c>
      <c r="AB13" s="18">
        <f>SUMIF([1]SA007!$C:$C,'SA007 2025.01-2026.05 '!$D13,[1]SA007!Q:Q)</f>
        <v>0</v>
      </c>
      <c r="AC13" s="19">
        <f t="shared" si="3"/>
        <v>16597</v>
      </c>
      <c r="AD13" s="19">
        <f t="shared" si="4"/>
        <v>976.29411764705878</v>
      </c>
      <c r="AE13" s="20" t="s">
        <v>81</v>
      </c>
      <c r="AG13" s="21">
        <f>SUMIF([1]SO003!$H:$H,'SA007 2025.01-2026.05 '!$D13,[1]SO003!AF:AF)</f>
        <v>1000</v>
      </c>
      <c r="AH13" s="21">
        <f>SUMIF([1]SO003!$H:$H,'SA007 2025.01-2026.05 '!$D13,[1]SO003!AH:AH)</f>
        <v>0</v>
      </c>
      <c r="AI13" s="21">
        <f>SUMIF([1]SO003!$H:$H,'SA007 2025.01-2026.05 '!$D13,[1]SO003!AJ:AJ)</f>
        <v>1000</v>
      </c>
    </row>
    <row r="14" spans="1:35" ht="11.45" customHeight="1" x14ac:dyDescent="0.55000000000000004">
      <c r="A14" s="2" t="s">
        <v>82</v>
      </c>
      <c r="B14" s="2" t="s">
        <v>77</v>
      </c>
      <c r="C14" s="2" t="s">
        <v>78</v>
      </c>
      <c r="D14" s="2" t="s">
        <v>83</v>
      </c>
      <c r="E14" s="2" t="s">
        <v>38</v>
      </c>
      <c r="F14" s="2" t="s">
        <v>38</v>
      </c>
      <c r="G14" s="3" t="s">
        <v>39</v>
      </c>
      <c r="H14" s="2" t="s">
        <v>84</v>
      </c>
      <c r="I14" s="17">
        <v>1</v>
      </c>
      <c r="J14" s="3">
        <v>124</v>
      </c>
      <c r="K14" s="3" t="s">
        <v>41</v>
      </c>
      <c r="L14" s="18">
        <v>5384</v>
      </c>
      <c r="M14" s="18">
        <v>12258</v>
      </c>
      <c r="N14" s="18">
        <v>0</v>
      </c>
      <c r="O14" s="18">
        <v>4241</v>
      </c>
      <c r="P14" s="18">
        <v>10960</v>
      </c>
      <c r="Q14" s="18">
        <v>5491</v>
      </c>
      <c r="R14" s="18">
        <v>7016.5</v>
      </c>
      <c r="S14" s="18">
        <v>12001</v>
      </c>
      <c r="T14" s="18">
        <v>0</v>
      </c>
      <c r="U14" s="18">
        <v>765</v>
      </c>
      <c r="V14" s="18">
        <v>3500</v>
      </c>
      <c r="W14" s="18">
        <v>0</v>
      </c>
      <c r="X14" s="18">
        <v>1621</v>
      </c>
      <c r="Y14" s="18">
        <v>0</v>
      </c>
      <c r="Z14" s="18">
        <v>0</v>
      </c>
      <c r="AA14" s="18">
        <f>SUMIF([1]SA007!$C:$C,'SA007 2025.01-2026.05 '!$D14,[1]SA007!P:P)</f>
        <v>0</v>
      </c>
      <c r="AB14" s="18">
        <f>SUMIF([1]SA007!$C:$C,'SA007 2025.01-2026.05 '!$D14,[1]SA007!Q:Q)</f>
        <v>0</v>
      </c>
      <c r="AC14" s="19">
        <f t="shared" si="3"/>
        <v>63237.5</v>
      </c>
      <c r="AD14" s="19">
        <f t="shared" si="4"/>
        <v>3719.8529411764707</v>
      </c>
      <c r="AE14" s="20" t="s">
        <v>85</v>
      </c>
      <c r="AG14" s="21">
        <f>SUMIF([1]SO003!$H:$H,'SA007 2025.01-2026.05 '!$D14,[1]SO003!AF:AF)</f>
        <v>0</v>
      </c>
      <c r="AH14" s="21">
        <f>SUMIF([1]SO003!$H:$H,'SA007 2025.01-2026.05 '!$D14,[1]SO003!AH:AH)</f>
        <v>0</v>
      </c>
      <c r="AI14" s="21">
        <f>SUMIF([1]SO003!$H:$H,'SA007 2025.01-2026.05 '!$D14,[1]SO003!AJ:AJ)</f>
        <v>0</v>
      </c>
    </row>
    <row r="15" spans="1:35" ht="11.45" customHeight="1" x14ac:dyDescent="0.55000000000000004">
      <c r="A15" s="2" t="s">
        <v>35</v>
      </c>
      <c r="B15" s="2" t="s">
        <v>36</v>
      </c>
      <c r="C15" s="2" t="s">
        <v>36</v>
      </c>
      <c r="D15" s="2" t="s">
        <v>86</v>
      </c>
      <c r="E15" s="2" t="s">
        <v>38</v>
      </c>
      <c r="F15" s="2" t="s">
        <v>38</v>
      </c>
      <c r="G15" s="3" t="s">
        <v>39</v>
      </c>
      <c r="H15" s="2" t="s">
        <v>40</v>
      </c>
      <c r="I15" s="17">
        <v>0.5</v>
      </c>
      <c r="J15" s="3">
        <v>179</v>
      </c>
      <c r="K15" s="3" t="s">
        <v>41</v>
      </c>
      <c r="L15" s="18">
        <v>1866</v>
      </c>
      <c r="M15" s="18">
        <v>3555</v>
      </c>
      <c r="N15" s="18">
        <v>1654</v>
      </c>
      <c r="O15" s="18">
        <v>2177</v>
      </c>
      <c r="P15" s="18">
        <v>0</v>
      </c>
      <c r="Q15" s="18">
        <v>0</v>
      </c>
      <c r="R15" s="18">
        <v>0</v>
      </c>
      <c r="S15" s="18">
        <v>0</v>
      </c>
      <c r="T15" s="18">
        <v>1112</v>
      </c>
      <c r="U15" s="18">
        <v>1033</v>
      </c>
      <c r="V15" s="18">
        <v>1442</v>
      </c>
      <c r="W15" s="18">
        <v>0</v>
      </c>
      <c r="X15" s="18">
        <v>1101</v>
      </c>
      <c r="Y15" s="18">
        <v>0</v>
      </c>
      <c r="Z15" s="18">
        <v>1587</v>
      </c>
      <c r="AA15" s="18">
        <f>SUMIF([1]SA007!$C:$C,'SA007 2025.01-2026.05 '!$D15,[1]SA007!P:P)</f>
        <v>411</v>
      </c>
      <c r="AB15" s="18">
        <f>SUMIF([1]SA007!$C:$C,'SA007 2025.01-2026.05 '!$D15,[1]SA007!Q:Q)</f>
        <v>1528</v>
      </c>
      <c r="AC15" s="19">
        <f t="shared" si="3"/>
        <v>17466</v>
      </c>
      <c r="AD15" s="19">
        <f t="shared" si="4"/>
        <v>1027.4117647058824</v>
      </c>
      <c r="AE15" s="20" t="s">
        <v>87</v>
      </c>
      <c r="AG15" s="21">
        <f>SUMIF([1]SO003!$H:$H,'SA007 2025.01-2026.05 '!$D15,[1]SO003!AF:AF)</f>
        <v>500</v>
      </c>
      <c r="AH15" s="21">
        <f>SUMIF([1]SO003!$H:$H,'SA007 2025.01-2026.05 '!$D15,[1]SO003!AH:AH)</f>
        <v>0</v>
      </c>
      <c r="AI15" s="21">
        <f>SUMIF([1]SO003!$H:$H,'SA007 2025.01-2026.05 '!$D15,[1]SO003!AJ:AJ)</f>
        <v>500</v>
      </c>
    </row>
    <row r="16" spans="1:35" ht="11.45" customHeight="1" x14ac:dyDescent="0.55000000000000004">
      <c r="A16" s="2" t="s">
        <v>66</v>
      </c>
      <c r="B16" s="2" t="s">
        <v>67</v>
      </c>
      <c r="C16" s="2" t="s">
        <v>67</v>
      </c>
      <c r="D16" s="2" t="s">
        <v>88</v>
      </c>
      <c r="E16" s="2" t="s">
        <v>69</v>
      </c>
      <c r="F16" s="2" t="s">
        <v>69</v>
      </c>
      <c r="G16" s="3" t="s">
        <v>57</v>
      </c>
      <c r="H16" s="2" t="s">
        <v>70</v>
      </c>
      <c r="I16" s="17">
        <v>0.8</v>
      </c>
      <c r="J16" s="3">
        <v>320</v>
      </c>
      <c r="K16" s="3">
        <v>1060</v>
      </c>
      <c r="L16" s="18">
        <v>0</v>
      </c>
      <c r="M16" s="18">
        <v>1064</v>
      </c>
      <c r="N16" s="18">
        <v>2042</v>
      </c>
      <c r="O16" s="18">
        <v>0</v>
      </c>
      <c r="P16" s="18">
        <v>0</v>
      </c>
      <c r="Q16" s="18">
        <v>1040</v>
      </c>
      <c r="R16" s="18">
        <v>2076</v>
      </c>
      <c r="S16" s="18">
        <v>2544</v>
      </c>
      <c r="T16" s="18">
        <v>2054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f>SUMIF([1]SA007!$C:$C,'SA007 2025.01-2026.05 '!$D16,[1]SA007!P:P)</f>
        <v>0</v>
      </c>
      <c r="AB16" s="18">
        <f>SUMIF([1]SA007!$C:$C,'SA007 2025.01-2026.05 '!$D16,[1]SA007!Q:Q)</f>
        <v>0</v>
      </c>
      <c r="AC16" s="19">
        <f t="shared" si="3"/>
        <v>10820</v>
      </c>
      <c r="AD16" s="19">
        <f t="shared" si="4"/>
        <v>636.47058823529414</v>
      </c>
      <c r="AE16" s="20" t="s">
        <v>89</v>
      </c>
      <c r="AG16" s="21">
        <f>SUMIF([1]SO003!$H:$H,'SA007 2025.01-2026.05 '!$D16,[1]SO003!AF:AF)</f>
        <v>0</v>
      </c>
      <c r="AH16" s="21">
        <f>SUMIF([1]SO003!$H:$H,'SA007 2025.01-2026.05 '!$D16,[1]SO003!AH:AH)</f>
        <v>0</v>
      </c>
      <c r="AI16" s="21">
        <f>SUMIF([1]SO003!$H:$H,'SA007 2025.01-2026.05 '!$D16,[1]SO003!AJ:AJ)</f>
        <v>0</v>
      </c>
    </row>
    <row r="17" spans="1:35" ht="11.45" customHeight="1" x14ac:dyDescent="0.55000000000000004">
      <c r="A17" s="2" t="s">
        <v>90</v>
      </c>
      <c r="B17" s="2" t="s">
        <v>61</v>
      </c>
      <c r="C17" s="2" t="s">
        <v>61</v>
      </c>
      <c r="D17" s="2" t="s">
        <v>91</v>
      </c>
      <c r="E17" s="2" t="s">
        <v>92</v>
      </c>
      <c r="F17" s="2" t="s">
        <v>92</v>
      </c>
      <c r="G17" s="3" t="s">
        <v>63</v>
      </c>
      <c r="H17" s="2" t="s">
        <v>93</v>
      </c>
      <c r="I17" s="17">
        <v>0.4</v>
      </c>
      <c r="J17" s="3">
        <v>90</v>
      </c>
      <c r="K17" s="3" t="s">
        <v>41</v>
      </c>
      <c r="L17" s="18">
        <v>0</v>
      </c>
      <c r="M17" s="18">
        <v>1325</v>
      </c>
      <c r="N17" s="18">
        <v>0</v>
      </c>
      <c r="O17" s="18">
        <v>831</v>
      </c>
      <c r="P17" s="18">
        <v>1080</v>
      </c>
      <c r="Q17" s="18">
        <v>798</v>
      </c>
      <c r="R17" s="18">
        <v>1624</v>
      </c>
      <c r="S17" s="18">
        <v>0</v>
      </c>
      <c r="T17" s="18">
        <v>0</v>
      </c>
      <c r="U17" s="18">
        <v>960</v>
      </c>
      <c r="V17" s="18">
        <v>0</v>
      </c>
      <c r="W17" s="18">
        <v>1076</v>
      </c>
      <c r="X17" s="18">
        <v>1329</v>
      </c>
      <c r="Y17" s="18">
        <v>0</v>
      </c>
      <c r="Z17" s="18">
        <v>624</v>
      </c>
      <c r="AA17" s="18">
        <f>SUMIF([1]SA007!$C:$C,'SA007 2025.01-2026.05 '!$D17,[1]SA007!P:P)</f>
        <v>624</v>
      </c>
      <c r="AB17" s="18">
        <f>SUMIF([1]SA007!$C:$C,'SA007 2025.01-2026.05 '!$D17,[1]SA007!Q:Q)</f>
        <v>0</v>
      </c>
      <c r="AC17" s="19">
        <f t="shared" si="3"/>
        <v>10271</v>
      </c>
      <c r="AD17" s="19">
        <f t="shared" si="4"/>
        <v>604.17647058823525</v>
      </c>
      <c r="AE17" s="20" t="s">
        <v>94</v>
      </c>
      <c r="AG17" s="21">
        <f>SUMIF([1]SO003!$H:$H,'SA007 2025.01-2026.05 '!$D17,[1]SO003!AF:AF)</f>
        <v>0</v>
      </c>
      <c r="AH17" s="21">
        <f>SUMIF([1]SO003!$H:$H,'SA007 2025.01-2026.05 '!$D17,[1]SO003!AH:AH)</f>
        <v>0</v>
      </c>
      <c r="AI17" s="21">
        <f>SUMIF([1]SO003!$H:$H,'SA007 2025.01-2026.05 '!$D17,[1]SO003!AJ:AJ)</f>
        <v>0</v>
      </c>
    </row>
    <row r="18" spans="1:35" ht="11.45" customHeight="1" x14ac:dyDescent="0.55000000000000004">
      <c r="A18" s="2" t="s">
        <v>90</v>
      </c>
      <c r="B18" s="2" t="s">
        <v>61</v>
      </c>
      <c r="C18" s="2" t="s">
        <v>61</v>
      </c>
      <c r="D18" s="2" t="s">
        <v>95</v>
      </c>
      <c r="E18" s="2" t="s">
        <v>92</v>
      </c>
      <c r="F18" s="2" t="s">
        <v>92</v>
      </c>
      <c r="G18" s="3" t="s">
        <v>63</v>
      </c>
      <c r="H18" s="2" t="s">
        <v>93</v>
      </c>
      <c r="I18" s="17">
        <v>0.4</v>
      </c>
      <c r="J18" s="3">
        <v>116</v>
      </c>
      <c r="K18" s="3" t="s">
        <v>41</v>
      </c>
      <c r="L18" s="18">
        <v>0</v>
      </c>
      <c r="M18" s="18">
        <v>295</v>
      </c>
      <c r="N18" s="18">
        <v>0</v>
      </c>
      <c r="O18" s="18">
        <v>290</v>
      </c>
      <c r="P18" s="18">
        <v>1473</v>
      </c>
      <c r="Q18" s="18">
        <v>1028</v>
      </c>
      <c r="R18" s="18">
        <v>0</v>
      </c>
      <c r="S18" s="18">
        <v>0</v>
      </c>
      <c r="T18" s="18">
        <v>0</v>
      </c>
      <c r="U18" s="18">
        <v>0</v>
      </c>
      <c r="V18" s="18">
        <v>2060</v>
      </c>
      <c r="W18" s="18">
        <v>0</v>
      </c>
      <c r="X18" s="18">
        <v>0</v>
      </c>
      <c r="Y18" s="18">
        <v>0</v>
      </c>
      <c r="Z18" s="18">
        <v>1342</v>
      </c>
      <c r="AA18" s="18">
        <f>SUMIF([1]SA007!$C:$C,'SA007 2025.01-2026.05 '!$D18,[1]SA007!P:P)</f>
        <v>0</v>
      </c>
      <c r="AB18" s="18">
        <f>SUMIF([1]SA007!$C:$C,'SA007 2025.01-2026.05 '!$D18,[1]SA007!Q:Q)</f>
        <v>0</v>
      </c>
      <c r="AC18" s="19">
        <f t="shared" si="3"/>
        <v>6488</v>
      </c>
      <c r="AD18" s="19">
        <f t="shared" si="4"/>
        <v>381.64705882352939</v>
      </c>
      <c r="AE18" s="20" t="s">
        <v>96</v>
      </c>
      <c r="AG18" s="21">
        <f>SUMIF([1]SO003!$H:$H,'SA007 2025.01-2026.05 '!$D18,[1]SO003!AF:AF)</f>
        <v>0</v>
      </c>
      <c r="AH18" s="21">
        <f>SUMIF([1]SO003!$H:$H,'SA007 2025.01-2026.05 '!$D18,[1]SO003!AH:AH)</f>
        <v>0</v>
      </c>
      <c r="AI18" s="21">
        <f>SUMIF([1]SO003!$H:$H,'SA007 2025.01-2026.05 '!$D18,[1]SO003!AJ:AJ)</f>
        <v>0</v>
      </c>
    </row>
    <row r="19" spans="1:35" ht="11.45" customHeight="1" x14ac:dyDescent="0.55000000000000004">
      <c r="A19" s="2" t="s">
        <v>90</v>
      </c>
      <c r="B19" s="2" t="s">
        <v>61</v>
      </c>
      <c r="C19" s="2" t="s">
        <v>61</v>
      </c>
      <c r="D19" s="2" t="s">
        <v>97</v>
      </c>
      <c r="E19" s="2" t="s">
        <v>92</v>
      </c>
      <c r="F19" s="2" t="s">
        <v>92</v>
      </c>
      <c r="G19" s="3" t="s">
        <v>63</v>
      </c>
      <c r="H19" s="2" t="s">
        <v>98</v>
      </c>
      <c r="I19" s="17">
        <v>0.4</v>
      </c>
      <c r="J19" s="3">
        <v>130.5</v>
      </c>
      <c r="K19" s="3" t="s">
        <v>41</v>
      </c>
      <c r="L19" s="18">
        <v>0</v>
      </c>
      <c r="M19" s="18">
        <v>2724</v>
      </c>
      <c r="N19" s="18">
        <v>2765</v>
      </c>
      <c r="O19" s="18">
        <v>0</v>
      </c>
      <c r="P19" s="18">
        <v>4544</v>
      </c>
      <c r="Q19" s="18">
        <v>0</v>
      </c>
      <c r="R19" s="18">
        <v>2112</v>
      </c>
      <c r="S19" s="18">
        <v>3482</v>
      </c>
      <c r="T19" s="18">
        <v>0</v>
      </c>
      <c r="U19" s="18">
        <v>3140</v>
      </c>
      <c r="V19" s="18">
        <v>2310</v>
      </c>
      <c r="W19" s="18">
        <v>0</v>
      </c>
      <c r="X19" s="18">
        <v>3351</v>
      </c>
      <c r="Y19" s="18">
        <v>1711</v>
      </c>
      <c r="Z19" s="18">
        <v>0</v>
      </c>
      <c r="AA19" s="18">
        <f>SUMIF([1]SA007!$C:$C,'SA007 2025.01-2026.05 '!$D19,[1]SA007!P:P)</f>
        <v>1298</v>
      </c>
      <c r="AB19" s="18">
        <f>SUMIF([1]SA007!$C:$C,'SA007 2025.01-2026.05 '!$D19,[1]SA007!Q:Q)</f>
        <v>0</v>
      </c>
      <c r="AC19" s="19">
        <f t="shared" si="3"/>
        <v>27437</v>
      </c>
      <c r="AD19" s="19">
        <f t="shared" si="4"/>
        <v>1613.9411764705883</v>
      </c>
      <c r="AE19" s="20" t="s">
        <v>94</v>
      </c>
      <c r="AG19" s="21">
        <f>SUMIF([1]SO003!$H:$H,'SA007 2025.01-2026.05 '!$D19,[1]SO003!AF:AF)</f>
        <v>0</v>
      </c>
      <c r="AH19" s="21">
        <f>SUMIF([1]SO003!$H:$H,'SA007 2025.01-2026.05 '!$D19,[1]SO003!AH:AH)</f>
        <v>0</v>
      </c>
      <c r="AI19" s="21">
        <f>SUMIF([1]SO003!$H:$H,'SA007 2025.01-2026.05 '!$D19,[1]SO003!AJ:AJ)</f>
        <v>0</v>
      </c>
    </row>
    <row r="20" spans="1:35" ht="11.45" customHeight="1" x14ac:dyDescent="0.55000000000000004">
      <c r="A20" s="2" t="s">
        <v>99</v>
      </c>
      <c r="B20" s="2" t="s">
        <v>61</v>
      </c>
      <c r="C20" s="2" t="s">
        <v>61</v>
      </c>
      <c r="D20" s="2" t="s">
        <v>100</v>
      </c>
      <c r="E20" s="2" t="s">
        <v>101</v>
      </c>
      <c r="F20" s="2" t="s">
        <v>101</v>
      </c>
      <c r="G20" s="3" t="s">
        <v>63</v>
      </c>
      <c r="H20" s="2" t="s">
        <v>61</v>
      </c>
      <c r="I20" s="17">
        <v>0.5</v>
      </c>
      <c r="J20" s="3">
        <v>27</v>
      </c>
      <c r="K20" s="3" t="s">
        <v>102</v>
      </c>
      <c r="L20" s="18">
        <v>73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f>SUMIF([1]SA007!$C:$C,'SA007 2025.01-2026.05 '!$D20,[1]SA007!P:P)</f>
        <v>0</v>
      </c>
      <c r="AB20" s="18">
        <f>SUMIF([1]SA007!$C:$C,'SA007 2025.01-2026.05 '!$D20,[1]SA007!Q:Q)</f>
        <v>0</v>
      </c>
      <c r="AC20" s="19">
        <f t="shared" si="3"/>
        <v>73</v>
      </c>
      <c r="AD20" s="19">
        <f t="shared" si="4"/>
        <v>4.2941176470588234</v>
      </c>
      <c r="AE20" s="20" t="s">
        <v>103</v>
      </c>
      <c r="AG20" s="21">
        <f>SUMIF([1]SO003!$H:$H,'SA007 2025.01-2026.05 '!$D20,[1]SO003!AF:AF)</f>
        <v>0</v>
      </c>
      <c r="AH20" s="21">
        <f>SUMIF([1]SO003!$H:$H,'SA007 2025.01-2026.05 '!$D20,[1]SO003!AH:AH)</f>
        <v>0</v>
      </c>
      <c r="AI20" s="21">
        <f>SUMIF([1]SO003!$H:$H,'SA007 2025.01-2026.05 '!$D20,[1]SO003!AJ:AJ)</f>
        <v>0</v>
      </c>
    </row>
    <row r="21" spans="1:35" ht="11.45" customHeight="1" x14ac:dyDescent="0.55000000000000004">
      <c r="A21" s="2" t="s">
        <v>104</v>
      </c>
      <c r="B21" s="2" t="s">
        <v>77</v>
      </c>
      <c r="C21" s="2" t="s">
        <v>78</v>
      </c>
      <c r="D21" s="2" t="s">
        <v>105</v>
      </c>
      <c r="E21" s="2" t="s">
        <v>106</v>
      </c>
      <c r="F21" s="2" t="s">
        <v>106</v>
      </c>
      <c r="G21" s="3" t="s">
        <v>39</v>
      </c>
      <c r="H21" s="2" t="s">
        <v>107</v>
      </c>
      <c r="I21" s="17">
        <v>0.5</v>
      </c>
      <c r="J21" s="3">
        <v>70</v>
      </c>
      <c r="K21" s="3" t="s">
        <v>41</v>
      </c>
      <c r="L21" s="18">
        <v>0</v>
      </c>
      <c r="M21" s="18">
        <v>0</v>
      </c>
      <c r="N21" s="18">
        <v>195</v>
      </c>
      <c r="O21" s="18">
        <v>0</v>
      </c>
      <c r="P21" s="18">
        <v>504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f>SUMIF([1]SA007!$C:$C,'SA007 2025.01-2026.05 '!$D21,[1]SA007!P:P)</f>
        <v>0</v>
      </c>
      <c r="AB21" s="18">
        <f>SUMIF([1]SA007!$C:$C,'SA007 2025.01-2026.05 '!$D21,[1]SA007!Q:Q)</f>
        <v>0</v>
      </c>
      <c r="AC21" s="19">
        <f t="shared" si="3"/>
        <v>699</v>
      </c>
      <c r="AD21" s="19">
        <f t="shared" si="4"/>
        <v>41.117647058823529</v>
      </c>
      <c r="AE21" s="20" t="s">
        <v>108</v>
      </c>
      <c r="AG21" s="21">
        <f>SUMIF([1]SO003!$H:$H,'SA007 2025.01-2026.05 '!$D21,[1]SO003!AF:AF)</f>
        <v>0</v>
      </c>
      <c r="AH21" s="21">
        <f>SUMIF([1]SO003!$H:$H,'SA007 2025.01-2026.05 '!$D21,[1]SO003!AH:AH)</f>
        <v>0</v>
      </c>
      <c r="AI21" s="21">
        <f>SUMIF([1]SO003!$H:$H,'SA007 2025.01-2026.05 '!$D21,[1]SO003!AJ:AJ)</f>
        <v>0</v>
      </c>
    </row>
    <row r="22" spans="1:35" ht="11.45" customHeight="1" x14ac:dyDescent="0.55000000000000004">
      <c r="A22" s="2" t="s">
        <v>109</v>
      </c>
      <c r="B22" s="2" t="s">
        <v>110</v>
      </c>
      <c r="C22" s="2" t="s">
        <v>110</v>
      </c>
      <c r="D22" s="2" t="s">
        <v>111</v>
      </c>
      <c r="E22" s="2" t="s">
        <v>38</v>
      </c>
      <c r="F22" s="2" t="s">
        <v>38</v>
      </c>
      <c r="G22" s="3" t="s">
        <v>57</v>
      </c>
      <c r="H22" s="2" t="s">
        <v>112</v>
      </c>
      <c r="I22" s="17">
        <v>0.5</v>
      </c>
      <c r="J22" s="3">
        <v>170</v>
      </c>
      <c r="K22" s="3" t="s">
        <v>41</v>
      </c>
      <c r="L22" s="18">
        <v>1486</v>
      </c>
      <c r="M22" s="18">
        <v>2648</v>
      </c>
      <c r="N22" s="18">
        <v>2269.3000000000002</v>
      </c>
      <c r="O22" s="18">
        <v>1484</v>
      </c>
      <c r="P22" s="18">
        <v>0</v>
      </c>
      <c r="Q22" s="18">
        <v>0</v>
      </c>
      <c r="R22" s="18">
        <v>966</v>
      </c>
      <c r="S22" s="18">
        <v>0</v>
      </c>
      <c r="T22" s="18">
        <v>1083</v>
      </c>
      <c r="U22" s="18">
        <v>1070</v>
      </c>
      <c r="V22" s="18">
        <v>1591</v>
      </c>
      <c r="W22" s="18">
        <v>0</v>
      </c>
      <c r="X22" s="18">
        <v>2238</v>
      </c>
      <c r="Y22" s="18">
        <v>0</v>
      </c>
      <c r="Z22" s="18">
        <v>1361</v>
      </c>
      <c r="AA22" s="18">
        <f>SUMIF([1]SA007!$C:$C,'SA007 2025.01-2026.05 '!$D22,[1]SA007!P:P)</f>
        <v>0</v>
      </c>
      <c r="AB22" s="18">
        <f>SUMIF([1]SA007!$C:$C,'SA007 2025.01-2026.05 '!$D22,[1]SA007!Q:Q)</f>
        <v>1050</v>
      </c>
      <c r="AC22" s="19">
        <f t="shared" si="3"/>
        <v>17246.3</v>
      </c>
      <c r="AD22" s="19">
        <f t="shared" si="4"/>
        <v>1014.4882352941177</v>
      </c>
      <c r="AE22" s="20" t="s">
        <v>113</v>
      </c>
      <c r="AG22" s="21">
        <f>SUMIF([1]SO003!$H:$H,'SA007 2025.01-2026.05 '!$D22,[1]SO003!AF:AF)</f>
        <v>0</v>
      </c>
      <c r="AH22" s="21">
        <f>SUMIF([1]SO003!$H:$H,'SA007 2025.01-2026.05 '!$D22,[1]SO003!AH:AH)</f>
        <v>0</v>
      </c>
      <c r="AI22" s="21">
        <f>SUMIF([1]SO003!$H:$H,'SA007 2025.01-2026.05 '!$D22,[1]SO003!AJ:AJ)</f>
        <v>0</v>
      </c>
    </row>
    <row r="23" spans="1:35" ht="11.45" customHeight="1" x14ac:dyDescent="0.55000000000000004">
      <c r="A23" s="2" t="s">
        <v>99</v>
      </c>
      <c r="B23" s="2" t="s">
        <v>61</v>
      </c>
      <c r="C23" s="2" t="s">
        <v>61</v>
      </c>
      <c r="D23" s="2" t="s">
        <v>114</v>
      </c>
      <c r="E23" s="2" t="s">
        <v>115</v>
      </c>
      <c r="F23" s="2" t="s">
        <v>115</v>
      </c>
      <c r="G23" s="3" t="s">
        <v>63</v>
      </c>
      <c r="H23" s="2" t="s">
        <v>64</v>
      </c>
      <c r="I23" s="17">
        <v>0.5</v>
      </c>
      <c r="J23" s="3">
        <v>370</v>
      </c>
      <c r="K23" s="3">
        <v>600</v>
      </c>
      <c r="L23" s="18">
        <v>0</v>
      </c>
      <c r="M23" s="18">
        <v>0</v>
      </c>
      <c r="N23" s="18">
        <v>107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f>SUMIF([1]SA007!$C:$C,'SA007 2025.01-2026.05 '!$D23,[1]SA007!P:P)</f>
        <v>0</v>
      </c>
      <c r="AB23" s="18">
        <f>SUMIF([1]SA007!$C:$C,'SA007 2025.01-2026.05 '!$D23,[1]SA007!Q:Q)</f>
        <v>0</v>
      </c>
      <c r="AC23" s="19">
        <f t="shared" si="3"/>
        <v>107</v>
      </c>
      <c r="AD23" s="19">
        <f t="shared" si="4"/>
        <v>6.2941176470588234</v>
      </c>
      <c r="AE23" s="20" t="s">
        <v>116</v>
      </c>
      <c r="AG23" s="21">
        <f>SUMIF([1]SO003!$H:$H,'SA007 2025.01-2026.05 '!$D23,[1]SO003!AF:AF)</f>
        <v>0</v>
      </c>
      <c r="AH23" s="21">
        <f>SUMIF([1]SO003!$H:$H,'SA007 2025.01-2026.05 '!$D23,[1]SO003!AH:AH)</f>
        <v>0</v>
      </c>
      <c r="AI23" s="21">
        <f>SUMIF([1]SO003!$H:$H,'SA007 2025.01-2026.05 '!$D23,[1]SO003!AJ:AJ)</f>
        <v>0</v>
      </c>
    </row>
    <row r="24" spans="1:35" ht="11.45" customHeight="1" x14ac:dyDescent="0.55000000000000004">
      <c r="A24" s="2" t="s">
        <v>99</v>
      </c>
      <c r="B24" s="2" t="s">
        <v>61</v>
      </c>
      <c r="C24" s="2" t="s">
        <v>61</v>
      </c>
      <c r="D24" s="2" t="s">
        <v>117</v>
      </c>
      <c r="E24" s="2" t="s">
        <v>115</v>
      </c>
      <c r="F24" s="2" t="s">
        <v>115</v>
      </c>
      <c r="G24" s="3" t="s">
        <v>63</v>
      </c>
      <c r="H24" s="2" t="s">
        <v>64</v>
      </c>
      <c r="I24" s="17">
        <v>0.5</v>
      </c>
      <c r="J24" s="3">
        <v>488</v>
      </c>
      <c r="K24" s="3">
        <v>610</v>
      </c>
      <c r="L24" s="18">
        <v>0</v>
      </c>
      <c r="M24" s="18">
        <v>1223</v>
      </c>
      <c r="N24" s="18">
        <v>3067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956</v>
      </c>
      <c r="X24" s="18">
        <v>0</v>
      </c>
      <c r="Y24" s="18">
        <v>0</v>
      </c>
      <c r="Z24" s="18">
        <v>0</v>
      </c>
      <c r="AA24" s="18">
        <f>SUMIF([1]SA007!$C:$C,'SA007 2025.01-2026.05 '!$D24,[1]SA007!P:P)</f>
        <v>813</v>
      </c>
      <c r="AB24" s="18">
        <f>SUMIF([1]SA007!$C:$C,'SA007 2025.01-2026.05 '!$D24,[1]SA007!Q:Q)</f>
        <v>0</v>
      </c>
      <c r="AC24" s="19">
        <f t="shared" si="3"/>
        <v>6059</v>
      </c>
      <c r="AD24" s="19">
        <f t="shared" si="4"/>
        <v>356.41176470588238</v>
      </c>
      <c r="AE24" s="20" t="s">
        <v>116</v>
      </c>
      <c r="AG24" s="21">
        <f>SUMIF([1]SO003!$H:$H,'SA007 2025.01-2026.05 '!$D24,[1]SO003!AF:AF)</f>
        <v>1448.8085599999999</v>
      </c>
      <c r="AH24" s="21">
        <f>SUMIF([1]SO003!$H:$H,'SA007 2025.01-2026.05 '!$D24,[1]SO003!AH:AH)</f>
        <v>1369.3577679999999</v>
      </c>
      <c r="AI24" s="21">
        <f>SUMIF([1]SO003!$H:$H,'SA007 2025.01-2026.05 '!$D24,[1]SO003!AJ:AJ)</f>
        <v>79.450791999999993</v>
      </c>
    </row>
    <row r="25" spans="1:35" ht="11.45" customHeight="1" x14ac:dyDescent="0.55000000000000004">
      <c r="A25" s="2" t="s">
        <v>104</v>
      </c>
      <c r="B25" s="2" t="s">
        <v>77</v>
      </c>
      <c r="C25" s="2" t="s">
        <v>78</v>
      </c>
      <c r="D25" s="2" t="s">
        <v>118</v>
      </c>
      <c r="E25" s="2" t="s">
        <v>119</v>
      </c>
      <c r="F25" s="2" t="s">
        <v>119</v>
      </c>
      <c r="G25" s="3" t="s">
        <v>39</v>
      </c>
      <c r="H25" s="2" t="s">
        <v>78</v>
      </c>
      <c r="I25" s="17">
        <v>0.5</v>
      </c>
      <c r="J25" s="3">
        <v>163</v>
      </c>
      <c r="K25" s="3" t="s">
        <v>41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f>SUMIF([1]SA007!$C:$C,'SA007 2025.01-2026.05 '!$D25,[1]SA007!P:P)</f>
        <v>0</v>
      </c>
      <c r="AB25" s="18">
        <f>SUMIF([1]SA007!$C:$C,'SA007 2025.01-2026.05 '!$D25,[1]SA007!Q:Q)</f>
        <v>0</v>
      </c>
      <c r="AC25" s="19">
        <f t="shared" si="3"/>
        <v>0</v>
      </c>
      <c r="AD25" s="19">
        <f t="shared" si="4"/>
        <v>0</v>
      </c>
      <c r="AE25" s="20" t="s">
        <v>116</v>
      </c>
      <c r="AG25" s="21">
        <f>SUMIF([1]SO003!$H:$H,'SA007 2025.01-2026.05 '!$D25,[1]SO003!AF:AF)</f>
        <v>0</v>
      </c>
      <c r="AH25" s="21">
        <f>SUMIF([1]SO003!$H:$H,'SA007 2025.01-2026.05 '!$D25,[1]SO003!AH:AH)</f>
        <v>0</v>
      </c>
      <c r="AI25" s="21">
        <f>SUMIF([1]SO003!$H:$H,'SA007 2025.01-2026.05 '!$D25,[1]SO003!AJ:AJ)</f>
        <v>0</v>
      </c>
    </row>
    <row r="26" spans="1:35" ht="11.45" customHeight="1" x14ac:dyDescent="0.55000000000000004">
      <c r="A26" s="2" t="s">
        <v>66</v>
      </c>
      <c r="B26" s="2" t="s">
        <v>67</v>
      </c>
      <c r="C26" s="2" t="s">
        <v>67</v>
      </c>
      <c r="D26" s="2" t="s">
        <v>120</v>
      </c>
      <c r="E26" s="2" t="s">
        <v>69</v>
      </c>
      <c r="F26" s="2" t="s">
        <v>69</v>
      </c>
      <c r="G26" s="3" t="s">
        <v>57</v>
      </c>
      <c r="H26" s="2" t="s">
        <v>70</v>
      </c>
      <c r="I26" s="17">
        <v>0.8</v>
      </c>
      <c r="J26" s="3">
        <v>320</v>
      </c>
      <c r="K26" s="3">
        <v>1460</v>
      </c>
      <c r="L26" s="18">
        <v>0</v>
      </c>
      <c r="M26" s="18">
        <v>1459</v>
      </c>
      <c r="N26" s="18">
        <v>2824</v>
      </c>
      <c r="O26" s="18">
        <v>0</v>
      </c>
      <c r="P26" s="18">
        <v>0</v>
      </c>
      <c r="Q26" s="18">
        <v>2912</v>
      </c>
      <c r="R26" s="18">
        <v>0</v>
      </c>
      <c r="S26" s="18">
        <v>2920</v>
      </c>
      <c r="T26" s="18">
        <v>2802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f>SUMIF([1]SA007!$C:$C,'SA007 2025.01-2026.05 '!$D26,[1]SA007!P:P)</f>
        <v>0</v>
      </c>
      <c r="AB26" s="18">
        <f>SUMIF([1]SA007!$C:$C,'SA007 2025.01-2026.05 '!$D26,[1]SA007!Q:Q)</f>
        <v>0</v>
      </c>
      <c r="AC26" s="19">
        <f t="shared" si="3"/>
        <v>12917</v>
      </c>
      <c r="AD26" s="19">
        <f t="shared" si="4"/>
        <v>759.82352941176475</v>
      </c>
      <c r="AE26" s="20" t="s">
        <v>89</v>
      </c>
      <c r="AG26" s="21">
        <f>SUMIF([1]SO003!$H:$H,'SA007 2025.01-2026.05 '!$D26,[1]SO003!AF:AF)</f>
        <v>0</v>
      </c>
      <c r="AH26" s="21">
        <f>SUMIF([1]SO003!$H:$H,'SA007 2025.01-2026.05 '!$D26,[1]SO003!AH:AH)</f>
        <v>0</v>
      </c>
      <c r="AI26" s="21">
        <f>SUMIF([1]SO003!$H:$H,'SA007 2025.01-2026.05 '!$D26,[1]SO003!AJ:AJ)</f>
        <v>0</v>
      </c>
    </row>
    <row r="27" spans="1:35" ht="11.45" customHeight="1" x14ac:dyDescent="0.55000000000000004">
      <c r="A27" s="2" t="s">
        <v>99</v>
      </c>
      <c r="B27" s="2" t="s">
        <v>61</v>
      </c>
      <c r="C27" s="2" t="s">
        <v>61</v>
      </c>
      <c r="D27" s="2" t="s">
        <v>121</v>
      </c>
      <c r="E27" s="2" t="s">
        <v>115</v>
      </c>
      <c r="F27" s="2" t="s">
        <v>115</v>
      </c>
      <c r="G27" s="3" t="s">
        <v>63</v>
      </c>
      <c r="H27" s="2" t="s">
        <v>64</v>
      </c>
      <c r="I27" s="17">
        <v>0.5</v>
      </c>
      <c r="J27" s="3">
        <v>200</v>
      </c>
      <c r="K27" s="3" t="s">
        <v>102</v>
      </c>
      <c r="L27" s="18">
        <v>0</v>
      </c>
      <c r="M27" s="18">
        <v>0</v>
      </c>
      <c r="N27" s="18">
        <v>1062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2418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f>SUMIF([1]SA007!$C:$C,'SA007 2025.01-2026.05 '!$D27,[1]SA007!P:P)</f>
        <v>0</v>
      </c>
      <c r="AB27" s="18">
        <f>SUMIF([1]SA007!$C:$C,'SA007 2025.01-2026.05 '!$D27,[1]SA007!Q:Q)</f>
        <v>0</v>
      </c>
      <c r="AC27" s="19">
        <f t="shared" si="3"/>
        <v>3480</v>
      </c>
      <c r="AD27" s="19">
        <f t="shared" si="4"/>
        <v>204.70588235294119</v>
      </c>
      <c r="AE27" s="20" t="s">
        <v>122</v>
      </c>
      <c r="AG27" s="21">
        <f>SUMIF([1]SO003!$H:$H,'SA007 2025.01-2026.05 '!$D27,[1]SO003!AF:AF)</f>
        <v>0</v>
      </c>
      <c r="AH27" s="21">
        <f>SUMIF([1]SO003!$H:$H,'SA007 2025.01-2026.05 '!$D27,[1]SO003!AH:AH)</f>
        <v>0</v>
      </c>
      <c r="AI27" s="21">
        <f>SUMIF([1]SO003!$H:$H,'SA007 2025.01-2026.05 '!$D27,[1]SO003!AJ:AJ)</f>
        <v>0</v>
      </c>
    </row>
    <row r="28" spans="1:35" ht="11.45" customHeight="1" x14ac:dyDescent="0.55000000000000004">
      <c r="A28" s="2" t="s">
        <v>66</v>
      </c>
      <c r="B28" s="2" t="s">
        <v>67</v>
      </c>
      <c r="C28" s="2" t="s">
        <v>67</v>
      </c>
      <c r="D28" s="2" t="s">
        <v>123</v>
      </c>
      <c r="E28" s="2" t="s">
        <v>69</v>
      </c>
      <c r="F28" s="2" t="s">
        <v>69</v>
      </c>
      <c r="G28" s="3" t="s">
        <v>57</v>
      </c>
      <c r="H28" s="2" t="s">
        <v>70</v>
      </c>
      <c r="I28" s="17">
        <v>0.8</v>
      </c>
      <c r="J28" s="3">
        <v>102.8</v>
      </c>
      <c r="K28" s="3">
        <v>738.8</v>
      </c>
      <c r="L28" s="18">
        <v>953</v>
      </c>
      <c r="M28" s="18">
        <v>951</v>
      </c>
      <c r="N28" s="18">
        <v>922</v>
      </c>
      <c r="O28" s="18">
        <v>0</v>
      </c>
      <c r="P28" s="18">
        <v>705</v>
      </c>
      <c r="Q28" s="18">
        <v>0</v>
      </c>
      <c r="R28" s="18">
        <v>0</v>
      </c>
      <c r="S28" s="18">
        <v>1165</v>
      </c>
      <c r="T28" s="18">
        <v>0</v>
      </c>
      <c r="U28" s="18">
        <v>460</v>
      </c>
      <c r="V28" s="18">
        <v>1392</v>
      </c>
      <c r="W28" s="18">
        <v>0</v>
      </c>
      <c r="X28" s="18">
        <v>0</v>
      </c>
      <c r="Y28" s="18">
        <v>0</v>
      </c>
      <c r="Z28" s="18">
        <v>0</v>
      </c>
      <c r="AA28" s="18">
        <f>SUMIF([1]SA007!$C:$C,'SA007 2025.01-2026.05 '!$D28,[1]SA007!P:P)</f>
        <v>0</v>
      </c>
      <c r="AB28" s="18">
        <f>SUMIF([1]SA007!$C:$C,'SA007 2025.01-2026.05 '!$D28,[1]SA007!Q:Q)</f>
        <v>0</v>
      </c>
      <c r="AC28" s="19">
        <f t="shared" si="3"/>
        <v>6548</v>
      </c>
      <c r="AD28" s="19">
        <f t="shared" si="4"/>
        <v>385.1764705882353</v>
      </c>
      <c r="AE28" s="20" t="s">
        <v>71</v>
      </c>
      <c r="AG28" s="21">
        <f>SUMIF([1]SO003!$H:$H,'SA007 2025.01-2026.05 '!$D28,[1]SO003!AF:AF)</f>
        <v>0</v>
      </c>
      <c r="AH28" s="21">
        <f>SUMIF([1]SO003!$H:$H,'SA007 2025.01-2026.05 '!$D28,[1]SO003!AH:AH)</f>
        <v>0</v>
      </c>
      <c r="AI28" s="21">
        <f>SUMIF([1]SO003!$H:$H,'SA007 2025.01-2026.05 '!$D28,[1]SO003!AJ:AJ)</f>
        <v>0</v>
      </c>
    </row>
    <row r="29" spans="1:35" ht="11.45" customHeight="1" x14ac:dyDescent="0.55000000000000004">
      <c r="A29" s="2" t="s">
        <v>104</v>
      </c>
      <c r="B29" s="2" t="s">
        <v>77</v>
      </c>
      <c r="C29" s="2" t="s">
        <v>78</v>
      </c>
      <c r="D29" s="2" t="s">
        <v>124</v>
      </c>
      <c r="E29" s="2" t="s">
        <v>119</v>
      </c>
      <c r="F29" s="2" t="s">
        <v>119</v>
      </c>
      <c r="G29" s="3" t="s">
        <v>39</v>
      </c>
      <c r="H29" s="2" t="s">
        <v>78</v>
      </c>
      <c r="I29" s="17">
        <v>0.5</v>
      </c>
      <c r="J29" s="3">
        <v>472</v>
      </c>
      <c r="K29" s="3" t="s">
        <v>41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f>SUMIF([1]SA007!$C:$C,'SA007 2025.01-2026.05 '!$D29,[1]SA007!P:P)</f>
        <v>0</v>
      </c>
      <c r="AB29" s="18">
        <f>SUMIF([1]SA007!$C:$C,'SA007 2025.01-2026.05 '!$D29,[1]SA007!Q:Q)</f>
        <v>0</v>
      </c>
      <c r="AC29" s="19">
        <f t="shared" si="3"/>
        <v>0</v>
      </c>
      <c r="AD29" s="19">
        <f t="shared" si="4"/>
        <v>0</v>
      </c>
      <c r="AE29" s="20" t="s">
        <v>116</v>
      </c>
      <c r="AG29" s="21">
        <f>SUMIF([1]SO003!$H:$H,'SA007 2025.01-2026.05 '!$D29,[1]SO003!AF:AF)</f>
        <v>0</v>
      </c>
      <c r="AH29" s="21">
        <f>SUMIF([1]SO003!$H:$H,'SA007 2025.01-2026.05 '!$D29,[1]SO003!AH:AH)</f>
        <v>0</v>
      </c>
      <c r="AI29" s="21">
        <f>SUMIF([1]SO003!$H:$H,'SA007 2025.01-2026.05 '!$D29,[1]SO003!AJ:AJ)</f>
        <v>0</v>
      </c>
    </row>
    <row r="30" spans="1:35" ht="11.45" customHeight="1" x14ac:dyDescent="0.55000000000000004">
      <c r="A30" s="2" t="s">
        <v>104</v>
      </c>
      <c r="B30" s="2" t="s">
        <v>77</v>
      </c>
      <c r="C30" s="2" t="s">
        <v>78</v>
      </c>
      <c r="D30" s="2" t="s">
        <v>125</v>
      </c>
      <c r="E30" s="2" t="s">
        <v>119</v>
      </c>
      <c r="F30" s="2" t="s">
        <v>119</v>
      </c>
      <c r="G30" s="3" t="s">
        <v>39</v>
      </c>
      <c r="H30" s="2" t="s">
        <v>78</v>
      </c>
      <c r="I30" s="17">
        <v>0.5</v>
      </c>
      <c r="J30" s="3">
        <v>67</v>
      </c>
      <c r="K30" s="3" t="s">
        <v>41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f>SUMIF([1]SA007!$C:$C,'SA007 2025.01-2026.05 '!$D30,[1]SA007!P:P)</f>
        <v>0</v>
      </c>
      <c r="AB30" s="18">
        <f>SUMIF([1]SA007!$C:$C,'SA007 2025.01-2026.05 '!$D30,[1]SA007!Q:Q)</f>
        <v>0</v>
      </c>
      <c r="AC30" s="19">
        <f t="shared" si="3"/>
        <v>0</v>
      </c>
      <c r="AD30" s="19">
        <f t="shared" si="4"/>
        <v>0</v>
      </c>
      <c r="AE30" s="20" t="s">
        <v>116</v>
      </c>
      <c r="AG30" s="21">
        <f>SUMIF([1]SO003!$H:$H,'SA007 2025.01-2026.05 '!$D30,[1]SO003!AF:AF)</f>
        <v>0</v>
      </c>
      <c r="AH30" s="21">
        <f>SUMIF([1]SO003!$H:$H,'SA007 2025.01-2026.05 '!$D30,[1]SO003!AH:AH)</f>
        <v>0</v>
      </c>
      <c r="AI30" s="21">
        <f>SUMIF([1]SO003!$H:$H,'SA007 2025.01-2026.05 '!$D30,[1]SO003!AJ:AJ)</f>
        <v>0</v>
      </c>
    </row>
    <row r="31" spans="1:35" ht="11.45" customHeight="1" x14ac:dyDescent="0.55000000000000004">
      <c r="A31" s="2" t="s">
        <v>126</v>
      </c>
      <c r="B31" s="2" t="s">
        <v>61</v>
      </c>
      <c r="C31" s="2" t="s">
        <v>61</v>
      </c>
      <c r="D31" s="2" t="s">
        <v>127</v>
      </c>
      <c r="E31" s="2" t="s">
        <v>115</v>
      </c>
      <c r="F31" s="2" t="s">
        <v>115</v>
      </c>
      <c r="G31" s="3" t="s">
        <v>63</v>
      </c>
      <c r="H31" s="2" t="s">
        <v>64</v>
      </c>
      <c r="I31" s="17">
        <v>0.6</v>
      </c>
      <c r="J31" s="3">
        <v>500</v>
      </c>
      <c r="K31" s="3">
        <v>1000</v>
      </c>
      <c r="L31" s="18">
        <v>2155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f>SUMIF([1]SA007!$C:$C,'SA007 2025.01-2026.05 '!$D31,[1]SA007!P:P)</f>
        <v>0</v>
      </c>
      <c r="AB31" s="18">
        <f>SUMIF([1]SA007!$C:$C,'SA007 2025.01-2026.05 '!$D31,[1]SA007!Q:Q)</f>
        <v>0</v>
      </c>
      <c r="AC31" s="19">
        <f t="shared" si="3"/>
        <v>2155</v>
      </c>
      <c r="AD31" s="19">
        <f t="shared" si="4"/>
        <v>126.76470588235294</v>
      </c>
      <c r="AE31" s="20" t="s">
        <v>116</v>
      </c>
      <c r="AG31" s="21">
        <f>SUMIF([1]SO003!$H:$H,'SA007 2025.01-2026.05 '!$D31,[1]SO003!AF:AF)</f>
        <v>0</v>
      </c>
      <c r="AH31" s="21">
        <f>SUMIF([1]SO003!$H:$H,'SA007 2025.01-2026.05 '!$D31,[1]SO003!AH:AH)</f>
        <v>0</v>
      </c>
      <c r="AI31" s="21">
        <f>SUMIF([1]SO003!$H:$H,'SA007 2025.01-2026.05 '!$D31,[1]SO003!AJ:AJ)</f>
        <v>0</v>
      </c>
    </row>
    <row r="32" spans="1:35" ht="11.45" customHeight="1" x14ac:dyDescent="0.55000000000000004">
      <c r="A32" s="2" t="s">
        <v>126</v>
      </c>
      <c r="B32" s="2" t="s">
        <v>61</v>
      </c>
      <c r="C32" s="2" t="s">
        <v>61</v>
      </c>
      <c r="D32" s="2" t="s">
        <v>128</v>
      </c>
      <c r="E32" s="2" t="s">
        <v>129</v>
      </c>
      <c r="F32" s="2" t="s">
        <v>129</v>
      </c>
      <c r="G32" s="3" t="s">
        <v>63</v>
      </c>
      <c r="H32" s="2" t="s">
        <v>64</v>
      </c>
      <c r="I32" s="17">
        <v>0.6</v>
      </c>
      <c r="J32" s="3">
        <v>55</v>
      </c>
      <c r="K32" s="3" t="s">
        <v>41</v>
      </c>
      <c r="L32" s="18">
        <v>0</v>
      </c>
      <c r="M32" s="18">
        <v>152</v>
      </c>
      <c r="N32" s="18">
        <v>0</v>
      </c>
      <c r="O32" s="18">
        <v>0</v>
      </c>
      <c r="P32" s="18">
        <v>0</v>
      </c>
      <c r="Q32" s="18">
        <v>130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f>SUMIF([1]SA007!$C:$C,'SA007 2025.01-2026.05 '!$D32,[1]SA007!P:P)</f>
        <v>0</v>
      </c>
      <c r="AB32" s="18">
        <f>SUMIF([1]SA007!$C:$C,'SA007 2025.01-2026.05 '!$D32,[1]SA007!Q:Q)</f>
        <v>0</v>
      </c>
      <c r="AC32" s="19">
        <f t="shared" si="3"/>
        <v>282</v>
      </c>
      <c r="AD32" s="19">
        <f t="shared" si="4"/>
        <v>16.588235294117649</v>
      </c>
      <c r="AE32" s="20" t="s">
        <v>130</v>
      </c>
      <c r="AG32" s="21">
        <f>SUMIF([1]SO003!$H:$H,'SA007 2025.01-2026.05 '!$D32,[1]SO003!AF:AF)</f>
        <v>0</v>
      </c>
      <c r="AH32" s="21">
        <f>SUMIF([1]SO003!$H:$H,'SA007 2025.01-2026.05 '!$D32,[1]SO003!AH:AH)</f>
        <v>0</v>
      </c>
      <c r="AI32" s="21">
        <f>SUMIF([1]SO003!$H:$H,'SA007 2025.01-2026.05 '!$D32,[1]SO003!AJ:AJ)</f>
        <v>0</v>
      </c>
    </row>
    <row r="33" spans="1:35" ht="11.45" customHeight="1" x14ac:dyDescent="0.55000000000000004">
      <c r="A33" s="2" t="s">
        <v>131</v>
      </c>
      <c r="B33" s="2" t="s">
        <v>77</v>
      </c>
      <c r="C33" s="2" t="s">
        <v>78</v>
      </c>
      <c r="D33" s="2" t="s">
        <v>132</v>
      </c>
      <c r="E33" s="2" t="s">
        <v>106</v>
      </c>
      <c r="F33" s="2" t="s">
        <v>106</v>
      </c>
      <c r="G33" s="3" t="s">
        <v>39</v>
      </c>
      <c r="H33" s="2" t="s">
        <v>133</v>
      </c>
      <c r="I33" s="17">
        <v>0.6</v>
      </c>
      <c r="J33" s="3">
        <v>133</v>
      </c>
      <c r="K33" s="3" t="s">
        <v>41</v>
      </c>
      <c r="L33" s="18">
        <v>0</v>
      </c>
      <c r="M33" s="18">
        <v>426</v>
      </c>
      <c r="N33" s="18">
        <v>830</v>
      </c>
      <c r="O33" s="18">
        <v>0</v>
      </c>
      <c r="P33" s="18">
        <v>0</v>
      </c>
      <c r="Q33" s="18">
        <v>0</v>
      </c>
      <c r="R33" s="18">
        <v>750</v>
      </c>
      <c r="S33" s="18">
        <v>822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f>SUMIF([1]SA007!$C:$C,'SA007 2025.01-2026.05 '!$D33,[1]SA007!P:P)</f>
        <v>0</v>
      </c>
      <c r="AB33" s="18">
        <f>SUMIF([1]SA007!$C:$C,'SA007 2025.01-2026.05 '!$D33,[1]SA007!Q:Q)</f>
        <v>0</v>
      </c>
      <c r="AC33" s="19">
        <f t="shared" si="3"/>
        <v>2828</v>
      </c>
      <c r="AD33" s="19">
        <f t="shared" si="4"/>
        <v>166.35294117647058</v>
      </c>
      <c r="AE33" s="20" t="s">
        <v>134</v>
      </c>
      <c r="AG33" s="21">
        <f>SUMIF([1]SO003!$H:$H,'SA007 2025.01-2026.05 '!$D33,[1]SO003!AF:AF)</f>
        <v>0</v>
      </c>
      <c r="AH33" s="21">
        <f>SUMIF([1]SO003!$H:$H,'SA007 2025.01-2026.05 '!$D33,[1]SO003!AH:AH)</f>
        <v>0</v>
      </c>
      <c r="AI33" s="21">
        <f>SUMIF([1]SO003!$H:$H,'SA007 2025.01-2026.05 '!$D33,[1]SO003!AJ:AJ)</f>
        <v>0</v>
      </c>
    </row>
    <row r="34" spans="1:35" ht="11.45" customHeight="1" x14ac:dyDescent="0.55000000000000004">
      <c r="A34" s="2" t="s">
        <v>131</v>
      </c>
      <c r="B34" s="2" t="s">
        <v>77</v>
      </c>
      <c r="C34" s="2" t="s">
        <v>78</v>
      </c>
      <c r="D34" s="2" t="s">
        <v>135</v>
      </c>
      <c r="E34" s="2" t="s">
        <v>106</v>
      </c>
      <c r="F34" s="2" t="s">
        <v>106</v>
      </c>
      <c r="G34" s="3" t="s">
        <v>39</v>
      </c>
      <c r="H34" s="2" t="s">
        <v>133</v>
      </c>
      <c r="I34" s="17">
        <v>0.6</v>
      </c>
      <c r="J34" s="3">
        <v>155</v>
      </c>
      <c r="K34" s="3" t="s">
        <v>41</v>
      </c>
      <c r="L34" s="18">
        <v>0</v>
      </c>
      <c r="M34" s="18">
        <v>1491</v>
      </c>
      <c r="N34" s="18">
        <v>1452</v>
      </c>
      <c r="O34" s="18">
        <v>0</v>
      </c>
      <c r="P34" s="18">
        <v>0</v>
      </c>
      <c r="Q34" s="18">
        <v>0</v>
      </c>
      <c r="R34" s="18">
        <v>828</v>
      </c>
      <c r="S34" s="18">
        <v>2395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f>SUMIF([1]SA007!$C:$C,'SA007 2025.01-2026.05 '!$D34,[1]SA007!P:P)</f>
        <v>0</v>
      </c>
      <c r="AB34" s="18">
        <f>SUMIF([1]SA007!$C:$C,'SA007 2025.01-2026.05 '!$D34,[1]SA007!Q:Q)</f>
        <v>0</v>
      </c>
      <c r="AC34" s="19">
        <f t="shared" si="3"/>
        <v>6166</v>
      </c>
      <c r="AD34" s="19">
        <f t="shared" si="4"/>
        <v>362.70588235294116</v>
      </c>
      <c r="AE34" s="20" t="s">
        <v>116</v>
      </c>
      <c r="AG34" s="21">
        <f>SUMIF([1]SO003!$H:$H,'SA007 2025.01-2026.05 '!$D34,[1]SO003!AF:AF)</f>
        <v>0</v>
      </c>
      <c r="AH34" s="21">
        <f>SUMIF([1]SO003!$H:$H,'SA007 2025.01-2026.05 '!$D34,[1]SO003!AH:AH)</f>
        <v>0</v>
      </c>
      <c r="AI34" s="21">
        <f>SUMIF([1]SO003!$H:$H,'SA007 2025.01-2026.05 '!$D34,[1]SO003!AJ:AJ)</f>
        <v>0</v>
      </c>
    </row>
    <row r="35" spans="1:35" ht="11.45" customHeight="1" x14ac:dyDescent="0.55000000000000004">
      <c r="A35" s="2" t="s">
        <v>136</v>
      </c>
      <c r="B35" s="2" t="s">
        <v>137</v>
      </c>
      <c r="C35" s="2" t="s">
        <v>137</v>
      </c>
      <c r="D35" s="2" t="s">
        <v>138</v>
      </c>
      <c r="E35" s="2" t="s">
        <v>139</v>
      </c>
      <c r="F35" s="2" t="s">
        <v>139</v>
      </c>
      <c r="G35" s="3" t="s">
        <v>63</v>
      </c>
      <c r="H35" s="2" t="s">
        <v>137</v>
      </c>
      <c r="I35" s="17">
        <v>0.6</v>
      </c>
      <c r="J35" s="3">
        <v>556</v>
      </c>
      <c r="K35" s="3">
        <v>561</v>
      </c>
      <c r="L35" s="18">
        <v>12414</v>
      </c>
      <c r="M35" s="18">
        <v>18492</v>
      </c>
      <c r="N35" s="18">
        <v>17067</v>
      </c>
      <c r="O35" s="18">
        <v>9855</v>
      </c>
      <c r="P35" s="18">
        <v>17067</v>
      </c>
      <c r="Q35" s="18">
        <v>17047</v>
      </c>
      <c r="R35" s="18">
        <v>17033</v>
      </c>
      <c r="S35" s="18">
        <v>16993</v>
      </c>
      <c r="T35" s="18">
        <v>17050</v>
      </c>
      <c r="U35" s="18">
        <v>18452</v>
      </c>
      <c r="V35" s="18">
        <v>15294</v>
      </c>
      <c r="W35" s="18">
        <v>10040</v>
      </c>
      <c r="X35" s="18">
        <v>13514</v>
      </c>
      <c r="Y35" s="18">
        <v>14899</v>
      </c>
      <c r="Z35" s="18">
        <v>16438</v>
      </c>
      <c r="AA35" s="18">
        <f>SUMIF([1]SA007!$C:$C,'SA007 2025.01-2026.05 '!$D35,[1]SA007!P:P)</f>
        <v>9984</v>
      </c>
      <c r="AB35" s="18">
        <f>SUMIF([1]SA007!$C:$C,'SA007 2025.01-2026.05 '!$D35,[1]SA007!Q:Q)</f>
        <v>6999</v>
      </c>
      <c r="AC35" s="19">
        <f t="shared" si="3"/>
        <v>248638</v>
      </c>
      <c r="AD35" s="19">
        <f t="shared" si="4"/>
        <v>14625.764705882353</v>
      </c>
      <c r="AE35" s="20" t="s">
        <v>140</v>
      </c>
      <c r="AG35" s="21">
        <f>SUMIF([1]SO003!$H:$H,'SA007 2025.01-2026.05 '!$D35,[1]SO003!AF:AF)</f>
        <v>11752.994879999998</v>
      </c>
      <c r="AH35" s="21">
        <f>SUMIF([1]SO003!$H:$H,'SA007 2025.01-2026.05 '!$D35,[1]SO003!AH:AH)</f>
        <v>11451.8243862</v>
      </c>
      <c r="AI35" s="21">
        <f>SUMIF([1]SO003!$H:$H,'SA007 2025.01-2026.05 '!$D35,[1]SO003!AJ:AJ)</f>
        <v>301.17049379999997</v>
      </c>
    </row>
    <row r="36" spans="1:35" ht="11.45" customHeight="1" x14ac:dyDescent="0.55000000000000004">
      <c r="A36" s="2" t="s">
        <v>141</v>
      </c>
      <c r="B36" s="2" t="s">
        <v>61</v>
      </c>
      <c r="C36" s="2" t="s">
        <v>61</v>
      </c>
      <c r="D36" s="2" t="s">
        <v>142</v>
      </c>
      <c r="E36" s="2" t="s">
        <v>38</v>
      </c>
      <c r="F36" s="2" t="s">
        <v>38</v>
      </c>
      <c r="G36" s="3" t="s">
        <v>63</v>
      </c>
      <c r="H36" s="2" t="s">
        <v>61</v>
      </c>
      <c r="I36" s="17">
        <v>0.7</v>
      </c>
      <c r="J36" s="3">
        <v>55</v>
      </c>
      <c r="K36" s="3" t="s">
        <v>41</v>
      </c>
      <c r="L36" s="18">
        <v>1120</v>
      </c>
      <c r="M36" s="18">
        <v>4104</v>
      </c>
      <c r="N36" s="18">
        <v>2152</v>
      </c>
      <c r="O36" s="18">
        <v>7288</v>
      </c>
      <c r="P36" s="18">
        <v>4790</v>
      </c>
      <c r="Q36" s="18">
        <v>2119</v>
      </c>
      <c r="R36" s="18">
        <v>3392</v>
      </c>
      <c r="S36" s="18">
        <v>7635</v>
      </c>
      <c r="T36" s="18">
        <v>3224</v>
      </c>
      <c r="U36" s="18">
        <v>4248</v>
      </c>
      <c r="V36" s="18">
        <v>4041</v>
      </c>
      <c r="W36" s="18">
        <v>4223</v>
      </c>
      <c r="X36" s="18">
        <v>6657</v>
      </c>
      <c r="Y36" s="18">
        <v>2763</v>
      </c>
      <c r="Z36" s="18">
        <v>9853</v>
      </c>
      <c r="AA36" s="18">
        <f>SUMIF([1]SA007!$C:$C,'SA007 2025.01-2026.05 '!$D36,[1]SA007!P:P)</f>
        <v>0</v>
      </c>
      <c r="AB36" s="18">
        <f>SUMIF([1]SA007!$C:$C,'SA007 2025.01-2026.05 '!$D36,[1]SA007!Q:Q)</f>
        <v>5223</v>
      </c>
      <c r="AC36" s="19">
        <f t="shared" si="3"/>
        <v>72832</v>
      </c>
      <c r="AD36" s="19">
        <f t="shared" si="4"/>
        <v>4284.2352941176468</v>
      </c>
      <c r="AE36" s="20" t="s">
        <v>143</v>
      </c>
      <c r="AG36" s="21">
        <f>SUMIF([1]SO003!$H:$H,'SA007 2025.01-2026.05 '!$D36,[1]SO003!AF:AF)</f>
        <v>10000</v>
      </c>
      <c r="AH36" s="21">
        <f>SUMIF([1]SO003!$H:$H,'SA007 2025.01-2026.05 '!$D36,[1]SO003!AH:AH)</f>
        <v>4685</v>
      </c>
      <c r="AI36" s="21">
        <f>SUMIF([1]SO003!$H:$H,'SA007 2025.01-2026.05 '!$D36,[1]SO003!AJ:AJ)</f>
        <v>5315</v>
      </c>
    </row>
    <row r="37" spans="1:35" ht="11.45" customHeight="1" x14ac:dyDescent="0.55000000000000004">
      <c r="A37" s="2" t="s">
        <v>141</v>
      </c>
      <c r="B37" s="2" t="s">
        <v>61</v>
      </c>
      <c r="C37" s="2" t="s">
        <v>61</v>
      </c>
      <c r="D37" s="2" t="s">
        <v>144</v>
      </c>
      <c r="E37" s="2" t="s">
        <v>115</v>
      </c>
      <c r="F37" s="2" t="s">
        <v>115</v>
      </c>
      <c r="G37" s="3" t="s">
        <v>63</v>
      </c>
      <c r="H37" s="2" t="s">
        <v>64</v>
      </c>
      <c r="I37" s="17">
        <v>0.7</v>
      </c>
      <c r="J37" s="3">
        <v>210</v>
      </c>
      <c r="K37" s="3">
        <v>570</v>
      </c>
      <c r="L37" s="18">
        <v>0</v>
      </c>
      <c r="M37" s="18">
        <v>382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f>SUMIF([1]SA007!$C:$C,'SA007 2025.01-2026.05 '!$D37,[1]SA007!P:P)</f>
        <v>1091</v>
      </c>
      <c r="AB37" s="18">
        <f>SUMIF([1]SA007!$C:$C,'SA007 2025.01-2026.05 '!$D37,[1]SA007!Q:Q)</f>
        <v>0</v>
      </c>
      <c r="AC37" s="19">
        <f t="shared" si="3"/>
        <v>1473</v>
      </c>
      <c r="AD37" s="19">
        <f t="shared" si="4"/>
        <v>86.647058823529406</v>
      </c>
      <c r="AE37" s="20" t="s">
        <v>116</v>
      </c>
      <c r="AG37" s="21">
        <f>SUMIF([1]SO003!$H:$H,'SA007 2025.01-2026.05 '!$D37,[1]SO003!AF:AF)</f>
        <v>0</v>
      </c>
      <c r="AH37" s="21">
        <f>SUMIF([1]SO003!$H:$H,'SA007 2025.01-2026.05 '!$D37,[1]SO003!AH:AH)</f>
        <v>0</v>
      </c>
      <c r="AI37" s="21">
        <f>SUMIF([1]SO003!$H:$H,'SA007 2025.01-2026.05 '!$D37,[1]SO003!AJ:AJ)</f>
        <v>0</v>
      </c>
    </row>
    <row r="38" spans="1:35" ht="11.45" customHeight="1" x14ac:dyDescent="0.55000000000000004">
      <c r="A38" s="2" t="s">
        <v>145</v>
      </c>
      <c r="B38" s="2" t="s">
        <v>61</v>
      </c>
      <c r="C38" s="2" t="s">
        <v>61</v>
      </c>
      <c r="D38" s="2" t="s">
        <v>146</v>
      </c>
      <c r="E38" s="2" t="s">
        <v>38</v>
      </c>
      <c r="F38" s="2" t="s">
        <v>38</v>
      </c>
      <c r="G38" s="3" t="s">
        <v>63</v>
      </c>
      <c r="H38" s="2" t="s">
        <v>147</v>
      </c>
      <c r="I38" s="17">
        <v>0.8</v>
      </c>
      <c r="J38" s="3">
        <v>83</v>
      </c>
      <c r="K38" s="3" t="s">
        <v>41</v>
      </c>
      <c r="L38" s="18">
        <v>0</v>
      </c>
      <c r="M38" s="18">
        <v>620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734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f>SUMIF([1]SA007!$C:$C,'SA007 2025.01-2026.05 '!$D38,[1]SA007!P:P)</f>
        <v>0</v>
      </c>
      <c r="AB38" s="18">
        <f>SUMIF([1]SA007!$C:$C,'SA007 2025.01-2026.05 '!$D38,[1]SA007!Q:Q)</f>
        <v>0</v>
      </c>
      <c r="AC38" s="19">
        <f t="shared" si="3"/>
        <v>1354</v>
      </c>
      <c r="AD38" s="19">
        <f t="shared" si="4"/>
        <v>79.647058823529406</v>
      </c>
      <c r="AE38" s="20" t="s">
        <v>148</v>
      </c>
      <c r="AG38" s="21">
        <f>SUMIF([1]SO003!$H:$H,'SA007 2025.01-2026.05 '!$D38,[1]SO003!AF:AF)</f>
        <v>0</v>
      </c>
      <c r="AH38" s="21">
        <f>SUMIF([1]SO003!$H:$H,'SA007 2025.01-2026.05 '!$D38,[1]SO003!AH:AH)</f>
        <v>0</v>
      </c>
      <c r="AI38" s="21">
        <f>SUMIF([1]SO003!$H:$H,'SA007 2025.01-2026.05 '!$D38,[1]SO003!AJ:AJ)</f>
        <v>0</v>
      </c>
    </row>
    <row r="39" spans="1:35" ht="11.45" customHeight="1" x14ac:dyDescent="0.55000000000000004">
      <c r="A39" s="2" t="s">
        <v>76</v>
      </c>
      <c r="B39" s="2" t="s">
        <v>149</v>
      </c>
      <c r="C39" s="2" t="s">
        <v>149</v>
      </c>
      <c r="D39" s="2" t="s">
        <v>150</v>
      </c>
      <c r="E39" s="2" t="s">
        <v>151</v>
      </c>
      <c r="F39" s="2" t="s">
        <v>151</v>
      </c>
      <c r="G39" s="3" t="s">
        <v>39</v>
      </c>
      <c r="H39" s="2" t="s">
        <v>152</v>
      </c>
      <c r="I39" s="17">
        <v>0.8</v>
      </c>
      <c r="J39" s="3">
        <v>50</v>
      </c>
      <c r="K39" s="3">
        <v>1219</v>
      </c>
      <c r="L39" s="18">
        <v>0</v>
      </c>
      <c r="M39" s="18">
        <v>70</v>
      </c>
      <c r="N39" s="18">
        <v>108</v>
      </c>
      <c r="O39" s="18">
        <v>108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36</v>
      </c>
      <c r="Y39" s="18">
        <v>0</v>
      </c>
      <c r="Z39" s="18">
        <v>0</v>
      </c>
      <c r="AA39" s="18">
        <f>SUMIF([1]SA007!$C:$C,'SA007 2025.01-2026.05 '!$D39,[1]SA007!P:P)</f>
        <v>0</v>
      </c>
      <c r="AB39" s="18">
        <f>SUMIF([1]SA007!$C:$C,'SA007 2025.01-2026.05 '!$D39,[1]SA007!Q:Q)</f>
        <v>0</v>
      </c>
      <c r="AC39" s="19">
        <f t="shared" si="3"/>
        <v>322</v>
      </c>
      <c r="AD39" s="19">
        <f t="shared" si="4"/>
        <v>18.941176470588236</v>
      </c>
      <c r="AE39" s="20" t="s">
        <v>48</v>
      </c>
      <c r="AG39" s="21">
        <f>SUMIF([1]SO003!$H:$H,'SA007 2025.01-2026.05 '!$D39,[1]SO003!AF:AF)</f>
        <v>0</v>
      </c>
      <c r="AH39" s="21">
        <f>SUMIF([1]SO003!$H:$H,'SA007 2025.01-2026.05 '!$D39,[1]SO003!AH:AH)</f>
        <v>0</v>
      </c>
      <c r="AI39" s="21">
        <f>SUMIF([1]SO003!$H:$H,'SA007 2025.01-2026.05 '!$D39,[1]SO003!AJ:AJ)</f>
        <v>0</v>
      </c>
    </row>
    <row r="40" spans="1:35" ht="11.45" customHeight="1" x14ac:dyDescent="0.55000000000000004">
      <c r="A40" s="2" t="s">
        <v>53</v>
      </c>
      <c r="B40" s="2" t="s">
        <v>67</v>
      </c>
      <c r="C40" s="2" t="s">
        <v>67</v>
      </c>
      <c r="D40" s="2" t="s">
        <v>153</v>
      </c>
      <c r="E40" s="2" t="s">
        <v>69</v>
      </c>
      <c r="F40" s="2" t="s">
        <v>69</v>
      </c>
      <c r="G40" s="3" t="s">
        <v>57</v>
      </c>
      <c r="H40" s="2" t="s">
        <v>70</v>
      </c>
      <c r="I40" s="17">
        <v>0.5</v>
      </c>
      <c r="J40" s="3">
        <v>175</v>
      </c>
      <c r="K40" s="3">
        <v>1135</v>
      </c>
      <c r="L40" s="18">
        <v>229</v>
      </c>
      <c r="M40" s="18">
        <v>237</v>
      </c>
      <c r="N40" s="18">
        <v>0</v>
      </c>
      <c r="O40" s="18">
        <v>0</v>
      </c>
      <c r="P40" s="18">
        <v>0</v>
      </c>
      <c r="Q40" s="18">
        <v>245</v>
      </c>
      <c r="R40" s="18">
        <v>0</v>
      </c>
      <c r="S40" s="18">
        <v>0</v>
      </c>
      <c r="T40" s="18">
        <v>0</v>
      </c>
      <c r="U40" s="18">
        <v>0</v>
      </c>
      <c r="V40" s="18">
        <v>127</v>
      </c>
      <c r="W40" s="18">
        <v>0</v>
      </c>
      <c r="X40" s="18">
        <v>0</v>
      </c>
      <c r="Y40" s="18">
        <v>0</v>
      </c>
      <c r="Z40" s="18">
        <v>398</v>
      </c>
      <c r="AA40" s="18">
        <f>SUMIF([1]SA007!$C:$C,'SA007 2025.01-2026.05 '!$D40,[1]SA007!P:P)</f>
        <v>0</v>
      </c>
      <c r="AB40" s="18">
        <f>SUMIF([1]SA007!$C:$C,'SA007 2025.01-2026.05 '!$D40,[1]SA007!Q:Q)</f>
        <v>0</v>
      </c>
      <c r="AC40" s="19">
        <f t="shared" si="3"/>
        <v>1236</v>
      </c>
      <c r="AD40" s="19">
        <f t="shared" si="4"/>
        <v>72.705882352941174</v>
      </c>
      <c r="AE40" s="20" t="s">
        <v>154</v>
      </c>
      <c r="AG40" s="21">
        <f>SUMIF([1]SO003!$H:$H,'SA007 2025.01-2026.05 '!$D40,[1]SO003!AF:AF)</f>
        <v>0</v>
      </c>
      <c r="AH40" s="21">
        <f>SUMIF([1]SO003!$H:$H,'SA007 2025.01-2026.05 '!$D40,[1]SO003!AH:AH)</f>
        <v>0</v>
      </c>
      <c r="AI40" s="21">
        <f>SUMIF([1]SO003!$H:$H,'SA007 2025.01-2026.05 '!$D40,[1]SO003!AJ:AJ)</f>
        <v>0</v>
      </c>
    </row>
    <row r="41" spans="1:35" ht="11.45" customHeight="1" x14ac:dyDescent="0.55000000000000004">
      <c r="A41" s="2" t="s">
        <v>66</v>
      </c>
      <c r="B41" s="2" t="s">
        <v>67</v>
      </c>
      <c r="C41" s="2" t="s">
        <v>67</v>
      </c>
      <c r="D41" s="2" t="s">
        <v>155</v>
      </c>
      <c r="E41" s="2" t="s">
        <v>69</v>
      </c>
      <c r="F41" s="2" t="s">
        <v>69</v>
      </c>
      <c r="G41" s="3" t="s">
        <v>57</v>
      </c>
      <c r="H41" s="2" t="s">
        <v>156</v>
      </c>
      <c r="I41" s="17">
        <v>0.8</v>
      </c>
      <c r="J41" s="3">
        <v>459.8</v>
      </c>
      <c r="K41" s="3">
        <v>1581.6</v>
      </c>
      <c r="L41" s="18">
        <v>4469</v>
      </c>
      <c r="M41" s="18">
        <v>0</v>
      </c>
      <c r="N41" s="18">
        <v>894</v>
      </c>
      <c r="O41" s="18">
        <v>0</v>
      </c>
      <c r="P41" s="18">
        <v>2235</v>
      </c>
      <c r="Q41" s="18">
        <v>0</v>
      </c>
      <c r="R41" s="18">
        <v>906</v>
      </c>
      <c r="S41" s="18">
        <v>0</v>
      </c>
      <c r="T41" s="18">
        <v>1368</v>
      </c>
      <c r="U41" s="18">
        <v>0</v>
      </c>
      <c r="V41" s="18">
        <v>765</v>
      </c>
      <c r="W41" s="18">
        <v>900</v>
      </c>
      <c r="X41" s="18">
        <v>0</v>
      </c>
      <c r="Y41" s="18">
        <v>0</v>
      </c>
      <c r="Z41" s="18">
        <v>0</v>
      </c>
      <c r="AA41" s="18">
        <f>SUMIF([1]SA007!$C:$C,'SA007 2025.01-2026.05 '!$D41,[1]SA007!P:P)</f>
        <v>0</v>
      </c>
      <c r="AB41" s="18">
        <f>SUMIF([1]SA007!$C:$C,'SA007 2025.01-2026.05 '!$D41,[1]SA007!Q:Q)</f>
        <v>0</v>
      </c>
      <c r="AC41" s="19">
        <f t="shared" si="3"/>
        <v>11537</v>
      </c>
      <c r="AD41" s="19">
        <f t="shared" si="4"/>
        <v>678.64705882352939</v>
      </c>
      <c r="AE41" s="20" t="s">
        <v>154</v>
      </c>
      <c r="AG41" s="21">
        <f>SUMIF([1]SO003!$H:$H,'SA007 2025.01-2026.05 '!$D41,[1]SO003!AF:AF)</f>
        <v>0</v>
      </c>
      <c r="AH41" s="21">
        <f>SUMIF([1]SO003!$H:$H,'SA007 2025.01-2026.05 '!$D41,[1]SO003!AH:AH)</f>
        <v>0</v>
      </c>
      <c r="AI41" s="21">
        <f>SUMIF([1]SO003!$H:$H,'SA007 2025.01-2026.05 '!$D41,[1]SO003!AJ:AJ)</f>
        <v>0</v>
      </c>
    </row>
    <row r="42" spans="1:35" ht="11.45" customHeight="1" x14ac:dyDescent="0.55000000000000004">
      <c r="A42" s="2" t="s">
        <v>157</v>
      </c>
      <c r="B42" s="2" t="s">
        <v>67</v>
      </c>
      <c r="C42" s="2" t="s">
        <v>158</v>
      </c>
      <c r="D42" s="2" t="s">
        <v>159</v>
      </c>
      <c r="E42" s="2" t="s">
        <v>101</v>
      </c>
      <c r="G42" s="3" t="s">
        <v>57</v>
      </c>
      <c r="H42" s="2" t="s">
        <v>160</v>
      </c>
      <c r="I42" s="17">
        <v>0.8</v>
      </c>
      <c r="J42" s="3">
        <v>471</v>
      </c>
      <c r="K42" s="3">
        <v>390</v>
      </c>
      <c r="L42" s="18">
        <v>0</v>
      </c>
      <c r="M42" s="18">
        <v>0</v>
      </c>
      <c r="N42" s="18">
        <v>0</v>
      </c>
      <c r="O42" s="18">
        <v>169</v>
      </c>
      <c r="P42" s="18">
        <v>169</v>
      </c>
      <c r="Q42" s="18">
        <v>0</v>
      </c>
      <c r="R42" s="18">
        <v>0</v>
      </c>
      <c r="S42" s="18">
        <v>0</v>
      </c>
      <c r="T42" s="18">
        <v>0</v>
      </c>
      <c r="U42" s="18">
        <v>58</v>
      </c>
      <c r="V42" s="18">
        <v>113</v>
      </c>
      <c r="W42" s="18">
        <v>0</v>
      </c>
      <c r="X42" s="18">
        <v>0</v>
      </c>
      <c r="Y42" s="18">
        <v>0</v>
      </c>
      <c r="Z42" s="18">
        <v>385</v>
      </c>
      <c r="AA42" s="18">
        <f>SUMIF([1]SA007!$C:$C,'SA007 2025.01-2026.05 '!$D42,[1]SA007!P:P)</f>
        <v>0</v>
      </c>
      <c r="AB42" s="18">
        <f>SUMIF([1]SA007!$C:$C,'SA007 2025.01-2026.05 '!$D42,[1]SA007!Q:Q)</f>
        <v>0</v>
      </c>
      <c r="AC42" s="19">
        <f t="shared" si="3"/>
        <v>894</v>
      </c>
      <c r="AD42" s="19">
        <f t="shared" si="4"/>
        <v>52.588235294117645</v>
      </c>
      <c r="AE42" s="20" t="s">
        <v>116</v>
      </c>
      <c r="AG42" s="21">
        <f>SUMIF([1]SO003!$H:$H,'SA007 2025.01-2026.05 '!$D42,[1]SO003!AF:AF)</f>
        <v>0</v>
      </c>
      <c r="AH42" s="21">
        <f>SUMIF([1]SO003!$H:$H,'SA007 2025.01-2026.05 '!$D42,[1]SO003!AH:AH)</f>
        <v>0</v>
      </c>
      <c r="AI42" s="21">
        <f>SUMIF([1]SO003!$H:$H,'SA007 2025.01-2026.05 '!$D42,[1]SO003!AJ:AJ)</f>
        <v>0</v>
      </c>
    </row>
    <row r="43" spans="1:35" ht="11.45" customHeight="1" x14ac:dyDescent="0.55000000000000004">
      <c r="A43" s="2" t="s">
        <v>66</v>
      </c>
      <c r="B43" s="2" t="s">
        <v>67</v>
      </c>
      <c r="C43" s="2" t="s">
        <v>67</v>
      </c>
      <c r="D43" s="2" t="s">
        <v>161</v>
      </c>
      <c r="E43" s="2" t="s">
        <v>69</v>
      </c>
      <c r="F43" s="2" t="s">
        <v>69</v>
      </c>
      <c r="G43" s="3" t="s">
        <v>57</v>
      </c>
      <c r="H43" s="2" t="s">
        <v>70</v>
      </c>
      <c r="I43" s="17">
        <v>0.8</v>
      </c>
      <c r="J43" s="3">
        <v>102.8</v>
      </c>
      <c r="K43" s="3">
        <v>1438.4</v>
      </c>
      <c r="L43" s="18">
        <v>2778</v>
      </c>
      <c r="M43" s="18">
        <v>2750</v>
      </c>
      <c r="N43" s="18">
        <v>3601</v>
      </c>
      <c r="O43" s="18">
        <v>0</v>
      </c>
      <c r="P43" s="18">
        <v>1371</v>
      </c>
      <c r="Q43" s="18">
        <v>0</v>
      </c>
      <c r="R43" s="18">
        <v>0</v>
      </c>
      <c r="S43" s="18">
        <v>4084</v>
      </c>
      <c r="T43" s="18">
        <v>0</v>
      </c>
      <c r="U43" s="18">
        <v>1935</v>
      </c>
      <c r="V43" s="18">
        <v>0</v>
      </c>
      <c r="W43" s="18">
        <v>0</v>
      </c>
      <c r="X43" s="18">
        <v>0</v>
      </c>
      <c r="Y43" s="18">
        <v>4750</v>
      </c>
      <c r="Z43" s="18">
        <v>1791</v>
      </c>
      <c r="AA43" s="18">
        <f>SUMIF([1]SA007!$C:$C,'SA007 2025.01-2026.05 '!$D43,[1]SA007!P:P)</f>
        <v>0</v>
      </c>
      <c r="AB43" s="18">
        <f>SUMIF([1]SA007!$C:$C,'SA007 2025.01-2026.05 '!$D43,[1]SA007!Q:Q)</f>
        <v>0</v>
      </c>
      <c r="AC43" s="19">
        <f t="shared" si="3"/>
        <v>23060</v>
      </c>
      <c r="AD43" s="19">
        <f t="shared" si="4"/>
        <v>1356.4705882352941</v>
      </c>
      <c r="AE43" s="20" t="s">
        <v>71</v>
      </c>
      <c r="AG43" s="21">
        <f>SUMIF([1]SO003!$H:$H,'SA007 2025.01-2026.05 '!$D43,[1]SO003!AF:AF)</f>
        <v>0</v>
      </c>
      <c r="AH43" s="21">
        <f>SUMIF([1]SO003!$H:$H,'SA007 2025.01-2026.05 '!$D43,[1]SO003!AH:AH)</f>
        <v>0</v>
      </c>
      <c r="AI43" s="21">
        <f>SUMIF([1]SO003!$H:$H,'SA007 2025.01-2026.05 '!$D43,[1]SO003!AJ:AJ)</f>
        <v>0</v>
      </c>
    </row>
    <row r="44" spans="1:35" ht="11.45" customHeight="1" x14ac:dyDescent="0.55000000000000004">
      <c r="A44" s="2" t="s">
        <v>157</v>
      </c>
      <c r="B44" s="2" t="s">
        <v>67</v>
      </c>
      <c r="C44" s="2" t="s">
        <v>158</v>
      </c>
      <c r="D44" s="2" t="s">
        <v>162</v>
      </c>
      <c r="E44" s="2" t="s">
        <v>101</v>
      </c>
      <c r="G44" s="3" t="s">
        <v>57</v>
      </c>
      <c r="H44" s="2" t="s">
        <v>160</v>
      </c>
      <c r="I44" s="17">
        <v>0.8</v>
      </c>
      <c r="J44" s="3">
        <v>200</v>
      </c>
      <c r="K44" s="3">
        <v>438</v>
      </c>
      <c r="L44" s="18">
        <v>0</v>
      </c>
      <c r="M44" s="18">
        <v>0</v>
      </c>
      <c r="N44" s="18">
        <v>0</v>
      </c>
      <c r="O44" s="18">
        <v>54</v>
      </c>
      <c r="P44" s="18">
        <v>54</v>
      </c>
      <c r="Q44" s="18">
        <v>0</v>
      </c>
      <c r="R44" s="18">
        <v>0</v>
      </c>
      <c r="S44" s="18">
        <v>0</v>
      </c>
      <c r="T44" s="18">
        <v>53</v>
      </c>
      <c r="U44" s="18">
        <v>0</v>
      </c>
      <c r="V44" s="18">
        <v>55</v>
      </c>
      <c r="W44" s="18">
        <v>0</v>
      </c>
      <c r="X44" s="18">
        <v>0</v>
      </c>
      <c r="Y44" s="18">
        <v>0</v>
      </c>
      <c r="Z44" s="18">
        <v>162</v>
      </c>
      <c r="AA44" s="18">
        <f>SUMIF([1]SA007!$C:$C,'SA007 2025.01-2026.05 '!$D44,[1]SA007!P:P)</f>
        <v>0</v>
      </c>
      <c r="AB44" s="18">
        <f>SUMIF([1]SA007!$C:$C,'SA007 2025.01-2026.05 '!$D44,[1]SA007!Q:Q)</f>
        <v>0</v>
      </c>
      <c r="AC44" s="19">
        <f t="shared" si="3"/>
        <v>378</v>
      </c>
      <c r="AD44" s="19">
        <f t="shared" si="4"/>
        <v>22.235294117647058</v>
      </c>
      <c r="AE44" s="20" t="s">
        <v>116</v>
      </c>
      <c r="AG44" s="21">
        <f>SUMIF([1]SO003!$H:$H,'SA007 2025.01-2026.05 '!$D44,[1]SO003!AF:AF)</f>
        <v>0</v>
      </c>
      <c r="AH44" s="21">
        <f>SUMIF([1]SO003!$H:$H,'SA007 2025.01-2026.05 '!$D44,[1]SO003!AH:AH)</f>
        <v>0</v>
      </c>
      <c r="AI44" s="21">
        <f>SUMIF([1]SO003!$H:$H,'SA007 2025.01-2026.05 '!$D44,[1]SO003!AJ:AJ)</f>
        <v>0</v>
      </c>
    </row>
    <row r="45" spans="1:35" ht="11.45" customHeight="1" x14ac:dyDescent="0.55000000000000004">
      <c r="A45" s="2" t="s">
        <v>66</v>
      </c>
      <c r="B45" s="2" t="s">
        <v>67</v>
      </c>
      <c r="C45" s="2" t="s">
        <v>67</v>
      </c>
      <c r="D45" s="2" t="s">
        <v>163</v>
      </c>
      <c r="E45" s="2" t="s">
        <v>69</v>
      </c>
      <c r="F45" s="2" t="s">
        <v>69</v>
      </c>
      <c r="G45" s="3" t="s">
        <v>57</v>
      </c>
      <c r="H45" s="2" t="s">
        <v>70</v>
      </c>
      <c r="I45" s="17">
        <v>0.8</v>
      </c>
      <c r="J45" s="3">
        <v>102.8</v>
      </c>
      <c r="K45" s="3">
        <v>1038.8</v>
      </c>
      <c r="L45" s="18">
        <v>1316</v>
      </c>
      <c r="M45" s="18">
        <v>1334</v>
      </c>
      <c r="N45" s="18">
        <v>2577</v>
      </c>
      <c r="O45" s="18">
        <v>0</v>
      </c>
      <c r="P45" s="18">
        <v>0</v>
      </c>
      <c r="Q45" s="18">
        <v>0</v>
      </c>
      <c r="R45" s="18">
        <v>0</v>
      </c>
      <c r="S45" s="18">
        <v>2904</v>
      </c>
      <c r="T45" s="18">
        <v>0</v>
      </c>
      <c r="U45" s="18">
        <v>1133</v>
      </c>
      <c r="V45" s="18">
        <v>0</v>
      </c>
      <c r="W45" s="18">
        <v>0</v>
      </c>
      <c r="X45" s="18">
        <v>0</v>
      </c>
      <c r="Y45" s="18">
        <v>2384</v>
      </c>
      <c r="Z45" s="18">
        <v>1312</v>
      </c>
      <c r="AA45" s="18">
        <f>SUMIF([1]SA007!$C:$C,'SA007 2025.01-2026.05 '!$D45,[1]SA007!P:P)</f>
        <v>0</v>
      </c>
      <c r="AB45" s="18">
        <f>SUMIF([1]SA007!$C:$C,'SA007 2025.01-2026.05 '!$D45,[1]SA007!Q:Q)</f>
        <v>0</v>
      </c>
      <c r="AC45" s="19">
        <f t="shared" si="3"/>
        <v>12960</v>
      </c>
      <c r="AD45" s="19">
        <f t="shared" si="4"/>
        <v>762.35294117647061</v>
      </c>
      <c r="AE45" s="20" t="s">
        <v>71</v>
      </c>
      <c r="AG45" s="21">
        <f>SUMIF([1]SO003!$H:$H,'SA007 2025.01-2026.05 '!$D45,[1]SO003!AF:AF)</f>
        <v>0</v>
      </c>
      <c r="AH45" s="21">
        <f>SUMIF([1]SO003!$H:$H,'SA007 2025.01-2026.05 '!$D45,[1]SO003!AH:AH)</f>
        <v>0</v>
      </c>
      <c r="AI45" s="21">
        <f>SUMIF([1]SO003!$H:$H,'SA007 2025.01-2026.05 '!$D45,[1]SO003!AJ:AJ)</f>
        <v>0</v>
      </c>
    </row>
    <row r="46" spans="1:35" ht="11.45" customHeight="1" x14ac:dyDescent="0.55000000000000004">
      <c r="A46" s="2" t="s">
        <v>164</v>
      </c>
      <c r="B46" s="2" t="s">
        <v>158</v>
      </c>
      <c r="C46" s="2" t="s">
        <v>160</v>
      </c>
      <c r="D46" s="2" t="s">
        <v>165</v>
      </c>
      <c r="E46" s="2" t="s">
        <v>101</v>
      </c>
      <c r="F46" s="2" t="s">
        <v>101</v>
      </c>
      <c r="G46" s="3" t="s">
        <v>57</v>
      </c>
      <c r="H46" s="2" t="s">
        <v>160</v>
      </c>
      <c r="I46" s="17">
        <v>0.6</v>
      </c>
      <c r="J46" s="3">
        <v>237.5</v>
      </c>
      <c r="K46" s="3">
        <v>455</v>
      </c>
      <c r="L46" s="18">
        <v>6244</v>
      </c>
      <c r="M46" s="18">
        <v>1380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f>SUMIF([1]SA007!$C:$C,'SA007 2025.01-2026.05 '!$D46,[1]SA007!P:P)</f>
        <v>0</v>
      </c>
      <c r="AB46" s="18">
        <f>SUMIF([1]SA007!$C:$C,'SA007 2025.01-2026.05 '!$D46,[1]SA007!Q:Q)</f>
        <v>0</v>
      </c>
      <c r="AC46" s="19">
        <f t="shared" si="3"/>
        <v>7624</v>
      </c>
      <c r="AD46" s="19">
        <f t="shared" si="4"/>
        <v>448.47058823529414</v>
      </c>
      <c r="AE46" s="20" t="s">
        <v>166</v>
      </c>
      <c r="AG46" s="21">
        <f>SUMIF([1]SO003!$H:$H,'SA007 2025.01-2026.05 '!$D46,[1]SO003!AF:AF)</f>
        <v>0</v>
      </c>
      <c r="AH46" s="21">
        <f>SUMIF([1]SO003!$H:$H,'SA007 2025.01-2026.05 '!$D46,[1]SO003!AH:AH)</f>
        <v>0</v>
      </c>
      <c r="AI46" s="21">
        <f>SUMIF([1]SO003!$H:$H,'SA007 2025.01-2026.05 '!$D46,[1]SO003!AJ:AJ)</f>
        <v>0</v>
      </c>
    </row>
    <row r="47" spans="1:35" ht="11.45" customHeight="1" x14ac:dyDescent="0.55000000000000004">
      <c r="A47" s="2" t="s">
        <v>76</v>
      </c>
      <c r="B47" s="2" t="s">
        <v>77</v>
      </c>
      <c r="C47" s="2" t="s">
        <v>78</v>
      </c>
      <c r="D47" s="2" t="s">
        <v>167</v>
      </c>
      <c r="E47" s="2" t="s">
        <v>119</v>
      </c>
      <c r="F47" s="2" t="s">
        <v>119</v>
      </c>
      <c r="G47" s="3" t="s">
        <v>39</v>
      </c>
      <c r="H47" s="2" t="s">
        <v>78</v>
      </c>
      <c r="I47" s="17">
        <v>0.8</v>
      </c>
      <c r="J47" s="3">
        <v>1219</v>
      </c>
      <c r="K47" s="3">
        <v>164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f>SUMIF([1]SA007!$C:$C,'SA007 2025.01-2026.05 '!$D47,[1]SA007!P:P)</f>
        <v>0</v>
      </c>
      <c r="AB47" s="18">
        <f>SUMIF([1]SA007!$C:$C,'SA007 2025.01-2026.05 '!$D47,[1]SA007!Q:Q)</f>
        <v>0</v>
      </c>
      <c r="AC47" s="19">
        <f t="shared" si="3"/>
        <v>0</v>
      </c>
      <c r="AD47" s="19">
        <f t="shared" si="4"/>
        <v>0</v>
      </c>
      <c r="AE47" s="20" t="s">
        <v>116</v>
      </c>
      <c r="AG47" s="21">
        <f>SUMIF([1]SO003!$H:$H,'SA007 2025.01-2026.05 '!$D47,[1]SO003!AF:AF)</f>
        <v>0</v>
      </c>
      <c r="AH47" s="21">
        <f>SUMIF([1]SO003!$H:$H,'SA007 2025.01-2026.05 '!$D47,[1]SO003!AH:AH)</f>
        <v>0</v>
      </c>
      <c r="AI47" s="21">
        <f>SUMIF([1]SO003!$H:$H,'SA007 2025.01-2026.05 '!$D47,[1]SO003!AJ:AJ)</f>
        <v>0</v>
      </c>
    </row>
    <row r="48" spans="1:35" ht="11.45" customHeight="1" x14ac:dyDescent="0.55000000000000004">
      <c r="A48" s="2" t="s">
        <v>76</v>
      </c>
      <c r="B48" s="2" t="s">
        <v>77</v>
      </c>
      <c r="C48" s="2" t="s">
        <v>78</v>
      </c>
      <c r="D48" s="2" t="s">
        <v>168</v>
      </c>
      <c r="E48" s="2" t="s">
        <v>151</v>
      </c>
      <c r="F48" s="2" t="s">
        <v>151</v>
      </c>
      <c r="G48" s="3" t="s">
        <v>39</v>
      </c>
      <c r="H48" s="2" t="s">
        <v>169</v>
      </c>
      <c r="I48" s="17">
        <v>0.8</v>
      </c>
      <c r="J48" s="3">
        <v>110</v>
      </c>
      <c r="K48" s="3" t="s">
        <v>41</v>
      </c>
      <c r="L48" s="18">
        <v>634</v>
      </c>
      <c r="M48" s="18">
        <v>640</v>
      </c>
      <c r="N48" s="18">
        <v>564</v>
      </c>
      <c r="O48" s="18">
        <v>932</v>
      </c>
      <c r="P48" s="18">
        <v>1197</v>
      </c>
      <c r="Q48" s="18">
        <v>605</v>
      </c>
      <c r="R48" s="18">
        <v>891</v>
      </c>
      <c r="S48" s="18">
        <v>891</v>
      </c>
      <c r="T48" s="18">
        <v>1188</v>
      </c>
      <c r="U48" s="18">
        <v>610</v>
      </c>
      <c r="V48" s="18">
        <v>2084</v>
      </c>
      <c r="W48" s="18">
        <v>1193</v>
      </c>
      <c r="X48" s="18">
        <v>906</v>
      </c>
      <c r="Y48" s="18">
        <v>287</v>
      </c>
      <c r="Z48" s="18">
        <v>1300</v>
      </c>
      <c r="AA48" s="18">
        <f>SUMIF([1]SA007!$C:$C,'SA007 2025.01-2026.05 '!$D48,[1]SA007!P:P)</f>
        <v>1200</v>
      </c>
      <c r="AB48" s="18">
        <f>SUMIF([1]SA007!$C:$C,'SA007 2025.01-2026.05 '!$D48,[1]SA007!Q:Q)</f>
        <v>840</v>
      </c>
      <c r="AC48" s="19">
        <f t="shared" si="3"/>
        <v>15962</v>
      </c>
      <c r="AD48" s="19">
        <f t="shared" si="4"/>
        <v>938.94117647058829</v>
      </c>
      <c r="AE48" s="20" t="s">
        <v>170</v>
      </c>
      <c r="AG48" s="21">
        <f>SUMIF([1]SO003!$H:$H,'SA007 2025.01-2026.05 '!$D48,[1]SO003!AF:AF)</f>
        <v>0</v>
      </c>
      <c r="AH48" s="21">
        <f>SUMIF([1]SO003!$H:$H,'SA007 2025.01-2026.05 '!$D48,[1]SO003!AH:AH)</f>
        <v>0</v>
      </c>
      <c r="AI48" s="21">
        <f>SUMIF([1]SO003!$H:$H,'SA007 2025.01-2026.05 '!$D48,[1]SO003!AJ:AJ)</f>
        <v>0</v>
      </c>
    </row>
    <row r="49" spans="1:35" ht="11.45" customHeight="1" x14ac:dyDescent="0.55000000000000004">
      <c r="A49" s="2" t="s">
        <v>171</v>
      </c>
      <c r="B49" s="2" t="s">
        <v>172</v>
      </c>
      <c r="C49" s="2" t="s">
        <v>172</v>
      </c>
      <c r="D49" s="2" t="s">
        <v>173</v>
      </c>
      <c r="E49" s="2" t="s">
        <v>174</v>
      </c>
      <c r="F49" s="2" t="s">
        <v>174</v>
      </c>
      <c r="G49" s="3" t="s">
        <v>175</v>
      </c>
      <c r="H49" s="2" t="s">
        <v>176</v>
      </c>
      <c r="I49" s="17">
        <v>1.6</v>
      </c>
      <c r="J49" s="3">
        <v>315</v>
      </c>
      <c r="K49" s="3">
        <v>550</v>
      </c>
      <c r="L49" s="18">
        <v>9130</v>
      </c>
      <c r="M49" s="18">
        <v>2972</v>
      </c>
      <c r="N49" s="18">
        <v>3951</v>
      </c>
      <c r="O49" s="18">
        <v>3384</v>
      </c>
      <c r="P49" s="18">
        <v>6789</v>
      </c>
      <c r="Q49" s="18">
        <v>15144</v>
      </c>
      <c r="R49" s="18">
        <v>4787</v>
      </c>
      <c r="S49" s="18">
        <v>6913</v>
      </c>
      <c r="T49" s="18">
        <v>4761</v>
      </c>
      <c r="U49" s="18">
        <v>3264</v>
      </c>
      <c r="V49" s="18">
        <v>5981</v>
      </c>
      <c r="W49" s="18">
        <v>0</v>
      </c>
      <c r="X49" s="18">
        <v>8210</v>
      </c>
      <c r="Y49" s="18">
        <v>0</v>
      </c>
      <c r="Z49" s="18">
        <v>11936</v>
      </c>
      <c r="AA49" s="18">
        <f>SUMIF([1]SA007!$C:$C,'SA007 2025.01-2026.05 '!$D49,[1]SA007!P:P)</f>
        <v>5072</v>
      </c>
      <c r="AB49" s="18">
        <f>SUMIF([1]SA007!$C:$C,'SA007 2025.01-2026.05 '!$D49,[1]SA007!Q:Q)</f>
        <v>8514</v>
      </c>
      <c r="AC49" s="19">
        <f t="shared" si="3"/>
        <v>100808</v>
      </c>
      <c r="AD49" s="19">
        <f t="shared" si="4"/>
        <v>5929.8823529411766</v>
      </c>
      <c r="AE49" s="20" t="s">
        <v>177</v>
      </c>
      <c r="AG49" s="21">
        <f>SUMIF([1]SO003!$H:$H,'SA007 2025.01-2026.05 '!$D49,[1]SO003!AF:AF)</f>
        <v>18278.567999999999</v>
      </c>
      <c r="AH49" s="21">
        <f>SUMIF([1]SO003!$H:$H,'SA007 2025.01-2026.05 '!$D49,[1]SO003!AH:AH)</f>
        <v>14992.777799999998</v>
      </c>
      <c r="AI49" s="21">
        <f>SUMIF([1]SO003!$H:$H,'SA007 2025.01-2026.05 '!$D49,[1]SO003!AJ:AJ)</f>
        <v>3405.4712999999997</v>
      </c>
    </row>
    <row r="50" spans="1:35" ht="11.45" customHeight="1" x14ac:dyDescent="0.55000000000000004">
      <c r="A50" s="2" t="s">
        <v>178</v>
      </c>
      <c r="D50" s="22" t="s">
        <v>179</v>
      </c>
      <c r="E50" s="2" t="s">
        <v>129</v>
      </c>
      <c r="G50" s="3" t="s">
        <v>57</v>
      </c>
      <c r="H50" s="22" t="s">
        <v>160</v>
      </c>
      <c r="I50" s="17">
        <v>1</v>
      </c>
      <c r="J50" s="3">
        <v>34.1</v>
      </c>
      <c r="K50" s="3" t="s">
        <v>180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785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f>SUMIF([1]SA007!$C:$C,'SA007 2025.01-2026.05 '!$D50,[1]SA007!P:P)</f>
        <v>0</v>
      </c>
      <c r="AB50" s="18">
        <f>SUMIF([1]SA007!$C:$C,'SA007 2025.01-2026.05 '!$D50,[1]SA007!Q:Q)</f>
        <v>0</v>
      </c>
      <c r="AC50" s="19">
        <f t="shared" si="3"/>
        <v>785</v>
      </c>
      <c r="AD50" s="19">
        <f t="shared" si="4"/>
        <v>46.176470588235297</v>
      </c>
      <c r="AG50" s="21">
        <f>SUMIF([1]SO003!$H:$H,'SA007 2025.01-2026.05 '!$D50,[1]SO003!AF:AF)</f>
        <v>0</v>
      </c>
      <c r="AH50" s="21">
        <f>SUMIF([1]SO003!$H:$H,'SA007 2025.01-2026.05 '!$D50,[1]SO003!AH:AH)</f>
        <v>0</v>
      </c>
      <c r="AI50" s="21">
        <f>SUMIF([1]SO003!$H:$H,'SA007 2025.01-2026.05 '!$D50,[1]SO003!AJ:AJ)</f>
        <v>0</v>
      </c>
    </row>
    <row r="51" spans="1:35" ht="11.45" customHeight="1" x14ac:dyDescent="0.55000000000000004">
      <c r="A51" s="2" t="s">
        <v>178</v>
      </c>
      <c r="D51" s="22" t="s">
        <v>181</v>
      </c>
      <c r="E51" s="2" t="s">
        <v>182</v>
      </c>
      <c r="F51" s="2" t="s">
        <v>182</v>
      </c>
      <c r="G51" s="3" t="s">
        <v>57</v>
      </c>
      <c r="H51" s="2" t="s">
        <v>160</v>
      </c>
      <c r="I51" s="17">
        <v>1</v>
      </c>
      <c r="J51" s="3">
        <v>186</v>
      </c>
      <c r="K51" s="3" t="s">
        <v>183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1830</v>
      </c>
      <c r="X51" s="18">
        <v>0</v>
      </c>
      <c r="Y51" s="18">
        <v>0</v>
      </c>
      <c r="Z51" s="18">
        <v>0</v>
      </c>
      <c r="AA51" s="18">
        <f>SUMIF([1]SA007!$C:$C,'SA007 2025.01-2026.05 '!$D51,[1]SA007!P:P)</f>
        <v>0</v>
      </c>
      <c r="AB51" s="18">
        <f>SUMIF([1]SA007!$C:$C,'SA007 2025.01-2026.05 '!$D51,[1]SA007!Q:Q)</f>
        <v>0</v>
      </c>
      <c r="AC51" s="19">
        <f t="shared" si="3"/>
        <v>1830</v>
      </c>
      <c r="AD51" s="19">
        <f t="shared" si="4"/>
        <v>107.64705882352941</v>
      </c>
      <c r="AG51" s="21">
        <f>SUMIF([1]SO003!$H:$H,'SA007 2025.01-2026.05 '!$D51,[1]SO003!AF:AF)</f>
        <v>0</v>
      </c>
      <c r="AH51" s="21">
        <f>SUMIF([1]SO003!$H:$H,'SA007 2025.01-2026.05 '!$D51,[1]SO003!AH:AH)</f>
        <v>0</v>
      </c>
      <c r="AI51" s="21">
        <f>SUMIF([1]SO003!$H:$H,'SA007 2025.01-2026.05 '!$D51,[1]SO003!AJ:AJ)</f>
        <v>0</v>
      </c>
    </row>
    <row r="52" spans="1:35" ht="11.45" customHeight="1" x14ac:dyDescent="0.55000000000000004">
      <c r="A52" s="2" t="s">
        <v>157</v>
      </c>
      <c r="B52" s="2" t="s">
        <v>67</v>
      </c>
      <c r="C52" s="2" t="s">
        <v>67</v>
      </c>
      <c r="D52" s="2" t="s">
        <v>184</v>
      </c>
      <c r="E52" s="2" t="s">
        <v>185</v>
      </c>
      <c r="F52" s="2" t="s">
        <v>185</v>
      </c>
      <c r="G52" s="3" t="s">
        <v>57</v>
      </c>
      <c r="H52" s="2" t="s">
        <v>67</v>
      </c>
      <c r="I52" s="17">
        <v>0.8</v>
      </c>
      <c r="J52" s="3">
        <v>155</v>
      </c>
      <c r="K52" s="3">
        <v>267</v>
      </c>
      <c r="L52" s="18">
        <v>1015</v>
      </c>
      <c r="M52" s="18">
        <v>765</v>
      </c>
      <c r="N52" s="18">
        <v>969</v>
      </c>
      <c r="O52" s="18">
        <v>1278</v>
      </c>
      <c r="P52" s="18">
        <v>4192</v>
      </c>
      <c r="Q52" s="18">
        <v>1945</v>
      </c>
      <c r="R52" s="18">
        <v>1031</v>
      </c>
      <c r="S52" s="18">
        <v>958</v>
      </c>
      <c r="T52" s="18">
        <v>1933</v>
      </c>
      <c r="U52" s="18">
        <v>0</v>
      </c>
      <c r="V52" s="18">
        <v>0</v>
      </c>
      <c r="W52" s="18">
        <v>1391</v>
      </c>
      <c r="X52" s="18">
        <v>986</v>
      </c>
      <c r="Y52" s="18">
        <v>1310</v>
      </c>
      <c r="Z52" s="18">
        <v>1026</v>
      </c>
      <c r="AA52" s="18">
        <f>SUMIF([1]SA007!$C:$C,'SA007 2025.01-2026.05 '!$D52,[1]SA007!P:P)</f>
        <v>1415</v>
      </c>
      <c r="AB52" s="18">
        <f>SUMIF([1]SA007!$C:$C,'SA007 2025.01-2026.05 '!$D52,[1]SA007!Q:Q)</f>
        <v>1410</v>
      </c>
      <c r="AC52" s="19">
        <f t="shared" si="3"/>
        <v>21624</v>
      </c>
      <c r="AD52" s="19">
        <f t="shared" si="4"/>
        <v>1272</v>
      </c>
      <c r="AE52" s="20" t="s">
        <v>186</v>
      </c>
      <c r="AG52" s="21">
        <f>SUMIF([1]SO003!$H:$H,'SA007 2025.01-2026.05 '!$D52,[1]SO003!AF:AF)</f>
        <v>0</v>
      </c>
      <c r="AH52" s="21">
        <f>SUMIF([1]SO003!$H:$H,'SA007 2025.01-2026.05 '!$D52,[1]SO003!AH:AH)</f>
        <v>0</v>
      </c>
      <c r="AI52" s="21">
        <f>SUMIF([1]SO003!$H:$H,'SA007 2025.01-2026.05 '!$D52,[1]SO003!AJ:AJ)</f>
        <v>0</v>
      </c>
    </row>
    <row r="53" spans="1:35" ht="11.45" customHeight="1" x14ac:dyDescent="0.55000000000000004">
      <c r="A53" s="2" t="s">
        <v>157</v>
      </c>
      <c r="B53" s="2" t="s">
        <v>67</v>
      </c>
      <c r="C53" s="2" t="s">
        <v>67</v>
      </c>
      <c r="D53" s="2" t="s">
        <v>187</v>
      </c>
      <c r="E53" s="2" t="s">
        <v>185</v>
      </c>
      <c r="F53" s="2" t="s">
        <v>185</v>
      </c>
      <c r="G53" s="3" t="s">
        <v>57</v>
      </c>
      <c r="H53" s="2" t="s">
        <v>67</v>
      </c>
      <c r="I53" s="17">
        <v>0.8</v>
      </c>
      <c r="J53" s="3">
        <v>172</v>
      </c>
      <c r="K53" s="3">
        <v>190</v>
      </c>
      <c r="L53" s="18">
        <v>0</v>
      </c>
      <c r="M53" s="18">
        <v>373</v>
      </c>
      <c r="N53" s="18">
        <v>1873</v>
      </c>
      <c r="O53" s="18">
        <v>1010</v>
      </c>
      <c r="P53" s="18">
        <v>1364</v>
      </c>
      <c r="Q53" s="18">
        <v>1821</v>
      </c>
      <c r="R53" s="18">
        <v>1000</v>
      </c>
      <c r="S53" s="18">
        <v>1005</v>
      </c>
      <c r="T53" s="18">
        <v>1152</v>
      </c>
      <c r="U53" s="18">
        <v>1000</v>
      </c>
      <c r="V53" s="18">
        <v>0</v>
      </c>
      <c r="W53" s="18">
        <v>1211</v>
      </c>
      <c r="X53" s="18">
        <v>0</v>
      </c>
      <c r="Y53" s="18">
        <v>1020</v>
      </c>
      <c r="Z53" s="18">
        <v>1036</v>
      </c>
      <c r="AA53" s="18">
        <f>SUMIF([1]SA007!$C:$C,'SA007 2025.01-2026.05 '!$D53,[1]SA007!P:P)</f>
        <v>1798</v>
      </c>
      <c r="AB53" s="18">
        <f>SUMIF([1]SA007!$C:$C,'SA007 2025.01-2026.05 '!$D53,[1]SA007!Q:Q)</f>
        <v>0</v>
      </c>
      <c r="AC53" s="19">
        <f t="shared" si="3"/>
        <v>15663</v>
      </c>
      <c r="AD53" s="19">
        <f t="shared" si="4"/>
        <v>921.35294117647061</v>
      </c>
      <c r="AE53" s="20" t="s">
        <v>186</v>
      </c>
      <c r="AG53" s="21">
        <f>SUMIF([1]SO003!$H:$H,'SA007 2025.01-2026.05 '!$D53,[1]SO003!AF:AF)</f>
        <v>0</v>
      </c>
      <c r="AH53" s="21">
        <f>SUMIF([1]SO003!$H:$H,'SA007 2025.01-2026.05 '!$D53,[1]SO003!AH:AH)</f>
        <v>0</v>
      </c>
      <c r="AI53" s="21">
        <f>SUMIF([1]SO003!$H:$H,'SA007 2025.01-2026.05 '!$D53,[1]SO003!AJ:AJ)</f>
        <v>0</v>
      </c>
    </row>
    <row r="54" spans="1:35" ht="11.45" customHeight="1" x14ac:dyDescent="0.55000000000000004">
      <c r="A54" s="2" t="s">
        <v>188</v>
      </c>
      <c r="B54" s="2" t="s">
        <v>189</v>
      </c>
      <c r="C54" s="2" t="s">
        <v>189</v>
      </c>
      <c r="D54" s="2" t="s">
        <v>190</v>
      </c>
      <c r="E54" s="2" t="s">
        <v>139</v>
      </c>
      <c r="F54" s="2" t="s">
        <v>139</v>
      </c>
      <c r="G54" s="3" t="s">
        <v>47</v>
      </c>
      <c r="H54" s="2" t="s">
        <v>191</v>
      </c>
      <c r="I54" s="17">
        <v>0.9</v>
      </c>
      <c r="J54" s="3">
        <v>155</v>
      </c>
      <c r="K54" s="3">
        <v>390</v>
      </c>
      <c r="L54" s="18">
        <v>852</v>
      </c>
      <c r="M54" s="18">
        <v>2709</v>
      </c>
      <c r="N54" s="18">
        <v>1099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f>SUMIF([1]SA007!$C:$C,'SA007 2025.01-2026.05 '!$D54,[1]SA007!P:P)</f>
        <v>0</v>
      </c>
      <c r="AB54" s="18">
        <f>SUMIF([1]SA007!$C:$C,'SA007 2025.01-2026.05 '!$D54,[1]SA007!Q:Q)</f>
        <v>0</v>
      </c>
      <c r="AC54" s="19">
        <f t="shared" si="3"/>
        <v>4660</v>
      </c>
      <c r="AD54" s="19">
        <f t="shared" si="4"/>
        <v>274.11764705882354</v>
      </c>
      <c r="AE54" s="20" t="s">
        <v>192</v>
      </c>
      <c r="AG54" s="21">
        <f>SUMIF([1]SO003!$H:$H,'SA007 2025.01-2026.05 '!$D54,[1]SO003!AF:AF)</f>
        <v>0</v>
      </c>
      <c r="AH54" s="21">
        <f>SUMIF([1]SO003!$H:$H,'SA007 2025.01-2026.05 '!$D54,[1]SO003!AH:AH)</f>
        <v>0</v>
      </c>
      <c r="AI54" s="21">
        <f>SUMIF([1]SO003!$H:$H,'SA007 2025.01-2026.05 '!$D54,[1]SO003!AJ:AJ)</f>
        <v>0</v>
      </c>
    </row>
    <row r="55" spans="1:35" ht="11.45" customHeight="1" x14ac:dyDescent="0.55000000000000004">
      <c r="A55" s="2" t="s">
        <v>193</v>
      </c>
      <c r="B55" s="2" t="s">
        <v>61</v>
      </c>
      <c r="C55" s="2" t="s">
        <v>61</v>
      </c>
      <c r="D55" s="2" t="s">
        <v>194</v>
      </c>
      <c r="E55" s="2" t="s">
        <v>115</v>
      </c>
      <c r="F55" s="2" t="s">
        <v>115</v>
      </c>
      <c r="G55" s="3" t="s">
        <v>63</v>
      </c>
      <c r="H55" s="2" t="s">
        <v>64</v>
      </c>
      <c r="I55" s="17">
        <v>0.9</v>
      </c>
      <c r="J55" s="3">
        <v>375</v>
      </c>
      <c r="K55" s="3">
        <v>610</v>
      </c>
      <c r="L55" s="18">
        <v>0</v>
      </c>
      <c r="M55" s="18">
        <v>662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1952</v>
      </c>
      <c r="X55" s="18">
        <v>0</v>
      </c>
      <c r="Y55" s="18">
        <v>0</v>
      </c>
      <c r="Z55" s="18">
        <v>0</v>
      </c>
      <c r="AA55" s="18">
        <f>SUMIF([1]SA007!$C:$C,'SA007 2025.01-2026.05 '!$D55,[1]SA007!P:P)</f>
        <v>0</v>
      </c>
      <c r="AB55" s="18">
        <f>SUMIF([1]SA007!$C:$C,'SA007 2025.01-2026.05 '!$D55,[1]SA007!Q:Q)</f>
        <v>1986</v>
      </c>
      <c r="AC55" s="19">
        <f t="shared" si="3"/>
        <v>4600</v>
      </c>
      <c r="AD55" s="19">
        <f t="shared" si="4"/>
        <v>270.58823529411762</v>
      </c>
      <c r="AE55" s="20" t="s">
        <v>195</v>
      </c>
      <c r="AG55" s="21">
        <f>SUMIF([1]SO003!$H:$H,'SA007 2025.01-2026.05 '!$D55,[1]SO003!AF:AF)</f>
        <v>2003.9872500000001</v>
      </c>
      <c r="AH55" s="21">
        <f>SUMIF([1]SO003!$H:$H,'SA007 2025.01-2026.05 '!$D55,[1]SO003!AH:AH)</f>
        <v>2010.4517250000001</v>
      </c>
      <c r="AI55" s="21">
        <f>SUMIF([1]SO003!$H:$H,'SA007 2025.01-2026.05 '!$D55,[1]SO003!AJ:AJ)</f>
        <v>0</v>
      </c>
    </row>
    <row r="56" spans="1:35" ht="11.45" customHeight="1" x14ac:dyDescent="0.55000000000000004">
      <c r="A56" s="2" t="s">
        <v>193</v>
      </c>
      <c r="B56" s="2" t="s">
        <v>61</v>
      </c>
      <c r="C56" s="2" t="s">
        <v>61</v>
      </c>
      <c r="D56" s="2" t="s">
        <v>196</v>
      </c>
      <c r="E56" s="2" t="s">
        <v>115</v>
      </c>
      <c r="F56" s="2" t="s">
        <v>115</v>
      </c>
      <c r="G56" s="3" t="s">
        <v>63</v>
      </c>
      <c r="H56" s="2" t="s">
        <v>64</v>
      </c>
      <c r="I56" s="17">
        <v>0.9</v>
      </c>
      <c r="J56" s="3">
        <v>400</v>
      </c>
      <c r="K56" s="3">
        <v>500</v>
      </c>
      <c r="L56" s="18">
        <v>2825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f>SUMIF([1]SA007!$C:$C,'SA007 2025.01-2026.05 '!$D56,[1]SA007!P:P)</f>
        <v>0</v>
      </c>
      <c r="AB56" s="18">
        <f>SUMIF([1]SA007!$C:$C,'SA007 2025.01-2026.05 '!$D56,[1]SA007!Q:Q)</f>
        <v>0</v>
      </c>
      <c r="AC56" s="19">
        <f t="shared" si="3"/>
        <v>2825</v>
      </c>
      <c r="AD56" s="19">
        <f t="shared" si="4"/>
        <v>166.1764705882353</v>
      </c>
      <c r="AE56" s="20" t="s">
        <v>116</v>
      </c>
      <c r="AG56" s="21">
        <f>SUMIF([1]SO003!$H:$H,'SA007 2025.01-2026.05 '!$D56,[1]SO003!AF:AF)</f>
        <v>0</v>
      </c>
      <c r="AH56" s="21">
        <f>SUMIF([1]SO003!$H:$H,'SA007 2025.01-2026.05 '!$D56,[1]SO003!AH:AH)</f>
        <v>0</v>
      </c>
      <c r="AI56" s="21">
        <f>SUMIF([1]SO003!$H:$H,'SA007 2025.01-2026.05 '!$D56,[1]SO003!AJ:AJ)</f>
        <v>0</v>
      </c>
    </row>
    <row r="57" spans="1:35" ht="11.45" customHeight="1" x14ac:dyDescent="0.55000000000000004">
      <c r="A57" s="2" t="s">
        <v>178</v>
      </c>
      <c r="D57" s="22" t="s">
        <v>197</v>
      </c>
      <c r="E57" s="2" t="s">
        <v>182</v>
      </c>
      <c r="F57" s="2" t="s">
        <v>182</v>
      </c>
      <c r="G57" s="3" t="s">
        <v>57</v>
      </c>
      <c r="H57" s="2" t="s">
        <v>160</v>
      </c>
      <c r="I57" s="17">
        <v>1</v>
      </c>
      <c r="J57" s="3">
        <v>186</v>
      </c>
      <c r="K57" s="3" t="s">
        <v>183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19</v>
      </c>
      <c r="T57" s="21">
        <v>0</v>
      </c>
      <c r="U57" s="21">
        <v>0</v>
      </c>
      <c r="V57" s="21">
        <v>0</v>
      </c>
      <c r="W57" s="21">
        <v>0</v>
      </c>
      <c r="X57" s="18">
        <v>0</v>
      </c>
      <c r="Y57" s="18">
        <v>0</v>
      </c>
      <c r="Z57" s="18">
        <v>0</v>
      </c>
      <c r="AA57" s="18">
        <f>SUMIF([1]SA007!$C:$C,'SA007 2025.01-2026.05 '!$D57,[1]SA007!P:P)</f>
        <v>0</v>
      </c>
      <c r="AB57" s="18">
        <f>SUMIF([1]SA007!$C:$C,'SA007 2025.01-2026.05 '!$D57,[1]SA007!Q:Q)</f>
        <v>0</v>
      </c>
      <c r="AC57" s="19">
        <f t="shared" si="3"/>
        <v>19</v>
      </c>
      <c r="AD57" s="19">
        <f t="shared" si="4"/>
        <v>1.1176470588235294</v>
      </c>
      <c r="AG57" s="21">
        <f>SUMIF([1]SO003!$H:$H,'SA007 2025.01-2026.05 '!$D57,[1]SO003!AF:AF)</f>
        <v>0</v>
      </c>
      <c r="AH57" s="21">
        <f>SUMIF([1]SO003!$H:$H,'SA007 2025.01-2026.05 '!$D57,[1]SO003!AH:AH)</f>
        <v>0</v>
      </c>
      <c r="AI57" s="21">
        <f>SUMIF([1]SO003!$H:$H,'SA007 2025.01-2026.05 '!$D57,[1]SO003!AJ:AJ)</f>
        <v>0</v>
      </c>
    </row>
    <row r="58" spans="1:35" ht="11.45" customHeight="1" x14ac:dyDescent="0.55000000000000004">
      <c r="A58" s="2" t="s">
        <v>198</v>
      </c>
      <c r="B58" s="2" t="s">
        <v>199</v>
      </c>
      <c r="C58" s="2" t="s">
        <v>199</v>
      </c>
      <c r="D58" s="2" t="s">
        <v>200</v>
      </c>
      <c r="E58" s="2" t="s">
        <v>38</v>
      </c>
      <c r="F58" s="2" t="s">
        <v>38</v>
      </c>
      <c r="G58" s="3" t="s">
        <v>63</v>
      </c>
      <c r="H58" s="2" t="s">
        <v>201</v>
      </c>
      <c r="I58" s="17">
        <v>1</v>
      </c>
      <c r="J58" s="3">
        <v>186</v>
      </c>
      <c r="K58" s="3" t="s">
        <v>41</v>
      </c>
      <c r="L58" s="18">
        <v>2095</v>
      </c>
      <c r="M58" s="18">
        <v>1559.5</v>
      </c>
      <c r="N58" s="18">
        <v>0</v>
      </c>
      <c r="O58" s="18">
        <v>0</v>
      </c>
      <c r="P58" s="18">
        <v>0</v>
      </c>
      <c r="Q58" s="18">
        <v>0</v>
      </c>
      <c r="R58" s="18">
        <v>1707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563</v>
      </c>
      <c r="Y58" s="18">
        <v>0</v>
      </c>
      <c r="Z58" s="18">
        <v>1200</v>
      </c>
      <c r="AA58" s="18">
        <f>SUMIF([1]SA007!$C:$C,'SA007 2025.01-2026.05 '!$D58,[1]SA007!P:P)</f>
        <v>0</v>
      </c>
      <c r="AB58" s="18">
        <f>SUMIF([1]SA007!$C:$C,'SA007 2025.01-2026.05 '!$D58,[1]SA007!Q:Q)</f>
        <v>0</v>
      </c>
      <c r="AC58" s="19">
        <f t="shared" si="3"/>
        <v>7124.5</v>
      </c>
      <c r="AD58" s="19">
        <f t="shared" si="4"/>
        <v>419.08823529411762</v>
      </c>
      <c r="AE58" s="20" t="s">
        <v>202</v>
      </c>
      <c r="AG58" s="21">
        <f>SUMIF([1]SO003!$H:$H,'SA007 2025.01-2026.05 '!$D58,[1]SO003!AF:AF)</f>
        <v>1500</v>
      </c>
      <c r="AH58" s="21">
        <f>SUMIF([1]SO003!$H:$H,'SA007 2025.01-2026.05 '!$D58,[1]SO003!AH:AH)</f>
        <v>1678</v>
      </c>
      <c r="AI58" s="21">
        <f>SUMIF([1]SO003!$H:$H,'SA007 2025.01-2026.05 '!$D58,[1]SO003!AJ:AJ)</f>
        <v>0</v>
      </c>
    </row>
    <row r="59" spans="1:35" ht="11.45" customHeight="1" x14ac:dyDescent="0.55000000000000004">
      <c r="A59" s="2" t="s">
        <v>178</v>
      </c>
      <c r="B59" s="2" t="s">
        <v>158</v>
      </c>
      <c r="C59" s="2" t="s">
        <v>160</v>
      </c>
      <c r="D59" s="2" t="s">
        <v>203</v>
      </c>
      <c r="E59" s="2" t="s">
        <v>129</v>
      </c>
      <c r="F59" s="2" t="s">
        <v>129</v>
      </c>
      <c r="G59" s="3" t="s">
        <v>57</v>
      </c>
      <c r="H59" s="2" t="s">
        <v>204</v>
      </c>
      <c r="I59" s="17">
        <v>1</v>
      </c>
      <c r="J59" s="3">
        <v>34.1</v>
      </c>
      <c r="K59" s="3">
        <v>582.29999999999995</v>
      </c>
      <c r="L59" s="18">
        <v>828</v>
      </c>
      <c r="M59" s="18">
        <v>771</v>
      </c>
      <c r="N59" s="18">
        <v>33</v>
      </c>
      <c r="O59" s="18">
        <v>768</v>
      </c>
      <c r="P59" s="18">
        <v>775</v>
      </c>
      <c r="Q59" s="18">
        <v>778</v>
      </c>
      <c r="R59" s="18">
        <v>0</v>
      </c>
      <c r="S59" s="18">
        <v>0</v>
      </c>
      <c r="T59" s="18">
        <v>0</v>
      </c>
      <c r="U59" s="18">
        <v>1216</v>
      </c>
      <c r="V59" s="18">
        <v>0</v>
      </c>
      <c r="W59" s="18">
        <v>993</v>
      </c>
      <c r="X59" s="18">
        <v>0</v>
      </c>
      <c r="Y59" s="18">
        <v>955</v>
      </c>
      <c r="Z59" s="18">
        <v>972</v>
      </c>
      <c r="AA59" s="18">
        <f>SUMIF([1]SA007!$C:$C,'SA007 2025.01-2026.05 '!$D59,[1]SA007!P:P)</f>
        <v>0</v>
      </c>
      <c r="AB59" s="18">
        <f>SUMIF([1]SA007!$C:$C,'SA007 2025.01-2026.05 '!$D59,[1]SA007!Q:Q)</f>
        <v>0</v>
      </c>
      <c r="AC59" s="19">
        <f t="shared" si="3"/>
        <v>8089</v>
      </c>
      <c r="AD59" s="19">
        <f t="shared" si="4"/>
        <v>475.8235294117647</v>
      </c>
      <c r="AE59" s="20" t="s">
        <v>205</v>
      </c>
      <c r="AG59" s="21">
        <f>SUMIF([1]SO003!$H:$H,'SA007 2025.01-2026.05 '!$D59,[1]SO003!AF:AF)</f>
        <v>0</v>
      </c>
      <c r="AH59" s="21">
        <f>SUMIF([1]SO003!$H:$H,'SA007 2025.01-2026.05 '!$D59,[1]SO003!AH:AH)</f>
        <v>0</v>
      </c>
      <c r="AI59" s="21">
        <f>SUMIF([1]SO003!$H:$H,'SA007 2025.01-2026.05 '!$D59,[1]SO003!AJ:AJ)</f>
        <v>0</v>
      </c>
    </row>
    <row r="60" spans="1:35" ht="11.45" customHeight="1" x14ac:dyDescent="0.55000000000000004">
      <c r="A60" s="2" t="s">
        <v>206</v>
      </c>
      <c r="B60" s="2" t="s">
        <v>61</v>
      </c>
      <c r="C60" s="2" t="s">
        <v>61</v>
      </c>
      <c r="D60" s="2" t="s">
        <v>207</v>
      </c>
      <c r="E60" s="2" t="s">
        <v>101</v>
      </c>
      <c r="F60" s="2" t="s">
        <v>101</v>
      </c>
      <c r="G60" s="3" t="s">
        <v>63</v>
      </c>
      <c r="H60" s="2" t="s">
        <v>61</v>
      </c>
      <c r="I60" s="17">
        <v>1</v>
      </c>
      <c r="J60" s="3">
        <v>40</v>
      </c>
      <c r="K60" s="3" t="s">
        <v>208</v>
      </c>
      <c r="L60" s="18">
        <v>45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f>SUMIF([1]SA007!$C:$C,'SA007 2025.01-2026.05 '!$D60,[1]SA007!P:P)</f>
        <v>0</v>
      </c>
      <c r="AB60" s="18">
        <f>SUMIF([1]SA007!$C:$C,'SA007 2025.01-2026.05 '!$D60,[1]SA007!Q:Q)</f>
        <v>0</v>
      </c>
      <c r="AC60" s="19">
        <f t="shared" si="3"/>
        <v>45</v>
      </c>
      <c r="AD60" s="19">
        <f t="shared" si="4"/>
        <v>2.6470588235294117</v>
      </c>
      <c r="AE60" s="20" t="s">
        <v>209</v>
      </c>
      <c r="AG60" s="21">
        <f>SUMIF([1]SO003!$H:$H,'SA007 2025.01-2026.05 '!$D60,[1]SO003!AF:AF)</f>
        <v>0</v>
      </c>
      <c r="AH60" s="21">
        <f>SUMIF([1]SO003!$H:$H,'SA007 2025.01-2026.05 '!$D60,[1]SO003!AH:AH)</f>
        <v>0</v>
      </c>
      <c r="AI60" s="21">
        <f>SUMIF([1]SO003!$H:$H,'SA007 2025.01-2026.05 '!$D60,[1]SO003!AJ:AJ)</f>
        <v>0</v>
      </c>
    </row>
    <row r="61" spans="1:35" ht="11.45" customHeight="1" x14ac:dyDescent="0.55000000000000004">
      <c r="A61" s="2" t="s">
        <v>82</v>
      </c>
      <c r="B61" s="2" t="s">
        <v>149</v>
      </c>
      <c r="C61" s="2" t="s">
        <v>149</v>
      </c>
      <c r="D61" s="2" t="s">
        <v>210</v>
      </c>
      <c r="E61" s="2" t="s">
        <v>151</v>
      </c>
      <c r="F61" s="2" t="s">
        <v>151</v>
      </c>
      <c r="G61" s="3" t="s">
        <v>39</v>
      </c>
      <c r="H61" s="2" t="s">
        <v>152</v>
      </c>
      <c r="I61" s="17">
        <v>1</v>
      </c>
      <c r="J61" s="3">
        <v>113</v>
      </c>
      <c r="K61" s="3">
        <v>1219</v>
      </c>
      <c r="L61" s="18">
        <v>0</v>
      </c>
      <c r="M61" s="18">
        <v>53</v>
      </c>
      <c r="N61" s="18">
        <v>52</v>
      </c>
      <c r="O61" s="18">
        <v>0</v>
      </c>
      <c r="P61" s="18">
        <v>0</v>
      </c>
      <c r="Q61" s="18">
        <v>0</v>
      </c>
      <c r="R61" s="18">
        <v>23</v>
      </c>
      <c r="S61" s="18">
        <v>21</v>
      </c>
      <c r="T61" s="18">
        <v>52</v>
      </c>
      <c r="U61" s="18">
        <v>0</v>
      </c>
      <c r="V61" s="18">
        <v>49</v>
      </c>
      <c r="W61" s="18">
        <v>0</v>
      </c>
      <c r="X61" s="18">
        <v>0</v>
      </c>
      <c r="Y61" s="18">
        <v>21</v>
      </c>
      <c r="Z61" s="18">
        <v>0</v>
      </c>
      <c r="AA61" s="18">
        <f>SUMIF([1]SA007!$C:$C,'SA007 2025.01-2026.05 '!$D61,[1]SA007!P:P)</f>
        <v>0</v>
      </c>
      <c r="AB61" s="18">
        <f>SUMIF([1]SA007!$C:$C,'SA007 2025.01-2026.05 '!$D61,[1]SA007!Q:Q)</f>
        <v>54</v>
      </c>
      <c r="AC61" s="19">
        <f t="shared" si="3"/>
        <v>325</v>
      </c>
      <c r="AD61" s="19">
        <f t="shared" si="4"/>
        <v>19.117647058823529</v>
      </c>
      <c r="AE61" s="20" t="s">
        <v>211</v>
      </c>
      <c r="AG61" s="21">
        <f>SUMIF([1]SO003!$H:$H,'SA007 2025.01-2026.05 '!$D61,[1]SO003!AF:AF)</f>
        <v>0</v>
      </c>
      <c r="AH61" s="21">
        <f>SUMIF([1]SO003!$H:$H,'SA007 2025.01-2026.05 '!$D61,[1]SO003!AH:AH)</f>
        <v>0</v>
      </c>
      <c r="AI61" s="21">
        <f>SUMIF([1]SO003!$H:$H,'SA007 2025.01-2026.05 '!$D61,[1]SO003!AJ:AJ)</f>
        <v>0</v>
      </c>
    </row>
    <row r="62" spans="1:35" ht="11.45" customHeight="1" x14ac:dyDescent="0.55000000000000004">
      <c r="A62" s="2" t="s">
        <v>212</v>
      </c>
      <c r="B62" s="2" t="s">
        <v>213</v>
      </c>
      <c r="C62" s="2" t="s">
        <v>213</v>
      </c>
      <c r="D62" s="2" t="s">
        <v>214</v>
      </c>
      <c r="E62" s="2" t="s">
        <v>129</v>
      </c>
      <c r="F62" s="2" t="s">
        <v>129</v>
      </c>
      <c r="G62" s="3" t="s">
        <v>47</v>
      </c>
      <c r="H62" s="2" t="s">
        <v>215</v>
      </c>
      <c r="I62" s="17">
        <v>1.6</v>
      </c>
      <c r="J62" s="3">
        <v>87</v>
      </c>
      <c r="K62" s="3">
        <v>550</v>
      </c>
      <c r="L62" s="18">
        <v>6038</v>
      </c>
      <c r="M62" s="18">
        <v>6071</v>
      </c>
      <c r="N62" s="18">
        <v>223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f>SUMIF([1]SA007!$C:$C,'SA007 2025.01-2026.05 '!$D62,[1]SA007!P:P)</f>
        <v>0</v>
      </c>
      <c r="AB62" s="18">
        <f>SUMIF([1]SA007!$C:$C,'SA007 2025.01-2026.05 '!$D62,[1]SA007!Q:Q)</f>
        <v>0</v>
      </c>
      <c r="AC62" s="19">
        <f t="shared" si="3"/>
        <v>12332</v>
      </c>
      <c r="AD62" s="19">
        <f t="shared" si="4"/>
        <v>725.41176470588232</v>
      </c>
      <c r="AE62" s="20" t="s">
        <v>216</v>
      </c>
      <c r="AG62" s="21">
        <f>SUMIF([1]SO003!$H:$H,'SA007 2025.01-2026.05 '!$D62,[1]SO003!AF:AF)</f>
        <v>0</v>
      </c>
      <c r="AH62" s="21">
        <f>SUMIF([1]SO003!$H:$H,'SA007 2025.01-2026.05 '!$D62,[1]SO003!AH:AH)</f>
        <v>0</v>
      </c>
      <c r="AI62" s="21">
        <f>SUMIF([1]SO003!$H:$H,'SA007 2025.01-2026.05 '!$D62,[1]SO003!AJ:AJ)</f>
        <v>0</v>
      </c>
    </row>
    <row r="63" spans="1:35" ht="11.45" customHeight="1" x14ac:dyDescent="0.55000000000000004">
      <c r="A63" s="2" t="s">
        <v>157</v>
      </c>
      <c r="B63" s="2" t="s">
        <v>67</v>
      </c>
      <c r="C63" s="2" t="s">
        <v>67</v>
      </c>
      <c r="D63" s="2" t="s">
        <v>217</v>
      </c>
      <c r="E63" s="2" t="s">
        <v>185</v>
      </c>
      <c r="F63" s="2" t="s">
        <v>185</v>
      </c>
      <c r="G63" s="3" t="s">
        <v>57</v>
      </c>
      <c r="H63" s="2" t="s">
        <v>218</v>
      </c>
      <c r="I63" s="17">
        <v>0.8</v>
      </c>
      <c r="J63" s="3">
        <v>270</v>
      </c>
      <c r="K63" s="3">
        <v>1219</v>
      </c>
      <c r="L63" s="18">
        <v>0</v>
      </c>
      <c r="M63" s="18">
        <v>782</v>
      </c>
      <c r="N63" s="18">
        <v>1013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705</v>
      </c>
      <c r="V63" s="18">
        <v>0</v>
      </c>
      <c r="W63" s="18">
        <v>1018</v>
      </c>
      <c r="X63" s="18">
        <v>0</v>
      </c>
      <c r="Y63" s="18">
        <v>0</v>
      </c>
      <c r="Z63" s="18">
        <v>0</v>
      </c>
      <c r="AA63" s="18">
        <f>SUMIF([1]SA007!$C:$C,'SA007 2025.01-2026.05 '!$D63,[1]SA007!P:P)</f>
        <v>0</v>
      </c>
      <c r="AB63" s="18">
        <f>SUMIF([1]SA007!$C:$C,'SA007 2025.01-2026.05 '!$D63,[1]SA007!Q:Q)</f>
        <v>0</v>
      </c>
      <c r="AC63" s="19">
        <f t="shared" si="3"/>
        <v>3518</v>
      </c>
      <c r="AD63" s="19">
        <f t="shared" si="4"/>
        <v>206.94117647058823</v>
      </c>
      <c r="AE63" s="20" t="s">
        <v>186</v>
      </c>
      <c r="AG63" s="21">
        <f>SUMIF([1]SO003!$H:$H,'SA007 2025.01-2026.05 '!$D63,[1]SO003!AF:AF)</f>
        <v>0</v>
      </c>
      <c r="AH63" s="21">
        <f>SUMIF([1]SO003!$H:$H,'SA007 2025.01-2026.05 '!$D63,[1]SO003!AH:AH)</f>
        <v>0</v>
      </c>
      <c r="AI63" s="21">
        <f>SUMIF([1]SO003!$H:$H,'SA007 2025.01-2026.05 '!$D63,[1]SO003!AJ:AJ)</f>
        <v>0</v>
      </c>
    </row>
    <row r="64" spans="1:35" ht="11.45" customHeight="1" x14ac:dyDescent="0.55000000000000004">
      <c r="A64" s="23" t="s">
        <v>219</v>
      </c>
      <c r="B64" s="2" t="s">
        <v>67</v>
      </c>
      <c r="C64" s="2" t="s">
        <v>67</v>
      </c>
      <c r="D64" s="2" t="s">
        <v>220</v>
      </c>
      <c r="E64" s="2" t="s">
        <v>38</v>
      </c>
      <c r="F64" s="2" t="s">
        <v>38</v>
      </c>
      <c r="G64" s="3" t="s">
        <v>57</v>
      </c>
      <c r="H64" s="2" t="s">
        <v>218</v>
      </c>
      <c r="I64" s="17">
        <v>1.2</v>
      </c>
      <c r="J64" s="3">
        <v>132.9</v>
      </c>
      <c r="K64" s="3" t="s">
        <v>41</v>
      </c>
      <c r="L64" s="18">
        <v>0</v>
      </c>
      <c r="M64" s="18">
        <v>0</v>
      </c>
      <c r="N64" s="18">
        <v>3995</v>
      </c>
      <c r="O64" s="18">
        <v>0</v>
      </c>
      <c r="P64" s="18">
        <v>3751</v>
      </c>
      <c r="Q64" s="18">
        <v>1128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1239</v>
      </c>
      <c r="X64" s="18">
        <v>0</v>
      </c>
      <c r="Y64" s="18">
        <v>0</v>
      </c>
      <c r="Z64" s="18">
        <v>0</v>
      </c>
      <c r="AA64" s="18">
        <f>SUMIF([1]SA007!$C:$C,'SA007 2025.01-2026.05 '!$D64,[1]SA007!P:P)</f>
        <v>0</v>
      </c>
      <c r="AB64" s="18">
        <f>SUMIF([1]SA007!$C:$C,'SA007 2025.01-2026.05 '!$D64,[1]SA007!Q:Q)</f>
        <v>0</v>
      </c>
      <c r="AC64" s="19">
        <f t="shared" si="3"/>
        <v>10113</v>
      </c>
      <c r="AD64" s="19">
        <f t="shared" si="4"/>
        <v>594.88235294117646</v>
      </c>
      <c r="AE64" s="20" t="s">
        <v>221</v>
      </c>
      <c r="AG64" s="21">
        <f>SUMIF([1]SO003!$H:$H,'SA007 2025.01-2026.05 '!$D64,[1]SO003!AF:AF)</f>
        <v>0</v>
      </c>
      <c r="AH64" s="21">
        <f>SUMIF([1]SO003!$H:$H,'SA007 2025.01-2026.05 '!$D64,[1]SO003!AH:AH)</f>
        <v>0</v>
      </c>
      <c r="AI64" s="21">
        <f>SUMIF([1]SO003!$H:$H,'SA007 2025.01-2026.05 '!$D64,[1]SO003!AJ:AJ)</f>
        <v>0</v>
      </c>
    </row>
    <row r="65" spans="1:35" ht="11.45" customHeight="1" x14ac:dyDescent="0.55000000000000004">
      <c r="A65" s="23" t="s">
        <v>219</v>
      </c>
      <c r="B65" s="2" t="s">
        <v>67</v>
      </c>
      <c r="C65" s="2" t="s">
        <v>67</v>
      </c>
      <c r="D65" s="2" t="s">
        <v>222</v>
      </c>
      <c r="E65" s="2" t="s">
        <v>38</v>
      </c>
      <c r="F65" s="2" t="s">
        <v>38</v>
      </c>
      <c r="G65" s="3" t="s">
        <v>57</v>
      </c>
      <c r="H65" s="2" t="s">
        <v>218</v>
      </c>
      <c r="I65" s="17">
        <v>1.2</v>
      </c>
      <c r="J65" s="3">
        <v>153.4</v>
      </c>
      <c r="K65" s="3" t="s">
        <v>41</v>
      </c>
      <c r="L65" s="18">
        <v>0</v>
      </c>
      <c r="M65" s="18">
        <v>0</v>
      </c>
      <c r="N65" s="18">
        <v>2552</v>
      </c>
      <c r="O65" s="18">
        <v>4265</v>
      </c>
      <c r="P65" s="18">
        <v>3229</v>
      </c>
      <c r="Q65" s="18">
        <v>0</v>
      </c>
      <c r="R65" s="18">
        <v>0</v>
      </c>
      <c r="S65" s="18">
        <v>2168</v>
      </c>
      <c r="T65" s="18">
        <v>0</v>
      </c>
      <c r="U65" s="18">
        <v>3836</v>
      </c>
      <c r="V65" s="18">
        <v>0</v>
      </c>
      <c r="W65" s="18">
        <v>1416</v>
      </c>
      <c r="X65" s="18">
        <v>0</v>
      </c>
      <c r="Y65" s="18">
        <v>0</v>
      </c>
      <c r="Z65" s="18">
        <v>0</v>
      </c>
      <c r="AA65" s="18">
        <f>SUMIF([1]SA007!$C:$C,'SA007 2025.01-2026.05 '!$D65,[1]SA007!P:P)</f>
        <v>0</v>
      </c>
      <c r="AB65" s="18">
        <f>SUMIF([1]SA007!$C:$C,'SA007 2025.01-2026.05 '!$D65,[1]SA007!Q:Q)</f>
        <v>0</v>
      </c>
      <c r="AC65" s="19">
        <f t="shared" si="3"/>
        <v>17466</v>
      </c>
      <c r="AD65" s="19">
        <f t="shared" si="4"/>
        <v>1027.4117647058824</v>
      </c>
      <c r="AE65" s="20" t="s">
        <v>223</v>
      </c>
      <c r="AG65" s="21">
        <f>SUMIF([1]SO003!$H:$H,'SA007 2025.01-2026.05 '!$D65,[1]SO003!AF:AF)</f>
        <v>0</v>
      </c>
      <c r="AH65" s="21">
        <f>SUMIF([1]SO003!$H:$H,'SA007 2025.01-2026.05 '!$D65,[1]SO003!AH:AH)</f>
        <v>0</v>
      </c>
      <c r="AI65" s="21">
        <f>SUMIF([1]SO003!$H:$H,'SA007 2025.01-2026.05 '!$D65,[1]SO003!AJ:AJ)</f>
        <v>0</v>
      </c>
    </row>
    <row r="66" spans="1:35" ht="11.45" customHeight="1" x14ac:dyDescent="0.55000000000000004">
      <c r="A66" s="2" t="s">
        <v>224</v>
      </c>
      <c r="B66" s="2" t="s">
        <v>225</v>
      </c>
      <c r="C66" s="2" t="s">
        <v>225</v>
      </c>
      <c r="D66" s="2" t="s">
        <v>226</v>
      </c>
      <c r="E66" s="2" t="s">
        <v>227</v>
      </c>
      <c r="F66" s="2" t="s">
        <v>227</v>
      </c>
      <c r="G66" s="3" t="s">
        <v>47</v>
      </c>
      <c r="H66" s="2" t="s">
        <v>228</v>
      </c>
      <c r="I66" s="17">
        <v>1</v>
      </c>
      <c r="J66" s="3">
        <v>36</v>
      </c>
      <c r="K66" s="3" t="s">
        <v>41</v>
      </c>
      <c r="L66" s="18">
        <v>0</v>
      </c>
      <c r="M66" s="18">
        <v>0</v>
      </c>
      <c r="N66" s="18">
        <v>345</v>
      </c>
      <c r="O66" s="18">
        <v>940</v>
      </c>
      <c r="P66" s="18">
        <v>0</v>
      </c>
      <c r="Q66" s="18">
        <v>0</v>
      </c>
      <c r="R66" s="18">
        <v>424</v>
      </c>
      <c r="S66" s="18">
        <v>0</v>
      </c>
      <c r="T66" s="18">
        <v>0</v>
      </c>
      <c r="U66" s="18">
        <v>0</v>
      </c>
      <c r="V66" s="18">
        <v>0</v>
      </c>
      <c r="W66" s="18">
        <v>320</v>
      </c>
      <c r="X66" s="18">
        <v>0</v>
      </c>
      <c r="Y66" s="18">
        <v>0</v>
      </c>
      <c r="Z66" s="18">
        <v>0</v>
      </c>
      <c r="AA66" s="18">
        <f>SUMIF([1]SA007!$C:$C,'SA007 2025.01-2026.05 '!$D66,[1]SA007!P:P)</f>
        <v>0</v>
      </c>
      <c r="AB66" s="18">
        <f>SUMIF([1]SA007!$C:$C,'SA007 2025.01-2026.05 '!$D66,[1]SA007!Q:Q)</f>
        <v>630</v>
      </c>
      <c r="AC66" s="19">
        <f t="shared" si="3"/>
        <v>2659</v>
      </c>
      <c r="AD66" s="19">
        <f t="shared" si="4"/>
        <v>156.41176470588235</v>
      </c>
      <c r="AE66" s="20" t="s">
        <v>229</v>
      </c>
      <c r="AG66" s="21">
        <f>SUMIF([1]SO003!$H:$H,'SA007 2025.01-2026.05 '!$D66,[1]SO003!AF:AF)</f>
        <v>0</v>
      </c>
      <c r="AH66" s="21">
        <f>SUMIF([1]SO003!$H:$H,'SA007 2025.01-2026.05 '!$D66,[1]SO003!AH:AH)</f>
        <v>0</v>
      </c>
      <c r="AI66" s="21">
        <f>SUMIF([1]SO003!$H:$H,'SA007 2025.01-2026.05 '!$D66,[1]SO003!AJ:AJ)</f>
        <v>0</v>
      </c>
    </row>
    <row r="67" spans="1:35" ht="11.45" customHeight="1" x14ac:dyDescent="0.55000000000000004">
      <c r="A67" s="2" t="s">
        <v>206</v>
      </c>
      <c r="B67" s="2" t="s">
        <v>61</v>
      </c>
      <c r="C67" s="2" t="s">
        <v>61</v>
      </c>
      <c r="D67" s="2" t="s">
        <v>230</v>
      </c>
      <c r="E67" s="2" t="s">
        <v>115</v>
      </c>
      <c r="F67" s="2" t="s">
        <v>115</v>
      </c>
      <c r="G67" s="3" t="s">
        <v>63</v>
      </c>
      <c r="H67" s="2" t="s">
        <v>64</v>
      </c>
      <c r="I67" s="17">
        <v>1</v>
      </c>
      <c r="J67" s="3">
        <v>370</v>
      </c>
      <c r="K67" s="3">
        <v>610</v>
      </c>
      <c r="L67" s="18">
        <v>1336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966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985</v>
      </c>
      <c r="AA67" s="18">
        <f>SUMIF([1]SA007!$C:$C,'SA007 2025.01-2026.05 '!$D67,[1]SA007!P:P)</f>
        <v>0</v>
      </c>
      <c r="AB67" s="18">
        <f>SUMIF([1]SA007!$C:$C,'SA007 2025.01-2026.05 '!$D67,[1]SA007!Q:Q)</f>
        <v>0</v>
      </c>
      <c r="AC67" s="19">
        <f t="shared" si="3"/>
        <v>3287</v>
      </c>
      <c r="AD67" s="19">
        <f t="shared" si="4"/>
        <v>193.35294117647058</v>
      </c>
      <c r="AE67" s="20" t="s">
        <v>195</v>
      </c>
      <c r="AG67" s="21">
        <f>SUMIF([1]SO003!$H:$H,'SA007 2025.01-2026.05 '!$D67,[1]SO003!AF:AF)</f>
        <v>0</v>
      </c>
      <c r="AH67" s="21">
        <f>SUMIF([1]SO003!$H:$H,'SA007 2025.01-2026.05 '!$D67,[1]SO003!AH:AH)</f>
        <v>0</v>
      </c>
      <c r="AI67" s="21">
        <f>SUMIF([1]SO003!$H:$H,'SA007 2025.01-2026.05 '!$D67,[1]SO003!AJ:AJ)</f>
        <v>0</v>
      </c>
    </row>
    <row r="68" spans="1:35" ht="11.45" customHeight="1" x14ac:dyDescent="0.55000000000000004">
      <c r="A68" s="2" t="s">
        <v>231</v>
      </c>
      <c r="B68" s="2" t="s">
        <v>225</v>
      </c>
      <c r="C68" s="2" t="s">
        <v>225</v>
      </c>
      <c r="D68" s="2" t="s">
        <v>232</v>
      </c>
      <c r="E68" s="2" t="s">
        <v>227</v>
      </c>
      <c r="F68" s="2" t="s">
        <v>227</v>
      </c>
      <c r="G68" s="3" t="s">
        <v>63</v>
      </c>
      <c r="H68" s="2" t="s">
        <v>228</v>
      </c>
      <c r="I68" s="17">
        <v>1</v>
      </c>
      <c r="J68" s="3">
        <v>44</v>
      </c>
      <c r="K68" s="3" t="s">
        <v>41</v>
      </c>
      <c r="L68" s="18">
        <v>0</v>
      </c>
      <c r="M68" s="18">
        <v>450</v>
      </c>
      <c r="N68" s="18">
        <v>0</v>
      </c>
      <c r="O68" s="18">
        <v>414</v>
      </c>
      <c r="P68" s="18">
        <v>0</v>
      </c>
      <c r="Q68" s="18">
        <v>588</v>
      </c>
      <c r="R68" s="18">
        <v>0</v>
      </c>
      <c r="S68" s="18">
        <v>417</v>
      </c>
      <c r="T68" s="18">
        <v>0</v>
      </c>
      <c r="U68" s="18">
        <v>514</v>
      </c>
      <c r="V68" s="18">
        <v>0</v>
      </c>
      <c r="W68" s="18">
        <v>0</v>
      </c>
      <c r="X68" s="18">
        <v>0</v>
      </c>
      <c r="Y68" s="18">
        <v>525</v>
      </c>
      <c r="Z68" s="18">
        <v>0</v>
      </c>
      <c r="AA68" s="18">
        <f>SUMIF([1]SA007!$C:$C,'SA007 2025.01-2026.05 '!$D68,[1]SA007!P:P)</f>
        <v>380</v>
      </c>
      <c r="AB68" s="18">
        <f>SUMIF([1]SA007!$C:$C,'SA007 2025.01-2026.05 '!$D68,[1]SA007!Q:Q)</f>
        <v>0</v>
      </c>
      <c r="AC68" s="19">
        <f t="shared" si="3"/>
        <v>3288</v>
      </c>
      <c r="AD68" s="19">
        <f t="shared" si="4"/>
        <v>193.41176470588235</v>
      </c>
      <c r="AE68" s="20" t="s">
        <v>229</v>
      </c>
      <c r="AG68" s="21">
        <f>SUMIF([1]SO003!$H:$H,'SA007 2025.01-2026.05 '!$D68,[1]SO003!AF:AF)</f>
        <v>500</v>
      </c>
      <c r="AH68" s="21">
        <f>SUMIF([1]SO003!$H:$H,'SA007 2025.01-2026.05 '!$D68,[1]SO003!AH:AH)</f>
        <v>512</v>
      </c>
      <c r="AI68" s="21">
        <f>SUMIF([1]SO003!$H:$H,'SA007 2025.01-2026.05 '!$D68,[1]SO003!AJ:AJ)</f>
        <v>0</v>
      </c>
    </row>
    <row r="69" spans="1:35" ht="11.45" customHeight="1" x14ac:dyDescent="0.55000000000000004">
      <c r="A69" s="2" t="s">
        <v>82</v>
      </c>
      <c r="B69" s="2" t="s">
        <v>77</v>
      </c>
      <c r="C69" s="2" t="s">
        <v>78</v>
      </c>
      <c r="D69" s="2" t="s">
        <v>233</v>
      </c>
      <c r="E69" s="2" t="s">
        <v>234</v>
      </c>
      <c r="F69" s="2" t="s">
        <v>234</v>
      </c>
      <c r="G69" s="3" t="s">
        <v>39</v>
      </c>
      <c r="H69" s="2" t="s">
        <v>235</v>
      </c>
      <c r="I69" s="17">
        <v>1</v>
      </c>
      <c r="J69" s="3">
        <v>61</v>
      </c>
      <c r="K69" s="3" t="s">
        <v>41</v>
      </c>
      <c r="L69" s="18">
        <v>0</v>
      </c>
      <c r="M69" s="18">
        <v>1555</v>
      </c>
      <c r="N69" s="18">
        <v>1144</v>
      </c>
      <c r="O69" s="18">
        <v>1002</v>
      </c>
      <c r="P69" s="18">
        <v>1396</v>
      </c>
      <c r="Q69" s="18">
        <v>0</v>
      </c>
      <c r="R69" s="18">
        <v>1152</v>
      </c>
      <c r="S69" s="18">
        <v>0</v>
      </c>
      <c r="T69" s="18">
        <v>4635</v>
      </c>
      <c r="U69" s="18">
        <v>0</v>
      </c>
      <c r="V69" s="18">
        <v>1659</v>
      </c>
      <c r="W69" s="18">
        <v>845</v>
      </c>
      <c r="X69" s="18">
        <v>2660</v>
      </c>
      <c r="Y69" s="18">
        <v>0</v>
      </c>
      <c r="Z69" s="18">
        <v>2280</v>
      </c>
      <c r="AA69" s="18">
        <f>SUMIF([1]SA007!$C:$C,'SA007 2025.01-2026.05 '!$D69,[1]SA007!P:P)</f>
        <v>0</v>
      </c>
      <c r="AB69" s="18">
        <f>SUMIF([1]SA007!$C:$C,'SA007 2025.01-2026.05 '!$D69,[1]SA007!Q:Q)</f>
        <v>0</v>
      </c>
      <c r="AC69" s="19">
        <f t="shared" si="3"/>
        <v>18328</v>
      </c>
      <c r="AD69" s="19">
        <f t="shared" si="4"/>
        <v>1078.1176470588234</v>
      </c>
      <c r="AE69" s="20" t="s">
        <v>236</v>
      </c>
      <c r="AG69" s="21">
        <f>SUMIF([1]SO003!$H:$H,'SA007 2025.01-2026.05 '!$D69,[1]SO003!AF:AF)</f>
        <v>0</v>
      </c>
      <c r="AH69" s="21">
        <f>SUMIF([1]SO003!$H:$H,'SA007 2025.01-2026.05 '!$D69,[1]SO003!AH:AH)</f>
        <v>0</v>
      </c>
      <c r="AI69" s="21">
        <f>SUMIF([1]SO003!$H:$H,'SA007 2025.01-2026.05 '!$D69,[1]SO003!AJ:AJ)</f>
        <v>0</v>
      </c>
    </row>
    <row r="70" spans="1:35" ht="11.45" customHeight="1" x14ac:dyDescent="0.55000000000000004">
      <c r="A70" s="2" t="s">
        <v>82</v>
      </c>
      <c r="B70" s="2" t="s">
        <v>77</v>
      </c>
      <c r="C70" s="2" t="s">
        <v>78</v>
      </c>
      <c r="D70" s="2" t="s">
        <v>237</v>
      </c>
      <c r="E70" s="2" t="s">
        <v>106</v>
      </c>
      <c r="F70" s="2" t="s">
        <v>106</v>
      </c>
      <c r="G70" s="3" t="s">
        <v>39</v>
      </c>
      <c r="H70" s="2" t="s">
        <v>133</v>
      </c>
      <c r="I70" s="17">
        <v>1</v>
      </c>
      <c r="J70" s="3">
        <v>78</v>
      </c>
      <c r="K70" s="3" t="s">
        <v>41</v>
      </c>
      <c r="L70" s="18">
        <v>0</v>
      </c>
      <c r="M70" s="18">
        <v>993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f>SUMIF([1]SA007!$C:$C,'SA007 2025.01-2026.05 '!$D70,[1]SA007!P:P)</f>
        <v>0</v>
      </c>
      <c r="AB70" s="18">
        <f>SUMIF([1]SA007!$C:$C,'SA007 2025.01-2026.05 '!$D70,[1]SA007!Q:Q)</f>
        <v>0</v>
      </c>
      <c r="AC70" s="19">
        <f t="shared" ref="AC70:AC133" si="5">SUM(L70:AB70)</f>
        <v>993</v>
      </c>
      <c r="AD70" s="19">
        <f t="shared" ref="AD70:AD133" si="6">AVERAGE(L70:AB70)</f>
        <v>58.411764705882355</v>
      </c>
      <c r="AE70" s="20" t="s">
        <v>238</v>
      </c>
      <c r="AG70" s="21">
        <f>SUMIF([1]SO003!$H:$H,'SA007 2025.01-2026.05 '!$D70,[1]SO003!AF:AF)</f>
        <v>0</v>
      </c>
      <c r="AH70" s="21">
        <f>SUMIF([1]SO003!$H:$H,'SA007 2025.01-2026.05 '!$D70,[1]SO003!AH:AH)</f>
        <v>0</v>
      </c>
      <c r="AI70" s="21">
        <f>SUMIF([1]SO003!$H:$H,'SA007 2025.01-2026.05 '!$D70,[1]SO003!AJ:AJ)</f>
        <v>0</v>
      </c>
    </row>
    <row r="71" spans="1:35" ht="11.45" customHeight="1" x14ac:dyDescent="0.55000000000000004">
      <c r="A71" s="2" t="s">
        <v>0</v>
      </c>
      <c r="B71" s="2" t="s">
        <v>77</v>
      </c>
      <c r="C71" s="2" t="s">
        <v>77</v>
      </c>
      <c r="D71" s="2" t="s">
        <v>239</v>
      </c>
      <c r="E71" s="2" t="s">
        <v>240</v>
      </c>
      <c r="F71" s="2" t="s">
        <v>240</v>
      </c>
      <c r="G71" s="3" t="s">
        <v>39</v>
      </c>
      <c r="H71" s="2" t="s">
        <v>241</v>
      </c>
      <c r="I71" s="17">
        <v>1.2</v>
      </c>
      <c r="J71" s="3">
        <v>92</v>
      </c>
      <c r="K71" s="3" t="s">
        <v>41</v>
      </c>
      <c r="L71" s="18">
        <v>0</v>
      </c>
      <c r="M71" s="18">
        <v>124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f>SUMIF([1]SA007!$C:$C,'SA007 2025.01-2026.05 '!$D71,[1]SA007!P:P)</f>
        <v>0</v>
      </c>
      <c r="AB71" s="18">
        <f>SUMIF([1]SA007!$C:$C,'SA007 2025.01-2026.05 '!$D71,[1]SA007!Q:Q)</f>
        <v>0</v>
      </c>
      <c r="AC71" s="19">
        <f t="shared" si="5"/>
        <v>124</v>
      </c>
      <c r="AD71" s="19">
        <f t="shared" si="6"/>
        <v>7.2941176470588234</v>
      </c>
      <c r="AE71" s="20" t="s">
        <v>242</v>
      </c>
      <c r="AG71" s="21">
        <f>SUMIF([1]SO003!$H:$H,'SA007 2025.01-2026.05 '!$D71,[1]SO003!AF:AF)</f>
        <v>0</v>
      </c>
      <c r="AH71" s="21">
        <f>SUMIF([1]SO003!$H:$H,'SA007 2025.01-2026.05 '!$D71,[1]SO003!AH:AH)</f>
        <v>0</v>
      </c>
      <c r="AI71" s="21">
        <f>SUMIF([1]SO003!$H:$H,'SA007 2025.01-2026.05 '!$D71,[1]SO003!AJ:AJ)</f>
        <v>0</v>
      </c>
    </row>
    <row r="72" spans="1:35" x14ac:dyDescent="0.55000000000000004">
      <c r="A72" s="23" t="s">
        <v>219</v>
      </c>
      <c r="B72" s="2" t="s">
        <v>67</v>
      </c>
      <c r="C72" s="2" t="s">
        <v>67</v>
      </c>
      <c r="D72" s="2" t="s">
        <v>243</v>
      </c>
      <c r="E72" s="2" t="s">
        <v>38</v>
      </c>
      <c r="F72" s="2" t="s">
        <v>38</v>
      </c>
      <c r="G72" s="3" t="s">
        <v>57</v>
      </c>
      <c r="H72" s="2" t="s">
        <v>218</v>
      </c>
      <c r="I72" s="17">
        <v>1.2</v>
      </c>
      <c r="J72" s="3">
        <v>172</v>
      </c>
      <c r="K72" s="3" t="s">
        <v>41</v>
      </c>
      <c r="L72" s="18">
        <v>0</v>
      </c>
      <c r="M72" s="18">
        <v>0</v>
      </c>
      <c r="N72" s="18">
        <v>4258</v>
      </c>
      <c r="O72" s="18">
        <v>0</v>
      </c>
      <c r="P72" s="18">
        <v>4505</v>
      </c>
      <c r="Q72" s="18">
        <v>2603</v>
      </c>
      <c r="R72" s="18">
        <v>0</v>
      </c>
      <c r="S72" s="18">
        <v>0</v>
      </c>
      <c r="T72" s="18">
        <v>0</v>
      </c>
      <c r="U72" s="18">
        <v>3827</v>
      </c>
      <c r="V72" s="18">
        <v>0</v>
      </c>
      <c r="W72" s="18">
        <v>1194</v>
      </c>
      <c r="X72" s="18">
        <v>0</v>
      </c>
      <c r="Y72" s="18">
        <v>0</v>
      </c>
      <c r="Z72" s="18">
        <v>0</v>
      </c>
      <c r="AA72" s="18">
        <f>SUMIF([1]SA007!$C:$C,'SA007 2025.01-2026.05 '!$D72,[1]SA007!P:P)</f>
        <v>0</v>
      </c>
      <c r="AB72" s="18">
        <f>SUMIF([1]SA007!$C:$C,'SA007 2025.01-2026.05 '!$D72,[1]SA007!Q:Q)</f>
        <v>0</v>
      </c>
      <c r="AC72" s="19">
        <f t="shared" si="5"/>
        <v>16387</v>
      </c>
      <c r="AD72" s="19">
        <f t="shared" si="6"/>
        <v>963.94117647058829</v>
      </c>
      <c r="AE72" s="20" t="s">
        <v>244</v>
      </c>
      <c r="AG72" s="21">
        <f>SUMIF([1]SO003!$H:$H,'SA007 2025.01-2026.05 '!$D72,[1]SO003!AF:AF)</f>
        <v>0</v>
      </c>
      <c r="AH72" s="21">
        <f>SUMIF([1]SO003!$H:$H,'SA007 2025.01-2026.05 '!$D72,[1]SO003!AH:AH)</f>
        <v>0</v>
      </c>
      <c r="AI72" s="21">
        <f>SUMIF([1]SO003!$H:$H,'SA007 2025.01-2026.05 '!$D72,[1]SO003!AJ:AJ)</f>
        <v>0</v>
      </c>
    </row>
    <row r="73" spans="1:35" x14ac:dyDescent="0.55000000000000004">
      <c r="A73" s="23" t="s">
        <v>219</v>
      </c>
      <c r="B73" s="2" t="s">
        <v>67</v>
      </c>
      <c r="C73" s="2" t="s">
        <v>67</v>
      </c>
      <c r="D73" s="2" t="s">
        <v>245</v>
      </c>
      <c r="E73" s="2" t="s">
        <v>38</v>
      </c>
      <c r="F73" s="2" t="s">
        <v>38</v>
      </c>
      <c r="G73" s="3" t="s">
        <v>57</v>
      </c>
      <c r="H73" s="2" t="s">
        <v>218</v>
      </c>
      <c r="I73" s="17">
        <v>1.2</v>
      </c>
      <c r="J73" s="3">
        <v>195.4</v>
      </c>
      <c r="K73" s="3" t="s">
        <v>41</v>
      </c>
      <c r="L73" s="18">
        <v>0</v>
      </c>
      <c r="M73" s="18">
        <v>0</v>
      </c>
      <c r="N73" s="18">
        <v>5047</v>
      </c>
      <c r="O73" s="18">
        <v>1933</v>
      </c>
      <c r="P73" s="18">
        <v>3575</v>
      </c>
      <c r="Q73" s="18">
        <v>4753</v>
      </c>
      <c r="R73" s="18">
        <v>0</v>
      </c>
      <c r="S73" s="18">
        <v>2199</v>
      </c>
      <c r="T73" s="18">
        <v>0</v>
      </c>
      <c r="U73" s="18">
        <v>2508</v>
      </c>
      <c r="V73" s="18">
        <v>4999</v>
      </c>
      <c r="W73" s="18">
        <v>2069</v>
      </c>
      <c r="X73" s="18">
        <v>0</v>
      </c>
      <c r="Y73" s="18">
        <v>0</v>
      </c>
      <c r="Z73" s="18">
        <v>0</v>
      </c>
      <c r="AA73" s="18">
        <f>SUMIF([1]SA007!$C:$C,'SA007 2025.01-2026.05 '!$D73,[1]SA007!P:P)</f>
        <v>0</v>
      </c>
      <c r="AB73" s="18">
        <f>SUMIF([1]SA007!$C:$C,'SA007 2025.01-2026.05 '!$D73,[1]SA007!Q:Q)</f>
        <v>0</v>
      </c>
      <c r="AC73" s="19">
        <f t="shared" si="5"/>
        <v>27083</v>
      </c>
      <c r="AD73" s="19">
        <f t="shared" si="6"/>
        <v>1593.1176470588234</v>
      </c>
      <c r="AE73" s="20" t="s">
        <v>246</v>
      </c>
      <c r="AG73" s="21">
        <f>SUMIF([1]SO003!$H:$H,'SA007 2025.01-2026.05 '!$D73,[1]SO003!AF:AF)</f>
        <v>0</v>
      </c>
      <c r="AH73" s="21">
        <f>SUMIF([1]SO003!$H:$H,'SA007 2025.01-2026.05 '!$D73,[1]SO003!AH:AH)</f>
        <v>0</v>
      </c>
      <c r="AI73" s="21">
        <f>SUMIF([1]SO003!$H:$H,'SA007 2025.01-2026.05 '!$D73,[1]SO003!AJ:AJ)</f>
        <v>0</v>
      </c>
    </row>
    <row r="74" spans="1:35" x14ac:dyDescent="0.55000000000000004">
      <c r="A74" s="2" t="s">
        <v>247</v>
      </c>
      <c r="B74" s="2" t="s">
        <v>67</v>
      </c>
      <c r="C74" s="2" t="s">
        <v>67</v>
      </c>
      <c r="D74" s="2" t="s">
        <v>248</v>
      </c>
      <c r="E74" s="2" t="s">
        <v>249</v>
      </c>
      <c r="F74" s="2" t="s">
        <v>249</v>
      </c>
      <c r="G74" s="3" t="s">
        <v>57</v>
      </c>
      <c r="H74" s="2" t="s">
        <v>218</v>
      </c>
      <c r="I74" s="17">
        <v>2</v>
      </c>
      <c r="J74" s="3">
        <v>192</v>
      </c>
      <c r="K74" s="3" t="s">
        <v>41</v>
      </c>
      <c r="L74" s="18">
        <v>550</v>
      </c>
      <c r="M74" s="18">
        <v>1156</v>
      </c>
      <c r="N74" s="18">
        <v>1828</v>
      </c>
      <c r="O74" s="18">
        <v>2015</v>
      </c>
      <c r="P74" s="18">
        <v>3144</v>
      </c>
      <c r="Q74" s="18">
        <v>2400</v>
      </c>
      <c r="R74" s="18">
        <v>1090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f>SUMIF([1]SA007!$C:$C,'SA007 2025.01-2026.05 '!$D74,[1]SA007!P:P)</f>
        <v>0</v>
      </c>
      <c r="AB74" s="18">
        <f>SUMIF([1]SA007!$C:$C,'SA007 2025.01-2026.05 '!$D74,[1]SA007!Q:Q)</f>
        <v>0</v>
      </c>
      <c r="AC74" s="19">
        <f t="shared" si="5"/>
        <v>12183</v>
      </c>
      <c r="AD74" s="19">
        <f t="shared" si="6"/>
        <v>716.64705882352939</v>
      </c>
      <c r="AE74" s="20" t="s">
        <v>250</v>
      </c>
      <c r="AG74" s="21">
        <f>SUMIF([1]SO003!$H:$H,'SA007 2025.01-2026.05 '!$D74,[1]SO003!AF:AF)</f>
        <v>0</v>
      </c>
      <c r="AH74" s="21">
        <f>SUMIF([1]SO003!$H:$H,'SA007 2025.01-2026.05 '!$D74,[1]SO003!AH:AH)</f>
        <v>0</v>
      </c>
      <c r="AI74" s="21">
        <f>SUMIF([1]SO003!$H:$H,'SA007 2025.01-2026.05 '!$D74,[1]SO003!AJ:AJ)</f>
        <v>0</v>
      </c>
    </row>
    <row r="75" spans="1:35" ht="11.45" customHeight="1" x14ac:dyDescent="0.55000000000000004">
      <c r="A75" s="2" t="s">
        <v>251</v>
      </c>
      <c r="B75" s="2" t="s">
        <v>77</v>
      </c>
      <c r="C75" s="2" t="s">
        <v>77</v>
      </c>
      <c r="D75" s="2" t="s">
        <v>252</v>
      </c>
      <c r="E75" s="2" t="s">
        <v>240</v>
      </c>
      <c r="F75" s="2" t="s">
        <v>240</v>
      </c>
      <c r="G75" s="3" t="s">
        <v>39</v>
      </c>
      <c r="H75" s="2" t="s">
        <v>241</v>
      </c>
      <c r="I75" s="17">
        <v>1.6</v>
      </c>
      <c r="J75" s="3">
        <v>140</v>
      </c>
      <c r="K75" s="3" t="s">
        <v>41</v>
      </c>
      <c r="L75" s="18">
        <v>0</v>
      </c>
      <c r="M75" s="18">
        <v>426.5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560</v>
      </c>
      <c r="Z75" s="18">
        <v>0</v>
      </c>
      <c r="AA75" s="18">
        <f>SUMIF([1]SA007!$C:$C,'SA007 2025.01-2026.05 '!$D75,[1]SA007!P:P)</f>
        <v>0</v>
      </c>
      <c r="AB75" s="18">
        <f>SUMIF([1]SA007!$C:$C,'SA007 2025.01-2026.05 '!$D75,[1]SA007!Q:Q)</f>
        <v>0</v>
      </c>
      <c r="AC75" s="19">
        <f t="shared" si="5"/>
        <v>986.5</v>
      </c>
      <c r="AD75" s="19">
        <f t="shared" si="6"/>
        <v>58.029411764705884</v>
      </c>
      <c r="AE75" s="20" t="s">
        <v>253</v>
      </c>
      <c r="AG75" s="21">
        <f>SUMIF([1]SO003!$H:$H,'SA007 2025.01-2026.05 '!$D75,[1]SO003!AF:AF)</f>
        <v>0</v>
      </c>
      <c r="AH75" s="21">
        <f>SUMIF([1]SO003!$H:$H,'SA007 2025.01-2026.05 '!$D75,[1]SO003!AH:AH)</f>
        <v>0</v>
      </c>
      <c r="AI75" s="21">
        <f>SUMIF([1]SO003!$H:$H,'SA007 2025.01-2026.05 '!$D75,[1]SO003!AJ:AJ)</f>
        <v>0</v>
      </c>
    </row>
    <row r="76" spans="1:35" ht="11.45" customHeight="1" x14ac:dyDescent="0.55000000000000004">
      <c r="A76" s="2" t="s">
        <v>254</v>
      </c>
      <c r="B76" s="2" t="s">
        <v>44</v>
      </c>
      <c r="C76" s="2" t="s">
        <v>44</v>
      </c>
      <c r="D76" s="2" t="s">
        <v>255</v>
      </c>
      <c r="E76" s="2" t="s">
        <v>256</v>
      </c>
      <c r="F76" s="2" t="s">
        <v>256</v>
      </c>
      <c r="G76" s="3" t="s">
        <v>47</v>
      </c>
      <c r="H76" s="2" t="s">
        <v>257</v>
      </c>
      <c r="I76" s="17">
        <v>1.6</v>
      </c>
      <c r="J76" s="3">
        <v>70</v>
      </c>
      <c r="K76" s="3">
        <v>350</v>
      </c>
      <c r="L76" s="18">
        <v>0</v>
      </c>
      <c r="M76" s="18">
        <v>984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f>SUMIF([1]SA007!$C:$C,'SA007 2025.01-2026.05 '!$D76,[1]SA007!P:P)</f>
        <v>0</v>
      </c>
      <c r="AB76" s="18">
        <f>SUMIF([1]SA007!$C:$C,'SA007 2025.01-2026.05 '!$D76,[1]SA007!Q:Q)</f>
        <v>0</v>
      </c>
      <c r="AC76" s="19">
        <f t="shared" si="5"/>
        <v>984</v>
      </c>
      <c r="AD76" s="19">
        <f t="shared" si="6"/>
        <v>57.882352941176471</v>
      </c>
      <c r="AE76" s="20" t="s">
        <v>48</v>
      </c>
      <c r="AG76" s="21">
        <f>SUMIF([1]SO003!$H:$H,'SA007 2025.01-2026.05 '!$D76,[1]SO003!AF:AF)</f>
        <v>0</v>
      </c>
      <c r="AH76" s="21">
        <f>SUMIF([1]SO003!$H:$H,'SA007 2025.01-2026.05 '!$D76,[1]SO003!AH:AH)</f>
        <v>0</v>
      </c>
      <c r="AI76" s="21">
        <f>SUMIF([1]SO003!$H:$H,'SA007 2025.01-2026.05 '!$D76,[1]SO003!AJ:AJ)</f>
        <v>0</v>
      </c>
    </row>
    <row r="77" spans="1:35" ht="11.45" customHeight="1" x14ac:dyDescent="0.55000000000000004">
      <c r="A77" s="23" t="s">
        <v>219</v>
      </c>
      <c r="C77" s="2" t="s">
        <v>67</v>
      </c>
      <c r="D77" s="2" t="s">
        <v>258</v>
      </c>
      <c r="E77" s="2" t="s">
        <v>38</v>
      </c>
      <c r="G77" s="3" t="s">
        <v>57</v>
      </c>
      <c r="H77" s="2" t="s">
        <v>218</v>
      </c>
      <c r="I77" s="17">
        <v>1.2</v>
      </c>
      <c r="J77" s="3">
        <v>108</v>
      </c>
      <c r="K77" s="3" t="s">
        <v>41</v>
      </c>
      <c r="L77" s="18">
        <v>0</v>
      </c>
      <c r="M77" s="18">
        <v>0</v>
      </c>
      <c r="N77" s="18">
        <v>0</v>
      </c>
      <c r="O77" s="18">
        <v>1077</v>
      </c>
      <c r="P77" s="18">
        <v>10016</v>
      </c>
      <c r="Q77" s="18">
        <v>3929</v>
      </c>
      <c r="R77" s="18">
        <v>2806</v>
      </c>
      <c r="S77" s="18">
        <v>5943</v>
      </c>
      <c r="T77" s="18">
        <v>6568</v>
      </c>
      <c r="U77" s="18">
        <v>0</v>
      </c>
      <c r="V77" s="18">
        <v>4815</v>
      </c>
      <c r="W77" s="18">
        <v>0</v>
      </c>
      <c r="X77" s="18">
        <v>0</v>
      </c>
      <c r="Y77" s="18">
        <v>0</v>
      </c>
      <c r="Z77" s="18">
        <v>0</v>
      </c>
      <c r="AA77" s="18">
        <f>SUMIF([1]SA007!$C:$C,'SA007 2025.01-2026.05 '!$D77,[1]SA007!P:P)</f>
        <v>0</v>
      </c>
      <c r="AB77" s="18">
        <f>SUMIF([1]SA007!$C:$C,'SA007 2025.01-2026.05 '!$D77,[1]SA007!Q:Q)</f>
        <v>0</v>
      </c>
      <c r="AC77" s="19">
        <f t="shared" si="5"/>
        <v>35154</v>
      </c>
      <c r="AD77" s="19">
        <f t="shared" si="6"/>
        <v>2067.8823529411766</v>
      </c>
      <c r="AE77" s="20" t="s">
        <v>259</v>
      </c>
      <c r="AG77" s="21">
        <f>SUMIF([1]SO003!$H:$H,'SA007 2025.01-2026.05 '!$D77,[1]SO003!AF:AF)</f>
        <v>0</v>
      </c>
      <c r="AH77" s="21">
        <f>SUMIF([1]SO003!$H:$H,'SA007 2025.01-2026.05 '!$D77,[1]SO003!AH:AH)</f>
        <v>0</v>
      </c>
      <c r="AI77" s="21">
        <f>SUMIF([1]SO003!$H:$H,'SA007 2025.01-2026.05 '!$D77,[1]SO003!AJ:AJ)</f>
        <v>0</v>
      </c>
    </row>
    <row r="78" spans="1:35" x14ac:dyDescent="0.55000000000000004">
      <c r="A78" s="23" t="s">
        <v>219</v>
      </c>
      <c r="C78" s="2" t="s">
        <v>67</v>
      </c>
      <c r="D78" s="2" t="s">
        <v>260</v>
      </c>
      <c r="E78" s="2" t="s">
        <v>38</v>
      </c>
      <c r="G78" s="3" t="s">
        <v>57</v>
      </c>
      <c r="H78" s="2" t="s">
        <v>218</v>
      </c>
      <c r="I78" s="17">
        <v>1.2</v>
      </c>
      <c r="J78" s="3">
        <v>290.8</v>
      </c>
      <c r="K78" s="3" t="s">
        <v>41</v>
      </c>
      <c r="L78" s="18">
        <v>0</v>
      </c>
      <c r="M78" s="18">
        <v>0</v>
      </c>
      <c r="N78" s="18">
        <v>0</v>
      </c>
      <c r="O78" s="18">
        <v>4543</v>
      </c>
      <c r="P78" s="18">
        <v>0</v>
      </c>
      <c r="Q78" s="18">
        <v>0</v>
      </c>
      <c r="R78" s="18">
        <v>3066</v>
      </c>
      <c r="S78" s="18">
        <v>0</v>
      </c>
      <c r="T78" s="18">
        <v>758</v>
      </c>
      <c r="U78" s="18">
        <v>3059</v>
      </c>
      <c r="V78" s="18">
        <v>6224</v>
      </c>
      <c r="W78" s="18">
        <v>5078</v>
      </c>
      <c r="X78" s="18">
        <v>0</v>
      </c>
      <c r="Y78" s="18">
        <v>0</v>
      </c>
      <c r="Z78" s="18">
        <v>0</v>
      </c>
      <c r="AA78" s="18">
        <f>SUMIF([1]SA007!$C:$C,'SA007 2025.01-2026.05 '!$D78,[1]SA007!P:P)</f>
        <v>0</v>
      </c>
      <c r="AB78" s="18">
        <f>SUMIF([1]SA007!$C:$C,'SA007 2025.01-2026.05 '!$D78,[1]SA007!Q:Q)</f>
        <v>0</v>
      </c>
      <c r="AC78" s="19">
        <f t="shared" si="5"/>
        <v>22728</v>
      </c>
      <c r="AD78" s="19">
        <f t="shared" si="6"/>
        <v>1336.9411764705883</v>
      </c>
      <c r="AE78" s="20" t="s">
        <v>261</v>
      </c>
      <c r="AG78" s="21">
        <f>SUMIF([1]SO003!$H:$H,'SA007 2025.01-2026.05 '!$D78,[1]SO003!AF:AF)</f>
        <v>0</v>
      </c>
      <c r="AH78" s="21">
        <f>SUMIF([1]SO003!$H:$H,'SA007 2025.01-2026.05 '!$D78,[1]SO003!AH:AH)</f>
        <v>0</v>
      </c>
      <c r="AI78" s="21">
        <f>SUMIF([1]SO003!$H:$H,'SA007 2025.01-2026.05 '!$D78,[1]SO003!AJ:AJ)</f>
        <v>0</v>
      </c>
    </row>
    <row r="79" spans="1:35" x14ac:dyDescent="0.55000000000000004">
      <c r="A79" s="2" t="s">
        <v>0</v>
      </c>
      <c r="B79" s="2" t="s">
        <v>149</v>
      </c>
      <c r="C79" s="2" t="s">
        <v>149</v>
      </c>
      <c r="D79" s="2" t="s">
        <v>262</v>
      </c>
      <c r="E79" s="2" t="s">
        <v>38</v>
      </c>
      <c r="F79" s="2" t="s">
        <v>38</v>
      </c>
      <c r="G79" s="3" t="s">
        <v>39</v>
      </c>
      <c r="H79" s="2" t="s">
        <v>263</v>
      </c>
      <c r="I79" s="17">
        <v>1.2</v>
      </c>
      <c r="J79" s="3">
        <v>51</v>
      </c>
      <c r="K79" s="3" t="s">
        <v>41</v>
      </c>
      <c r="L79" s="18">
        <v>1124</v>
      </c>
      <c r="M79" s="18">
        <v>0</v>
      </c>
      <c r="N79" s="18">
        <v>2718</v>
      </c>
      <c r="O79" s="18">
        <v>1212</v>
      </c>
      <c r="P79" s="18">
        <v>0</v>
      </c>
      <c r="Q79" s="18">
        <v>777</v>
      </c>
      <c r="R79" s="18">
        <v>1037</v>
      </c>
      <c r="S79" s="18">
        <v>0</v>
      </c>
      <c r="T79" s="18">
        <v>0</v>
      </c>
      <c r="U79" s="18">
        <v>1016</v>
      </c>
      <c r="V79" s="18">
        <v>1146</v>
      </c>
      <c r="W79" s="18">
        <v>0</v>
      </c>
      <c r="X79" s="18">
        <v>2094</v>
      </c>
      <c r="Y79" s="18">
        <v>0</v>
      </c>
      <c r="Z79" s="18">
        <v>0</v>
      </c>
      <c r="AA79" s="18">
        <f>SUMIF([1]SA007!$C:$C,'SA007 2025.01-2026.05 '!$D79,[1]SA007!P:P)</f>
        <v>939</v>
      </c>
      <c r="AB79" s="18">
        <f>SUMIF([1]SA007!$C:$C,'SA007 2025.01-2026.05 '!$D79,[1]SA007!Q:Q)</f>
        <v>868</v>
      </c>
      <c r="AC79" s="19">
        <f t="shared" si="5"/>
        <v>12931</v>
      </c>
      <c r="AD79" s="19">
        <f t="shared" si="6"/>
        <v>760.64705882352939</v>
      </c>
      <c r="AE79" s="20" t="s">
        <v>264</v>
      </c>
      <c r="AG79" s="21">
        <f>SUMIF([1]SO003!$H:$H,'SA007 2025.01-2026.05 '!$D79,[1]SO003!AF:AF)</f>
        <v>16500</v>
      </c>
      <c r="AH79" s="21">
        <f>SUMIF([1]SO003!$H:$H,'SA007 2025.01-2026.05 '!$D79,[1]SO003!AH:AH)</f>
        <v>2078</v>
      </c>
      <c r="AI79" s="21">
        <f>SUMIF([1]SO003!$H:$H,'SA007 2025.01-2026.05 '!$D79,[1]SO003!AJ:AJ)</f>
        <v>1500</v>
      </c>
    </row>
    <row r="80" spans="1:35" x14ac:dyDescent="0.55000000000000004">
      <c r="A80" s="2" t="s">
        <v>265</v>
      </c>
      <c r="B80" s="2" t="s">
        <v>199</v>
      </c>
      <c r="C80" s="2" t="s">
        <v>199</v>
      </c>
      <c r="D80" s="2" t="s">
        <v>266</v>
      </c>
      <c r="E80" s="2" t="s">
        <v>38</v>
      </c>
      <c r="F80" s="2" t="s">
        <v>38</v>
      </c>
      <c r="G80" s="3" t="s">
        <v>63</v>
      </c>
      <c r="H80" s="2" t="s">
        <v>267</v>
      </c>
      <c r="I80" s="17">
        <v>1.2</v>
      </c>
      <c r="J80" s="3">
        <v>54</v>
      </c>
      <c r="K80" s="3" t="s">
        <v>41</v>
      </c>
      <c r="L80" s="18">
        <v>833</v>
      </c>
      <c r="M80" s="18">
        <v>0</v>
      </c>
      <c r="N80" s="18">
        <v>0</v>
      </c>
      <c r="O80" s="18">
        <v>0</v>
      </c>
      <c r="P80" s="18">
        <v>548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1707</v>
      </c>
      <c r="Z80" s="18">
        <v>0</v>
      </c>
      <c r="AA80" s="18">
        <f>SUMIF([1]SA007!$C:$C,'SA007 2025.01-2026.05 '!$D80,[1]SA007!P:P)</f>
        <v>0</v>
      </c>
      <c r="AB80" s="18">
        <f>SUMIF([1]SA007!$C:$C,'SA007 2025.01-2026.05 '!$D80,[1]SA007!Q:Q)</f>
        <v>0</v>
      </c>
      <c r="AC80" s="19">
        <f t="shared" si="5"/>
        <v>3088</v>
      </c>
      <c r="AD80" s="19">
        <f t="shared" si="6"/>
        <v>181.64705882352942</v>
      </c>
      <c r="AE80" s="20" t="s">
        <v>268</v>
      </c>
      <c r="AG80" s="21">
        <f>SUMIF([1]SO003!$H:$H,'SA007 2025.01-2026.05 '!$D80,[1]SO003!AF:AF)</f>
        <v>0</v>
      </c>
      <c r="AH80" s="21">
        <f>SUMIF([1]SO003!$H:$H,'SA007 2025.01-2026.05 '!$D80,[1]SO003!AH:AH)</f>
        <v>0</v>
      </c>
      <c r="AI80" s="21">
        <f>SUMIF([1]SO003!$H:$H,'SA007 2025.01-2026.05 '!$D80,[1]SO003!AJ:AJ)</f>
        <v>0</v>
      </c>
    </row>
    <row r="81" spans="1:35" x14ac:dyDescent="0.55000000000000004">
      <c r="A81" s="23" t="s">
        <v>219</v>
      </c>
      <c r="B81" s="2" t="s">
        <v>158</v>
      </c>
      <c r="C81" s="2" t="s">
        <v>160</v>
      </c>
      <c r="D81" s="2" t="s">
        <v>269</v>
      </c>
      <c r="E81" s="2" t="s">
        <v>270</v>
      </c>
      <c r="F81" s="2" t="s">
        <v>270</v>
      </c>
      <c r="G81" s="3" t="s">
        <v>57</v>
      </c>
      <c r="H81" s="2" t="s">
        <v>160</v>
      </c>
      <c r="I81" s="17">
        <v>1.2</v>
      </c>
      <c r="J81" s="3">
        <v>1220</v>
      </c>
      <c r="K81" s="3">
        <v>2440</v>
      </c>
      <c r="L81" s="18">
        <v>2755</v>
      </c>
      <c r="M81" s="18">
        <v>1359</v>
      </c>
      <c r="N81" s="18">
        <v>0</v>
      </c>
      <c r="O81" s="18">
        <v>2780</v>
      </c>
      <c r="P81" s="18">
        <v>0</v>
      </c>
      <c r="Q81" s="18">
        <v>2775</v>
      </c>
      <c r="R81" s="18">
        <v>2800</v>
      </c>
      <c r="S81" s="18">
        <v>0</v>
      </c>
      <c r="T81" s="18">
        <v>0</v>
      </c>
      <c r="U81" s="18">
        <v>5750</v>
      </c>
      <c r="V81" s="18">
        <v>5715</v>
      </c>
      <c r="W81" s="18">
        <v>2800</v>
      </c>
      <c r="X81" s="18">
        <v>2810</v>
      </c>
      <c r="Y81" s="18">
        <v>2850</v>
      </c>
      <c r="Z81" s="18">
        <v>8636</v>
      </c>
      <c r="AA81" s="18">
        <f>SUMIF([1]SA007!$C:$C,'SA007 2025.01-2026.05 '!$D81,[1]SA007!P:P)</f>
        <v>5615</v>
      </c>
      <c r="AB81" s="18">
        <f>SUMIF([1]SA007!$C:$C,'SA007 2025.01-2026.05 '!$D81,[1]SA007!Q:Q)</f>
        <v>3145</v>
      </c>
      <c r="AC81" s="19">
        <f t="shared" si="5"/>
        <v>49790</v>
      </c>
      <c r="AD81" s="19">
        <f t="shared" si="6"/>
        <v>2928.8235294117649</v>
      </c>
      <c r="AE81" s="20" t="s">
        <v>271</v>
      </c>
      <c r="AG81" s="21">
        <f>SUMIF([1]SO003!$H:$H,'SA007 2025.01-2026.05 '!$D81,[1]SO003!AF:AF)</f>
        <v>8973.2659199999998</v>
      </c>
      <c r="AH81" s="21">
        <f>SUMIF([1]SO003!$H:$H,'SA007 2025.01-2026.05 '!$D81,[1]SO003!AH:AH)</f>
        <v>8973.2659199999998</v>
      </c>
      <c r="AI81" s="21">
        <f>SUMIF([1]SO003!$H:$H,'SA007 2025.01-2026.05 '!$D81,[1]SO003!AJ:AJ)</f>
        <v>0</v>
      </c>
    </row>
    <row r="82" spans="1:35" ht="11.45" customHeight="1" x14ac:dyDescent="0.55000000000000004">
      <c r="A82" s="2" t="s">
        <v>0</v>
      </c>
      <c r="B82" s="2" t="s">
        <v>77</v>
      </c>
      <c r="C82" s="2" t="s">
        <v>77</v>
      </c>
      <c r="D82" s="2" t="s">
        <v>272</v>
      </c>
      <c r="E82" s="2" t="s">
        <v>240</v>
      </c>
      <c r="F82" s="2" t="s">
        <v>240</v>
      </c>
      <c r="G82" s="3" t="s">
        <v>39</v>
      </c>
      <c r="H82" s="2" t="s">
        <v>273</v>
      </c>
      <c r="I82" s="17">
        <v>1.2</v>
      </c>
      <c r="J82" s="3">
        <v>142.5</v>
      </c>
      <c r="K82" s="3">
        <v>800</v>
      </c>
      <c r="L82" s="18">
        <v>0</v>
      </c>
      <c r="M82" s="18">
        <v>106</v>
      </c>
      <c r="N82" s="18">
        <v>499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930</v>
      </c>
      <c r="Z82" s="18">
        <v>0</v>
      </c>
      <c r="AA82" s="18">
        <f>SUMIF([1]SA007!$C:$C,'SA007 2025.01-2026.05 '!$D82,[1]SA007!P:P)</f>
        <v>0</v>
      </c>
      <c r="AB82" s="18">
        <f>SUMIF([1]SA007!$C:$C,'SA007 2025.01-2026.05 '!$D82,[1]SA007!Q:Q)</f>
        <v>0</v>
      </c>
      <c r="AC82" s="19">
        <f t="shared" si="5"/>
        <v>1535</v>
      </c>
      <c r="AD82" s="19">
        <f t="shared" si="6"/>
        <v>90.294117647058826</v>
      </c>
      <c r="AE82" s="20" t="s">
        <v>274</v>
      </c>
      <c r="AG82" s="21">
        <f>SUMIF([1]SO003!$H:$H,'SA007 2025.01-2026.05 '!$D82,[1]SO003!AF:AF)</f>
        <v>0</v>
      </c>
      <c r="AH82" s="21">
        <f>SUMIF([1]SO003!$H:$H,'SA007 2025.01-2026.05 '!$D82,[1]SO003!AH:AH)</f>
        <v>0</v>
      </c>
      <c r="AI82" s="21">
        <f>SUMIF([1]SO003!$H:$H,'SA007 2025.01-2026.05 '!$D82,[1]SO003!AJ:AJ)</f>
        <v>0</v>
      </c>
    </row>
    <row r="83" spans="1:35" ht="11.45" customHeight="1" x14ac:dyDescent="0.55000000000000004">
      <c r="A83" s="2" t="s">
        <v>0</v>
      </c>
      <c r="B83" s="2" t="s">
        <v>77</v>
      </c>
      <c r="C83" s="2" t="s">
        <v>77</v>
      </c>
      <c r="D83" s="2" t="s">
        <v>275</v>
      </c>
      <c r="E83" s="2" t="s">
        <v>240</v>
      </c>
      <c r="F83" s="2" t="s">
        <v>240</v>
      </c>
      <c r="G83" s="3" t="s">
        <v>39</v>
      </c>
      <c r="H83" s="2" t="s">
        <v>273</v>
      </c>
      <c r="I83" s="17">
        <v>1.2</v>
      </c>
      <c r="J83" s="3">
        <v>180</v>
      </c>
      <c r="K83" s="3">
        <v>535</v>
      </c>
      <c r="L83" s="18">
        <v>0</v>
      </c>
      <c r="M83" s="18">
        <v>239</v>
      </c>
      <c r="N83" s="18">
        <v>37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468</v>
      </c>
      <c r="Z83" s="18">
        <v>0</v>
      </c>
      <c r="AA83" s="18">
        <f>SUMIF([1]SA007!$C:$C,'SA007 2025.01-2026.05 '!$D83,[1]SA007!P:P)</f>
        <v>0</v>
      </c>
      <c r="AB83" s="18">
        <f>SUMIF([1]SA007!$C:$C,'SA007 2025.01-2026.05 '!$D83,[1]SA007!Q:Q)</f>
        <v>0</v>
      </c>
      <c r="AC83" s="19">
        <f t="shared" si="5"/>
        <v>744</v>
      </c>
      <c r="AD83" s="19">
        <f t="shared" si="6"/>
        <v>43.764705882352942</v>
      </c>
      <c r="AE83" s="20" t="s">
        <v>276</v>
      </c>
      <c r="AG83" s="21">
        <f>SUMIF([1]SO003!$H:$H,'SA007 2025.01-2026.05 '!$D83,[1]SO003!AF:AF)</f>
        <v>0</v>
      </c>
      <c r="AH83" s="21">
        <f>SUMIF([1]SO003!$H:$H,'SA007 2025.01-2026.05 '!$D83,[1]SO003!AH:AH)</f>
        <v>0</v>
      </c>
      <c r="AI83" s="21">
        <f>SUMIF([1]SO003!$H:$H,'SA007 2025.01-2026.05 '!$D83,[1]SO003!AJ:AJ)</f>
        <v>0</v>
      </c>
    </row>
    <row r="84" spans="1:35" ht="11.45" customHeight="1" x14ac:dyDescent="0.55000000000000004">
      <c r="A84" s="2" t="s">
        <v>0</v>
      </c>
      <c r="B84" s="2" t="s">
        <v>149</v>
      </c>
      <c r="C84" s="2" t="s">
        <v>149</v>
      </c>
      <c r="D84" s="2" t="s">
        <v>277</v>
      </c>
      <c r="E84" s="2" t="s">
        <v>151</v>
      </c>
      <c r="F84" s="2" t="s">
        <v>151</v>
      </c>
      <c r="G84" s="3" t="s">
        <v>39</v>
      </c>
      <c r="H84" s="2" t="s">
        <v>278</v>
      </c>
      <c r="I84" s="17">
        <v>1.2</v>
      </c>
      <c r="J84" s="3">
        <v>90</v>
      </c>
      <c r="K84" s="3">
        <v>1219</v>
      </c>
      <c r="L84" s="18">
        <v>0</v>
      </c>
      <c r="M84" s="18">
        <v>0</v>
      </c>
      <c r="N84" s="18">
        <v>50</v>
      </c>
      <c r="O84" s="18">
        <v>53</v>
      </c>
      <c r="P84" s="18">
        <v>0</v>
      </c>
      <c r="Q84" s="18">
        <v>0</v>
      </c>
      <c r="R84" s="18">
        <v>52</v>
      </c>
      <c r="S84" s="18">
        <v>0</v>
      </c>
      <c r="T84" s="18">
        <v>0</v>
      </c>
      <c r="U84" s="18">
        <v>52</v>
      </c>
      <c r="V84" s="18">
        <v>0</v>
      </c>
      <c r="W84" s="18">
        <v>52</v>
      </c>
      <c r="X84" s="18">
        <v>0</v>
      </c>
      <c r="Y84" s="18">
        <v>0</v>
      </c>
      <c r="Z84" s="18">
        <v>0</v>
      </c>
      <c r="AA84" s="18">
        <f>SUMIF([1]SA007!$C:$C,'SA007 2025.01-2026.05 '!$D84,[1]SA007!P:P)</f>
        <v>0</v>
      </c>
      <c r="AB84" s="18">
        <f>SUMIF([1]SA007!$C:$C,'SA007 2025.01-2026.05 '!$D84,[1]SA007!Q:Q)</f>
        <v>52</v>
      </c>
      <c r="AC84" s="19">
        <f t="shared" si="5"/>
        <v>311</v>
      </c>
      <c r="AD84" s="19">
        <f t="shared" si="6"/>
        <v>18.294117647058822</v>
      </c>
      <c r="AE84" s="20" t="s">
        <v>279</v>
      </c>
      <c r="AG84" s="21">
        <f>SUMIF([1]SO003!$H:$H,'SA007 2025.01-2026.05 '!$D84,[1]SO003!AF:AF)</f>
        <v>0</v>
      </c>
      <c r="AH84" s="21">
        <f>SUMIF([1]SO003!$H:$H,'SA007 2025.01-2026.05 '!$D84,[1]SO003!AH:AH)</f>
        <v>0</v>
      </c>
      <c r="AI84" s="21">
        <f>SUMIF([1]SO003!$H:$H,'SA007 2025.01-2026.05 '!$D84,[1]SO003!AJ:AJ)</f>
        <v>0</v>
      </c>
    </row>
    <row r="85" spans="1:35" ht="11.45" customHeight="1" x14ac:dyDescent="0.55000000000000004">
      <c r="A85" s="2" t="s">
        <v>280</v>
      </c>
      <c r="B85" s="2" t="s">
        <v>77</v>
      </c>
      <c r="C85" s="2" t="s">
        <v>77</v>
      </c>
      <c r="D85" s="2" t="s">
        <v>281</v>
      </c>
      <c r="E85" s="2" t="s">
        <v>240</v>
      </c>
      <c r="F85" s="2" t="s">
        <v>240</v>
      </c>
      <c r="G85" s="3" t="s">
        <v>39</v>
      </c>
      <c r="H85" s="2" t="s">
        <v>282</v>
      </c>
      <c r="I85" s="17">
        <v>1.5</v>
      </c>
      <c r="J85" s="3">
        <v>113</v>
      </c>
      <c r="K85" s="3" t="s">
        <v>41</v>
      </c>
      <c r="L85" s="18">
        <v>968</v>
      </c>
      <c r="M85" s="18">
        <v>0</v>
      </c>
      <c r="N85" s="18">
        <v>0</v>
      </c>
      <c r="O85" s="18">
        <v>1495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f>SUMIF([1]SA007!$C:$C,'SA007 2025.01-2026.05 '!$D85,[1]SA007!P:P)</f>
        <v>0</v>
      </c>
      <c r="AB85" s="18">
        <f>SUMIF([1]SA007!$C:$C,'SA007 2025.01-2026.05 '!$D85,[1]SA007!Q:Q)</f>
        <v>1903</v>
      </c>
      <c r="AC85" s="19">
        <f t="shared" si="5"/>
        <v>4366</v>
      </c>
      <c r="AD85" s="19">
        <f t="shared" si="6"/>
        <v>256.8235294117647</v>
      </c>
      <c r="AE85" s="20" t="s">
        <v>283</v>
      </c>
      <c r="AG85" s="21">
        <f>SUMIF([1]SO003!$H:$H,'SA007 2025.01-2026.05 '!$D85,[1]SO003!AF:AF)</f>
        <v>0</v>
      </c>
      <c r="AH85" s="21">
        <f>SUMIF([1]SO003!$H:$H,'SA007 2025.01-2026.05 '!$D85,[1]SO003!AH:AH)</f>
        <v>0</v>
      </c>
      <c r="AI85" s="21">
        <f>SUMIF([1]SO003!$H:$H,'SA007 2025.01-2026.05 '!$D85,[1]SO003!AJ:AJ)</f>
        <v>0</v>
      </c>
    </row>
    <row r="86" spans="1:35" ht="11.45" customHeight="1" x14ac:dyDescent="0.55000000000000004">
      <c r="A86" s="2" t="s">
        <v>72</v>
      </c>
      <c r="B86" s="2" t="s">
        <v>284</v>
      </c>
      <c r="C86" s="2" t="s">
        <v>284</v>
      </c>
      <c r="D86" s="2" t="s">
        <v>285</v>
      </c>
      <c r="E86" s="2" t="s">
        <v>38</v>
      </c>
      <c r="F86" s="2" t="s">
        <v>38</v>
      </c>
      <c r="G86" s="3" t="s">
        <v>57</v>
      </c>
      <c r="H86" s="2" t="s">
        <v>286</v>
      </c>
      <c r="I86" s="17">
        <v>1.5</v>
      </c>
      <c r="J86" s="3">
        <v>160</v>
      </c>
      <c r="K86" s="3" t="s">
        <v>41</v>
      </c>
      <c r="L86" s="18">
        <v>3831</v>
      </c>
      <c r="M86" s="18">
        <v>0</v>
      </c>
      <c r="N86" s="18">
        <v>0</v>
      </c>
      <c r="O86" s="18">
        <v>2627</v>
      </c>
      <c r="P86" s="18">
        <v>0</v>
      </c>
      <c r="Q86" s="18">
        <v>1931</v>
      </c>
      <c r="R86" s="18">
        <v>2570</v>
      </c>
      <c r="S86" s="18">
        <v>0</v>
      </c>
      <c r="T86" s="18">
        <v>505</v>
      </c>
      <c r="U86" s="18">
        <v>3401</v>
      </c>
      <c r="V86" s="18">
        <v>0</v>
      </c>
      <c r="W86" s="18">
        <v>1548</v>
      </c>
      <c r="X86" s="18">
        <v>1291</v>
      </c>
      <c r="Y86" s="18">
        <v>0</v>
      </c>
      <c r="Z86" s="18">
        <v>0</v>
      </c>
      <c r="AA86" s="18">
        <f>SUMIF([1]SA007!$C:$C,'SA007 2025.01-2026.05 '!$D86,[1]SA007!P:P)</f>
        <v>4540</v>
      </c>
      <c r="AB86" s="18">
        <f>SUMIF([1]SA007!$C:$C,'SA007 2025.01-2026.05 '!$D86,[1]SA007!Q:Q)</f>
        <v>0</v>
      </c>
      <c r="AC86" s="19">
        <f t="shared" si="5"/>
        <v>22244</v>
      </c>
      <c r="AD86" s="19">
        <f t="shared" si="6"/>
        <v>1308.4705882352941</v>
      </c>
      <c r="AE86" s="20" t="s">
        <v>287</v>
      </c>
      <c r="AG86" s="21">
        <f>SUMIF([1]SO003!$H:$H,'SA007 2025.01-2026.05 '!$D86,[1]SO003!AF:AF)</f>
        <v>6200</v>
      </c>
      <c r="AH86" s="21">
        <f>SUMIF([1]SO003!$H:$H,'SA007 2025.01-2026.05 '!$D86,[1]SO003!AH:AH)</f>
        <v>0</v>
      </c>
      <c r="AI86" s="21">
        <f>SUMIF([1]SO003!$H:$H,'SA007 2025.01-2026.05 '!$D86,[1]SO003!AJ:AJ)</f>
        <v>6200</v>
      </c>
    </row>
    <row r="87" spans="1:35" ht="11.45" customHeight="1" x14ac:dyDescent="0.55000000000000004">
      <c r="A87" s="2" t="s">
        <v>280</v>
      </c>
      <c r="B87" s="2" t="s">
        <v>77</v>
      </c>
      <c r="C87" s="2" t="s">
        <v>77</v>
      </c>
      <c r="D87" s="2" t="s">
        <v>288</v>
      </c>
      <c r="E87" s="2" t="s">
        <v>240</v>
      </c>
      <c r="F87" s="2" t="s">
        <v>240</v>
      </c>
      <c r="G87" s="3" t="s">
        <v>39</v>
      </c>
      <c r="H87" s="2" t="s">
        <v>282</v>
      </c>
      <c r="I87" s="17">
        <v>1.5</v>
      </c>
      <c r="J87" s="3">
        <v>167</v>
      </c>
      <c r="K87" s="3" t="s">
        <v>41</v>
      </c>
      <c r="L87" s="18">
        <v>0</v>
      </c>
      <c r="M87" s="18">
        <v>1178</v>
      </c>
      <c r="N87" s="18">
        <v>0</v>
      </c>
      <c r="O87" s="18">
        <v>0</v>
      </c>
      <c r="P87" s="18">
        <v>684</v>
      </c>
      <c r="Q87" s="18">
        <v>1941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1934</v>
      </c>
      <c r="Z87" s="18">
        <v>0</v>
      </c>
      <c r="AA87" s="18">
        <f>SUMIF([1]SA007!$C:$C,'SA007 2025.01-2026.05 '!$D87,[1]SA007!P:P)</f>
        <v>0</v>
      </c>
      <c r="AB87" s="18">
        <f>SUMIF([1]SA007!$C:$C,'SA007 2025.01-2026.05 '!$D87,[1]SA007!Q:Q)</f>
        <v>2147</v>
      </c>
      <c r="AC87" s="19">
        <f t="shared" si="5"/>
        <v>7884</v>
      </c>
      <c r="AD87" s="19">
        <f t="shared" si="6"/>
        <v>463.76470588235293</v>
      </c>
      <c r="AE87" s="20" t="s">
        <v>289</v>
      </c>
      <c r="AG87" s="21">
        <f>SUMIF([1]SO003!$H:$H,'SA007 2025.01-2026.05 '!$D87,[1]SO003!AF:AF)</f>
        <v>0</v>
      </c>
      <c r="AH87" s="21">
        <f>SUMIF([1]SO003!$H:$H,'SA007 2025.01-2026.05 '!$D87,[1]SO003!AH:AH)</f>
        <v>0</v>
      </c>
      <c r="AI87" s="21">
        <f>SUMIF([1]SO003!$H:$H,'SA007 2025.01-2026.05 '!$D87,[1]SO003!AJ:AJ)</f>
        <v>0</v>
      </c>
    </row>
    <row r="88" spans="1:35" ht="11.45" customHeight="1" x14ac:dyDescent="0.55000000000000004">
      <c r="A88" s="2" t="s">
        <v>280</v>
      </c>
      <c r="B88" s="2" t="s">
        <v>77</v>
      </c>
      <c r="C88" s="2" t="s">
        <v>77</v>
      </c>
      <c r="D88" s="2" t="s">
        <v>290</v>
      </c>
      <c r="E88" s="2" t="s">
        <v>240</v>
      </c>
      <c r="F88" s="2" t="s">
        <v>240</v>
      </c>
      <c r="G88" s="3" t="s">
        <v>39</v>
      </c>
      <c r="H88" s="2" t="s">
        <v>282</v>
      </c>
      <c r="I88" s="17">
        <v>1.5</v>
      </c>
      <c r="J88" s="3">
        <v>210</v>
      </c>
      <c r="K88" s="3" t="s">
        <v>41</v>
      </c>
      <c r="L88" s="18">
        <v>1114.5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1745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1039</v>
      </c>
      <c r="Y88" s="18">
        <v>0</v>
      </c>
      <c r="Z88" s="18">
        <v>0</v>
      </c>
      <c r="AA88" s="18">
        <f>SUMIF([1]SA007!$C:$C,'SA007 2025.01-2026.05 '!$D88,[1]SA007!P:P)</f>
        <v>0</v>
      </c>
      <c r="AB88" s="18">
        <f>SUMIF([1]SA007!$C:$C,'SA007 2025.01-2026.05 '!$D88,[1]SA007!Q:Q)</f>
        <v>0</v>
      </c>
      <c r="AC88" s="19">
        <f t="shared" si="5"/>
        <v>3898.5</v>
      </c>
      <c r="AD88" s="19">
        <f t="shared" si="6"/>
        <v>229.3235294117647</v>
      </c>
      <c r="AE88" s="20" t="s">
        <v>291</v>
      </c>
      <c r="AG88" s="21">
        <f>SUMIF([1]SO003!$H:$H,'SA007 2025.01-2026.05 '!$D88,[1]SO003!AF:AF)</f>
        <v>0</v>
      </c>
      <c r="AH88" s="21">
        <f>SUMIF([1]SO003!$H:$H,'SA007 2025.01-2026.05 '!$D88,[1]SO003!AH:AH)</f>
        <v>0</v>
      </c>
      <c r="AI88" s="21">
        <f>SUMIF([1]SO003!$H:$H,'SA007 2025.01-2026.05 '!$D88,[1]SO003!AJ:AJ)</f>
        <v>0</v>
      </c>
    </row>
    <row r="89" spans="1:35" ht="11.45" customHeight="1" x14ac:dyDescent="0.55000000000000004">
      <c r="A89" s="2" t="s">
        <v>280</v>
      </c>
      <c r="B89" s="2" t="s">
        <v>77</v>
      </c>
      <c r="C89" s="2" t="s">
        <v>77</v>
      </c>
      <c r="D89" s="2" t="s">
        <v>292</v>
      </c>
      <c r="E89" s="2" t="s">
        <v>240</v>
      </c>
      <c r="F89" s="2" t="s">
        <v>240</v>
      </c>
      <c r="G89" s="3" t="s">
        <v>39</v>
      </c>
      <c r="H89" s="2" t="s">
        <v>282</v>
      </c>
      <c r="I89" s="17">
        <v>1.5</v>
      </c>
      <c r="J89" s="3">
        <v>246</v>
      </c>
      <c r="K89" s="3" t="s">
        <v>41</v>
      </c>
      <c r="L89" s="18">
        <v>0</v>
      </c>
      <c r="M89" s="18">
        <v>0</v>
      </c>
      <c r="N89" s="18">
        <v>812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883</v>
      </c>
      <c r="Y89" s="18">
        <v>0</v>
      </c>
      <c r="Z89" s="18">
        <v>0</v>
      </c>
      <c r="AA89" s="18">
        <f>SUMIF([1]SA007!$C:$C,'SA007 2025.01-2026.05 '!$D89,[1]SA007!P:P)</f>
        <v>0</v>
      </c>
      <c r="AB89" s="18">
        <f>SUMIF([1]SA007!$C:$C,'SA007 2025.01-2026.05 '!$D89,[1]SA007!Q:Q)</f>
        <v>0</v>
      </c>
      <c r="AC89" s="19">
        <f t="shared" si="5"/>
        <v>1695</v>
      </c>
      <c r="AD89" s="19">
        <f t="shared" si="6"/>
        <v>99.705882352941174</v>
      </c>
      <c r="AE89" s="20" t="s">
        <v>293</v>
      </c>
      <c r="AG89" s="21">
        <f>SUMIF([1]SO003!$H:$H,'SA007 2025.01-2026.05 '!$D89,[1]SO003!AF:AF)</f>
        <v>0</v>
      </c>
      <c r="AH89" s="21">
        <f>SUMIF([1]SO003!$H:$H,'SA007 2025.01-2026.05 '!$D89,[1]SO003!AH:AH)</f>
        <v>0</v>
      </c>
      <c r="AI89" s="21">
        <f>SUMIF([1]SO003!$H:$H,'SA007 2025.01-2026.05 '!$D89,[1]SO003!AJ:AJ)</f>
        <v>0</v>
      </c>
    </row>
    <row r="90" spans="1:35" ht="11.45" customHeight="1" x14ac:dyDescent="0.55000000000000004">
      <c r="A90" s="2" t="s">
        <v>280</v>
      </c>
      <c r="B90" s="2" t="s">
        <v>77</v>
      </c>
      <c r="C90" s="2" t="s">
        <v>77</v>
      </c>
      <c r="D90" s="2" t="s">
        <v>294</v>
      </c>
      <c r="E90" s="2" t="s">
        <v>240</v>
      </c>
      <c r="F90" s="2" t="s">
        <v>240</v>
      </c>
      <c r="G90" s="3" t="s">
        <v>39</v>
      </c>
      <c r="H90" s="2" t="s">
        <v>282</v>
      </c>
      <c r="I90" s="17">
        <v>1.5</v>
      </c>
      <c r="J90" s="3">
        <v>270</v>
      </c>
      <c r="K90" s="3" t="s">
        <v>41</v>
      </c>
      <c r="L90" s="18">
        <v>0</v>
      </c>
      <c r="M90" s="18">
        <v>0</v>
      </c>
      <c r="N90" s="18">
        <v>1752.5</v>
      </c>
      <c r="O90" s="18">
        <v>0</v>
      </c>
      <c r="P90" s="18">
        <v>0</v>
      </c>
      <c r="Q90" s="18">
        <v>1577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f>SUMIF([1]SA007!$C:$C,'SA007 2025.01-2026.05 '!$D90,[1]SA007!P:P)</f>
        <v>0</v>
      </c>
      <c r="AB90" s="18">
        <f>SUMIF([1]SA007!$C:$C,'SA007 2025.01-2026.05 '!$D90,[1]SA007!Q:Q)</f>
        <v>0</v>
      </c>
      <c r="AC90" s="19">
        <f t="shared" si="5"/>
        <v>3329.5</v>
      </c>
      <c r="AD90" s="19">
        <f t="shared" si="6"/>
        <v>195.85294117647058</v>
      </c>
      <c r="AE90" s="20" t="s">
        <v>242</v>
      </c>
      <c r="AG90" s="21">
        <f>SUMIF([1]SO003!$H:$H,'SA007 2025.01-2026.05 '!$D90,[1]SO003!AF:AF)</f>
        <v>0</v>
      </c>
      <c r="AH90" s="21">
        <f>SUMIF([1]SO003!$H:$H,'SA007 2025.01-2026.05 '!$D90,[1]SO003!AH:AH)</f>
        <v>0</v>
      </c>
      <c r="AI90" s="21">
        <f>SUMIF([1]SO003!$H:$H,'SA007 2025.01-2026.05 '!$D90,[1]SO003!AJ:AJ)</f>
        <v>0</v>
      </c>
    </row>
    <row r="91" spans="1:35" ht="11.45" customHeight="1" x14ac:dyDescent="0.55000000000000004">
      <c r="A91" s="2" t="s">
        <v>280</v>
      </c>
      <c r="B91" s="2" t="s">
        <v>77</v>
      </c>
      <c r="C91" s="2" t="s">
        <v>77</v>
      </c>
      <c r="D91" s="2" t="s">
        <v>295</v>
      </c>
      <c r="E91" s="2" t="s">
        <v>240</v>
      </c>
      <c r="F91" s="2" t="s">
        <v>240</v>
      </c>
      <c r="G91" s="3" t="s">
        <v>39</v>
      </c>
      <c r="H91" s="2" t="s">
        <v>282</v>
      </c>
      <c r="I91" s="17">
        <v>1.5</v>
      </c>
      <c r="J91" s="3">
        <v>81</v>
      </c>
      <c r="K91" s="3" t="s">
        <v>41</v>
      </c>
      <c r="L91" s="18">
        <v>0</v>
      </c>
      <c r="M91" s="18">
        <v>0</v>
      </c>
      <c r="N91" s="18">
        <v>1053.5</v>
      </c>
      <c r="O91" s="18">
        <v>0</v>
      </c>
      <c r="P91" s="18">
        <v>0</v>
      </c>
      <c r="Q91" s="18">
        <v>1425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599</v>
      </c>
      <c r="Y91" s="18">
        <v>0</v>
      </c>
      <c r="Z91" s="18">
        <v>0</v>
      </c>
      <c r="AA91" s="18">
        <f>SUMIF([1]SA007!$C:$C,'SA007 2025.01-2026.05 '!$D91,[1]SA007!P:P)</f>
        <v>0</v>
      </c>
      <c r="AB91" s="18">
        <f>SUMIF([1]SA007!$C:$C,'SA007 2025.01-2026.05 '!$D91,[1]SA007!Q:Q)</f>
        <v>0</v>
      </c>
      <c r="AC91" s="19">
        <f t="shared" si="5"/>
        <v>3077.5</v>
      </c>
      <c r="AD91" s="19">
        <f t="shared" si="6"/>
        <v>181.02941176470588</v>
      </c>
      <c r="AE91" s="20" t="s">
        <v>296</v>
      </c>
      <c r="AG91" s="21">
        <f>SUMIF([1]SO003!$H:$H,'SA007 2025.01-2026.05 '!$D91,[1]SO003!AF:AF)</f>
        <v>0</v>
      </c>
      <c r="AH91" s="21">
        <f>SUMIF([1]SO003!$H:$H,'SA007 2025.01-2026.05 '!$D91,[1]SO003!AH:AH)</f>
        <v>0</v>
      </c>
      <c r="AI91" s="21">
        <f>SUMIF([1]SO003!$H:$H,'SA007 2025.01-2026.05 '!$D91,[1]SO003!AJ:AJ)</f>
        <v>0</v>
      </c>
    </row>
    <row r="92" spans="1:35" ht="11.45" customHeight="1" x14ac:dyDescent="0.55000000000000004">
      <c r="A92" s="2" t="s">
        <v>280</v>
      </c>
      <c r="B92" s="2" t="s">
        <v>77</v>
      </c>
      <c r="C92" s="2" t="s">
        <v>77</v>
      </c>
      <c r="D92" s="2" t="s">
        <v>297</v>
      </c>
      <c r="E92" s="2" t="s">
        <v>240</v>
      </c>
      <c r="F92" s="2" t="s">
        <v>240</v>
      </c>
      <c r="G92" s="3" t="s">
        <v>39</v>
      </c>
      <c r="H92" s="2" t="s">
        <v>282</v>
      </c>
      <c r="I92" s="17">
        <v>1.5</v>
      </c>
      <c r="J92" s="3">
        <v>88</v>
      </c>
      <c r="K92" s="3" t="s">
        <v>41</v>
      </c>
      <c r="L92" s="18">
        <v>1545.5</v>
      </c>
      <c r="M92" s="18">
        <v>0</v>
      </c>
      <c r="N92" s="18">
        <v>0</v>
      </c>
      <c r="O92" s="18">
        <v>0</v>
      </c>
      <c r="P92" s="18">
        <v>1469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f>SUMIF([1]SA007!$C:$C,'SA007 2025.01-2026.05 '!$D92,[1]SA007!P:P)</f>
        <v>0</v>
      </c>
      <c r="AB92" s="18">
        <f>SUMIF([1]SA007!$C:$C,'SA007 2025.01-2026.05 '!$D92,[1]SA007!Q:Q)</f>
        <v>0</v>
      </c>
      <c r="AC92" s="19">
        <f t="shared" si="5"/>
        <v>3014.5</v>
      </c>
      <c r="AD92" s="19">
        <f t="shared" si="6"/>
        <v>177.3235294117647</v>
      </c>
      <c r="AE92" s="20" t="s">
        <v>298</v>
      </c>
      <c r="AG92" s="21">
        <f>SUMIF([1]SO003!$H:$H,'SA007 2025.01-2026.05 '!$D92,[1]SO003!AF:AF)</f>
        <v>0</v>
      </c>
      <c r="AH92" s="21">
        <f>SUMIF([1]SO003!$H:$H,'SA007 2025.01-2026.05 '!$D92,[1]SO003!AH:AH)</f>
        <v>0</v>
      </c>
      <c r="AI92" s="21">
        <f>SUMIF([1]SO003!$H:$H,'SA007 2025.01-2026.05 '!$D92,[1]SO003!AJ:AJ)</f>
        <v>0</v>
      </c>
    </row>
    <row r="93" spans="1:35" ht="11.45" customHeight="1" x14ac:dyDescent="0.55000000000000004">
      <c r="A93" s="2" t="s">
        <v>299</v>
      </c>
      <c r="D93" s="2" t="s">
        <v>300</v>
      </c>
      <c r="E93" s="2" t="s">
        <v>301</v>
      </c>
      <c r="G93" s="3" t="s">
        <v>302</v>
      </c>
      <c r="H93" s="2" t="s">
        <v>303</v>
      </c>
      <c r="I93" s="17">
        <v>1.6</v>
      </c>
      <c r="J93" s="3">
        <v>300</v>
      </c>
      <c r="K93" s="3" t="s">
        <v>304</v>
      </c>
      <c r="L93" s="18">
        <v>988</v>
      </c>
      <c r="M93" s="18">
        <v>0</v>
      </c>
      <c r="N93" s="18">
        <v>1990</v>
      </c>
      <c r="O93" s="18">
        <v>985</v>
      </c>
      <c r="P93" s="18">
        <v>2244</v>
      </c>
      <c r="Q93" s="18">
        <v>1941</v>
      </c>
      <c r="R93" s="18">
        <v>1613</v>
      </c>
      <c r="S93" s="18">
        <v>969</v>
      </c>
      <c r="T93" s="18">
        <v>2268</v>
      </c>
      <c r="U93" s="18">
        <v>1610</v>
      </c>
      <c r="V93" s="18">
        <v>1662</v>
      </c>
      <c r="W93" s="18">
        <v>1771</v>
      </c>
      <c r="X93" s="18">
        <v>1775</v>
      </c>
      <c r="Y93" s="18">
        <v>1374</v>
      </c>
      <c r="Z93" s="18">
        <v>1923</v>
      </c>
      <c r="AA93" s="18">
        <f>SUMIF([1]SA007!$C:$C,'SA007 2025.01-2026.05 '!$D93,[1]SA007!P:P)</f>
        <v>641</v>
      </c>
      <c r="AB93" s="18">
        <f>SUMIF([1]SA007!$C:$C,'SA007 2025.01-2026.05 '!$D93,[1]SA007!Q:Q)</f>
        <v>1292</v>
      </c>
      <c r="AC93" s="19">
        <f t="shared" si="5"/>
        <v>25046</v>
      </c>
      <c r="AD93" s="19">
        <f t="shared" si="6"/>
        <v>1473.2941176470588</v>
      </c>
      <c r="AE93" s="20" t="s">
        <v>305</v>
      </c>
      <c r="AG93" s="21">
        <f>SUMIF([1]SO003!$H:$H,'SA007 2025.01-2026.05 '!$D93,[1]SO003!AF:AF)</f>
        <v>0</v>
      </c>
      <c r="AH93" s="21">
        <f>SUMIF([1]SO003!$H:$H,'SA007 2025.01-2026.05 '!$D93,[1]SO003!AH:AH)</f>
        <v>0</v>
      </c>
      <c r="AI93" s="21">
        <f>SUMIF([1]SO003!$H:$H,'SA007 2025.01-2026.05 '!$D93,[1]SO003!AJ:AJ)</f>
        <v>0</v>
      </c>
    </row>
    <row r="94" spans="1:35" ht="11.45" customHeight="1" x14ac:dyDescent="0.55000000000000004">
      <c r="A94" s="2" t="s">
        <v>171</v>
      </c>
      <c r="B94" s="2" t="s">
        <v>306</v>
      </c>
      <c r="D94" s="2" t="s">
        <v>307</v>
      </c>
      <c r="E94" s="2" t="s">
        <v>101</v>
      </c>
      <c r="G94" s="3" t="s">
        <v>175</v>
      </c>
      <c r="H94" s="2" t="s">
        <v>306</v>
      </c>
      <c r="I94" s="17">
        <v>1.6</v>
      </c>
      <c r="J94" s="3">
        <v>228</v>
      </c>
      <c r="K94" s="3">
        <v>1048.2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f>SUMIF([1]SA007!$C:$C,'SA007 2025.01-2026.05 '!$D94,[1]SA007!P:P)</f>
        <v>0</v>
      </c>
      <c r="AB94" s="18">
        <f>SUMIF([1]SA007!$C:$C,'SA007 2025.01-2026.05 '!$D94,[1]SA007!Q:Q)</f>
        <v>0</v>
      </c>
      <c r="AC94" s="19">
        <f t="shared" si="5"/>
        <v>0</v>
      </c>
      <c r="AD94" s="19">
        <f t="shared" si="6"/>
        <v>0</v>
      </c>
      <c r="AE94" s="20" t="s">
        <v>116</v>
      </c>
      <c r="AG94" s="21">
        <f>SUMIF([1]SO003!$H:$H,'SA007 2025.01-2026.05 '!$D94,[1]SO003!AF:AF)</f>
        <v>0</v>
      </c>
      <c r="AH94" s="21">
        <f>SUMIF([1]SO003!$H:$H,'SA007 2025.01-2026.05 '!$D94,[1]SO003!AH:AH)</f>
        <v>0</v>
      </c>
      <c r="AI94" s="21">
        <f>SUMIF([1]SO003!$H:$H,'SA007 2025.01-2026.05 '!$D94,[1]SO003!AJ:AJ)</f>
        <v>0</v>
      </c>
    </row>
    <row r="95" spans="1:35" ht="11.45" customHeight="1" x14ac:dyDescent="0.55000000000000004">
      <c r="A95" s="2" t="s">
        <v>171</v>
      </c>
      <c r="B95" s="2" t="s">
        <v>306</v>
      </c>
      <c r="D95" s="2" t="s">
        <v>308</v>
      </c>
      <c r="E95" s="2" t="s">
        <v>101</v>
      </c>
      <c r="G95" s="3" t="s">
        <v>175</v>
      </c>
      <c r="H95" s="2" t="s">
        <v>306</v>
      </c>
      <c r="I95" s="17">
        <v>1.6</v>
      </c>
      <c r="J95" s="3">
        <v>115</v>
      </c>
      <c r="K95" s="3">
        <v>852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f>SUMIF([1]SA007!$C:$C,'SA007 2025.01-2026.05 '!$D95,[1]SA007!P:P)</f>
        <v>0</v>
      </c>
      <c r="AB95" s="18">
        <f>SUMIF([1]SA007!$C:$C,'SA007 2025.01-2026.05 '!$D95,[1]SA007!Q:Q)</f>
        <v>0</v>
      </c>
      <c r="AC95" s="19">
        <f t="shared" si="5"/>
        <v>0</v>
      </c>
      <c r="AD95" s="19">
        <f t="shared" si="6"/>
        <v>0</v>
      </c>
      <c r="AE95" s="20" t="s">
        <v>166</v>
      </c>
      <c r="AG95" s="21">
        <f>SUMIF([1]SO003!$H:$H,'SA007 2025.01-2026.05 '!$D95,[1]SO003!AF:AF)</f>
        <v>0</v>
      </c>
      <c r="AH95" s="21">
        <f>SUMIF([1]SO003!$H:$H,'SA007 2025.01-2026.05 '!$D95,[1]SO003!AH:AH)</f>
        <v>0</v>
      </c>
      <c r="AI95" s="21">
        <f>SUMIF([1]SO003!$H:$H,'SA007 2025.01-2026.05 '!$D95,[1]SO003!AJ:AJ)</f>
        <v>0</v>
      </c>
    </row>
    <row r="96" spans="1:35" ht="11.45" customHeight="1" x14ac:dyDescent="0.55000000000000004">
      <c r="A96" s="2" t="s">
        <v>309</v>
      </c>
      <c r="D96" s="22">
        <v>77004088</v>
      </c>
      <c r="E96" s="2" t="s">
        <v>116</v>
      </c>
      <c r="F96" s="2" t="s">
        <v>116</v>
      </c>
      <c r="G96" s="3" t="s">
        <v>63</v>
      </c>
      <c r="H96" s="2" t="s">
        <v>310</v>
      </c>
      <c r="I96" s="17">
        <v>1.6</v>
      </c>
      <c r="J96" s="3">
        <v>95</v>
      </c>
      <c r="K96" s="3">
        <v>1219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f>SUMIF([1]SA007!$C:$C,'SA007 2025.01-2026.05 '!$D96,[1]SA007!P:P)</f>
        <v>0</v>
      </c>
      <c r="AB96" s="18">
        <f>SUMIF([1]SA007!$C:$C,'SA007 2025.01-2026.05 '!$D96,[1]SA007!Q:Q)</f>
        <v>0</v>
      </c>
      <c r="AC96" s="19">
        <f t="shared" si="5"/>
        <v>0</v>
      </c>
      <c r="AD96" s="19">
        <f t="shared" si="6"/>
        <v>0</v>
      </c>
      <c r="AG96" s="21">
        <f>SUMIF([1]SO003!$H:$H,'SA007 2025.01-2026.05 '!$D96,[1]SO003!AF:AF)</f>
        <v>0</v>
      </c>
      <c r="AH96" s="21">
        <f>SUMIF([1]SO003!$H:$H,'SA007 2025.01-2026.05 '!$D96,[1]SO003!AH:AH)</f>
        <v>0</v>
      </c>
      <c r="AI96" s="21">
        <f>SUMIF([1]SO003!$H:$H,'SA007 2025.01-2026.05 '!$D96,[1]SO003!AJ:AJ)</f>
        <v>0</v>
      </c>
    </row>
    <row r="97" spans="1:35" ht="11.45" customHeight="1" x14ac:dyDescent="0.55000000000000004">
      <c r="A97" s="2" t="s">
        <v>309</v>
      </c>
      <c r="D97" s="22">
        <v>77004089</v>
      </c>
      <c r="E97" s="2" t="s">
        <v>116</v>
      </c>
      <c r="F97" s="2" t="s">
        <v>116</v>
      </c>
      <c r="G97" s="3" t="s">
        <v>63</v>
      </c>
      <c r="H97" s="2" t="s">
        <v>310</v>
      </c>
      <c r="I97" s="17">
        <v>1.6</v>
      </c>
      <c r="J97" s="3">
        <v>100</v>
      </c>
      <c r="K97" s="3">
        <v>1219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f>SUMIF([1]SA007!$C:$C,'SA007 2025.01-2026.05 '!$D97,[1]SA007!P:P)</f>
        <v>0</v>
      </c>
      <c r="AB97" s="18">
        <f>SUMIF([1]SA007!$C:$C,'SA007 2025.01-2026.05 '!$D97,[1]SA007!Q:Q)</f>
        <v>0</v>
      </c>
      <c r="AC97" s="19">
        <f t="shared" si="5"/>
        <v>0</v>
      </c>
      <c r="AD97" s="19">
        <f t="shared" si="6"/>
        <v>0</v>
      </c>
      <c r="AG97" s="21">
        <f>SUMIF([1]SO003!$H:$H,'SA007 2025.01-2026.05 '!$D97,[1]SO003!AF:AF)</f>
        <v>0</v>
      </c>
      <c r="AH97" s="21">
        <f>SUMIF([1]SO003!$H:$H,'SA007 2025.01-2026.05 '!$D97,[1]SO003!AH:AH)</f>
        <v>0</v>
      </c>
      <c r="AI97" s="21">
        <f>SUMIF([1]SO003!$H:$H,'SA007 2025.01-2026.05 '!$D97,[1]SO003!AJ:AJ)</f>
        <v>0</v>
      </c>
    </row>
    <row r="98" spans="1:35" ht="11.45" customHeight="1" x14ac:dyDescent="0.55000000000000004">
      <c r="A98" s="2" t="s">
        <v>309</v>
      </c>
      <c r="D98" s="22">
        <v>77004092</v>
      </c>
      <c r="E98" s="2" t="s">
        <v>116</v>
      </c>
      <c r="F98" s="2" t="s">
        <v>116</v>
      </c>
      <c r="G98" s="3" t="s">
        <v>63</v>
      </c>
      <c r="H98" s="2" t="s">
        <v>310</v>
      </c>
      <c r="I98" s="17">
        <v>1.6</v>
      </c>
      <c r="J98" s="3">
        <v>138</v>
      </c>
      <c r="K98" s="3">
        <v>1219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f>SUMIF([1]SA007!$C:$C,'SA007 2025.01-2026.05 '!$D98,[1]SA007!P:P)</f>
        <v>0</v>
      </c>
      <c r="AB98" s="18">
        <f>SUMIF([1]SA007!$C:$C,'SA007 2025.01-2026.05 '!$D98,[1]SA007!Q:Q)</f>
        <v>0</v>
      </c>
      <c r="AC98" s="19">
        <f t="shared" si="5"/>
        <v>0</v>
      </c>
      <c r="AD98" s="19">
        <f t="shared" si="6"/>
        <v>0</v>
      </c>
      <c r="AG98" s="21">
        <f>SUMIF([1]SO003!$H:$H,'SA007 2025.01-2026.05 '!$D98,[1]SO003!AF:AF)</f>
        <v>0</v>
      </c>
      <c r="AH98" s="21">
        <f>SUMIF([1]SO003!$H:$H,'SA007 2025.01-2026.05 '!$D98,[1]SO003!AH:AH)</f>
        <v>0</v>
      </c>
      <c r="AI98" s="21">
        <f>SUMIF([1]SO003!$H:$H,'SA007 2025.01-2026.05 '!$D98,[1]SO003!AJ:AJ)</f>
        <v>0</v>
      </c>
    </row>
    <row r="99" spans="1:35" ht="11.45" customHeight="1" x14ac:dyDescent="0.55000000000000004">
      <c r="A99" s="23" t="s">
        <v>219</v>
      </c>
      <c r="B99" s="2" t="s">
        <v>218</v>
      </c>
      <c r="D99" s="2" t="s">
        <v>311</v>
      </c>
      <c r="E99" s="2" t="s">
        <v>38</v>
      </c>
      <c r="G99" s="3" t="s">
        <v>57</v>
      </c>
      <c r="H99" s="2" t="s">
        <v>218</v>
      </c>
      <c r="I99" s="17">
        <v>1.2</v>
      </c>
      <c r="J99" s="3">
        <v>108</v>
      </c>
      <c r="K99" s="3" t="s">
        <v>41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5252</v>
      </c>
      <c r="V99" s="18">
        <v>0</v>
      </c>
      <c r="W99" s="18">
        <v>7007</v>
      </c>
      <c r="X99" s="18">
        <v>0</v>
      </c>
      <c r="Y99" s="18">
        <v>0</v>
      </c>
      <c r="Z99" s="18">
        <v>0</v>
      </c>
      <c r="AA99" s="18">
        <f>SUMIF([1]SA007!$C:$C,'SA007 2025.01-2026.05 '!$D99,[1]SA007!P:P)</f>
        <v>0</v>
      </c>
      <c r="AB99" s="18">
        <f>SUMIF([1]SA007!$C:$C,'SA007 2025.01-2026.05 '!$D99,[1]SA007!Q:Q)</f>
        <v>0</v>
      </c>
      <c r="AC99" s="19">
        <f t="shared" si="5"/>
        <v>12259</v>
      </c>
      <c r="AD99" s="19">
        <f t="shared" si="6"/>
        <v>721.11764705882354</v>
      </c>
      <c r="AE99" s="20" t="s">
        <v>312</v>
      </c>
      <c r="AG99" s="21">
        <f>SUMIF([1]SO003!$H:$H,'SA007 2025.01-2026.05 '!$D99,[1]SO003!AF:AF)</f>
        <v>0</v>
      </c>
      <c r="AH99" s="21">
        <f>SUMIF([1]SO003!$H:$H,'SA007 2025.01-2026.05 '!$D99,[1]SO003!AH:AH)</f>
        <v>0</v>
      </c>
      <c r="AI99" s="21">
        <f>SUMIF([1]SO003!$H:$H,'SA007 2025.01-2026.05 '!$D99,[1]SO003!AJ:AJ)</f>
        <v>0</v>
      </c>
    </row>
    <row r="100" spans="1:35" ht="11.45" customHeight="1" x14ac:dyDescent="0.55000000000000004">
      <c r="A100" s="2" t="s">
        <v>313</v>
      </c>
      <c r="B100" s="2" t="s">
        <v>218</v>
      </c>
      <c r="D100" s="2" t="s">
        <v>314</v>
      </c>
      <c r="E100" s="2" t="s">
        <v>249</v>
      </c>
      <c r="G100" s="3" t="s">
        <v>57</v>
      </c>
      <c r="H100" s="2" t="s">
        <v>218</v>
      </c>
      <c r="I100" s="17">
        <v>2.2999999999999998</v>
      </c>
      <c r="J100" s="3">
        <v>42</v>
      </c>
      <c r="K100" s="3" t="s">
        <v>315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f>SUMIF([1]SA007!$C:$C,'SA007 2025.01-2026.05 '!$D100,[1]SA007!P:P)</f>
        <v>115</v>
      </c>
      <c r="AB100" s="18">
        <f>SUMIF([1]SA007!$C:$C,'SA007 2025.01-2026.05 '!$D100,[1]SA007!Q:Q)</f>
        <v>0</v>
      </c>
      <c r="AC100" s="19">
        <f t="shared" si="5"/>
        <v>115</v>
      </c>
      <c r="AD100" s="19">
        <f t="shared" si="6"/>
        <v>6.7647058823529411</v>
      </c>
      <c r="AE100" s="20" t="s">
        <v>316</v>
      </c>
      <c r="AG100" s="21">
        <f>SUMIF([1]SO003!$H:$H,'SA007 2025.01-2026.05 '!$D100,[1]SO003!AF:AF)</f>
        <v>0</v>
      </c>
      <c r="AH100" s="21">
        <f>SUMIF([1]SO003!$H:$H,'SA007 2025.01-2026.05 '!$D100,[1]SO003!AH:AH)</f>
        <v>0</v>
      </c>
      <c r="AI100" s="21">
        <f>SUMIF([1]SO003!$H:$H,'SA007 2025.01-2026.05 '!$D100,[1]SO003!AJ:AJ)</f>
        <v>0</v>
      </c>
    </row>
    <row r="101" spans="1:35" ht="11.45" customHeight="1" x14ac:dyDescent="0.55000000000000004">
      <c r="A101" s="2" t="s">
        <v>178</v>
      </c>
      <c r="D101" s="2" t="s">
        <v>317</v>
      </c>
      <c r="E101" s="2" t="s">
        <v>318</v>
      </c>
      <c r="G101" s="3" t="s">
        <v>57</v>
      </c>
      <c r="H101" s="2" t="s">
        <v>218</v>
      </c>
      <c r="I101" s="17">
        <v>1</v>
      </c>
      <c r="J101" s="3">
        <v>127</v>
      </c>
      <c r="K101" s="3" t="s">
        <v>319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f>SUMIF([1]SA007!$C:$C,'SA007 2025.01-2026.05 '!$D101,[1]SA007!P:P)</f>
        <v>0</v>
      </c>
      <c r="AB101" s="18">
        <f>SUMIF([1]SA007!$C:$C,'SA007 2025.01-2026.05 '!$D101,[1]SA007!Q:Q)</f>
        <v>0</v>
      </c>
      <c r="AC101" s="19">
        <f t="shared" si="5"/>
        <v>0</v>
      </c>
      <c r="AD101" s="19">
        <f t="shared" si="6"/>
        <v>0</v>
      </c>
      <c r="AG101" s="21">
        <f>SUMIF([1]SO003!$H:$H,'SA007 2025.01-2026.05 '!$D101,[1]SO003!AF:AF)</f>
        <v>0</v>
      </c>
      <c r="AH101" s="21">
        <f>SUMIF([1]SO003!$H:$H,'SA007 2025.01-2026.05 '!$D101,[1]SO003!AH:AH)</f>
        <v>0</v>
      </c>
      <c r="AI101" s="21">
        <f>SUMIF([1]SO003!$H:$H,'SA007 2025.01-2026.05 '!$D101,[1]SO003!AJ:AJ)</f>
        <v>0</v>
      </c>
    </row>
    <row r="102" spans="1:35" ht="11.45" customHeight="1" x14ac:dyDescent="0.55000000000000004">
      <c r="A102" s="2" t="s">
        <v>212</v>
      </c>
      <c r="D102" s="22" t="s">
        <v>320</v>
      </c>
      <c r="E102" s="2" t="s">
        <v>116</v>
      </c>
      <c r="F102" s="2" t="s">
        <v>116</v>
      </c>
      <c r="G102" s="3" t="s">
        <v>47</v>
      </c>
      <c r="H102" s="2" t="s">
        <v>321</v>
      </c>
      <c r="I102" s="17">
        <v>1.6</v>
      </c>
      <c r="J102" s="3">
        <v>30</v>
      </c>
      <c r="K102" s="3">
        <v>1219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f>SUMIF([1]SA007!$C:$C,'SA007 2025.01-2026.05 '!$D102,[1]SA007!P:P)</f>
        <v>0</v>
      </c>
      <c r="AB102" s="18">
        <f>SUMIF([1]SA007!$C:$C,'SA007 2025.01-2026.05 '!$D102,[1]SA007!Q:Q)</f>
        <v>0</v>
      </c>
      <c r="AC102" s="19">
        <f t="shared" si="5"/>
        <v>0</v>
      </c>
      <c r="AD102" s="19">
        <f t="shared" si="6"/>
        <v>0</v>
      </c>
      <c r="AG102" s="21">
        <f>SUMIF([1]SO003!$H:$H,'SA007 2025.01-2026.05 '!$D102,[1]SO003!AF:AF)</f>
        <v>0</v>
      </c>
      <c r="AH102" s="21">
        <f>SUMIF([1]SO003!$H:$H,'SA007 2025.01-2026.05 '!$D102,[1]SO003!AH:AH)</f>
        <v>0</v>
      </c>
      <c r="AI102" s="21">
        <f>SUMIF([1]SO003!$H:$H,'SA007 2025.01-2026.05 '!$D102,[1]SO003!AJ:AJ)</f>
        <v>0</v>
      </c>
    </row>
    <row r="103" spans="1:35" ht="11.45" customHeight="1" x14ac:dyDescent="0.55000000000000004">
      <c r="A103" s="23" t="s">
        <v>219</v>
      </c>
      <c r="D103" s="2" t="s">
        <v>322</v>
      </c>
      <c r="E103" s="2" t="s">
        <v>38</v>
      </c>
      <c r="G103" s="3" t="s">
        <v>57</v>
      </c>
      <c r="H103" s="2" t="s">
        <v>218</v>
      </c>
      <c r="I103" s="17">
        <v>1.2</v>
      </c>
      <c r="J103" s="3">
        <v>144</v>
      </c>
      <c r="K103" s="3" t="s">
        <v>41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1986</v>
      </c>
      <c r="X103" s="18">
        <v>0</v>
      </c>
      <c r="Y103" s="18">
        <v>0</v>
      </c>
      <c r="Z103" s="18">
        <v>0</v>
      </c>
      <c r="AA103" s="18">
        <f>SUMIF([1]SA007!$C:$C,'SA007 2025.01-2026.05 '!$D103,[1]SA007!P:P)</f>
        <v>0</v>
      </c>
      <c r="AB103" s="18">
        <f>SUMIF([1]SA007!$C:$C,'SA007 2025.01-2026.05 '!$D103,[1]SA007!Q:Q)</f>
        <v>0</v>
      </c>
      <c r="AC103" s="19">
        <f t="shared" si="5"/>
        <v>1986</v>
      </c>
      <c r="AD103" s="19">
        <f t="shared" si="6"/>
        <v>116.82352941176471</v>
      </c>
      <c r="AG103" s="21">
        <f>SUMIF([1]SO003!$H:$H,'SA007 2025.01-2026.05 '!$D103,[1]SO003!AF:AF)</f>
        <v>0</v>
      </c>
      <c r="AH103" s="21">
        <f>SUMIF([1]SO003!$H:$H,'SA007 2025.01-2026.05 '!$D103,[1]SO003!AH:AH)</f>
        <v>0</v>
      </c>
      <c r="AI103" s="21">
        <f>SUMIF([1]SO003!$H:$H,'SA007 2025.01-2026.05 '!$D103,[1]SO003!AJ:AJ)</f>
        <v>0</v>
      </c>
    </row>
    <row r="104" spans="1:35" ht="11.45" customHeight="1" x14ac:dyDescent="0.55000000000000004">
      <c r="A104" s="2" t="s">
        <v>212</v>
      </c>
      <c r="D104" s="22" t="s">
        <v>323</v>
      </c>
      <c r="E104" s="2" t="s">
        <v>116</v>
      </c>
      <c r="F104" s="2" t="s">
        <v>116</v>
      </c>
      <c r="G104" s="3" t="s">
        <v>47</v>
      </c>
      <c r="H104" s="2" t="s">
        <v>321</v>
      </c>
      <c r="I104" s="17">
        <v>1.6</v>
      </c>
      <c r="J104" s="3">
        <v>43</v>
      </c>
      <c r="K104" s="3">
        <v>1219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f>SUMIF([1]SA007!$C:$C,'SA007 2025.01-2026.05 '!$D104,[1]SA007!P:P)</f>
        <v>0</v>
      </c>
      <c r="AB104" s="18">
        <f>SUMIF([1]SA007!$C:$C,'SA007 2025.01-2026.05 '!$D104,[1]SA007!Q:Q)</f>
        <v>0</v>
      </c>
      <c r="AC104" s="19">
        <f t="shared" si="5"/>
        <v>0</v>
      </c>
      <c r="AD104" s="19">
        <f t="shared" si="6"/>
        <v>0</v>
      </c>
      <c r="AG104" s="21">
        <f>SUMIF([1]SO003!$H:$H,'SA007 2025.01-2026.05 '!$D104,[1]SO003!AF:AF)</f>
        <v>0</v>
      </c>
      <c r="AH104" s="21">
        <f>SUMIF([1]SO003!$H:$H,'SA007 2025.01-2026.05 '!$D104,[1]SO003!AH:AH)</f>
        <v>0</v>
      </c>
      <c r="AI104" s="21">
        <f>SUMIF([1]SO003!$H:$H,'SA007 2025.01-2026.05 '!$D104,[1]SO003!AJ:AJ)</f>
        <v>0</v>
      </c>
    </row>
    <row r="105" spans="1:35" ht="11.45" customHeight="1" x14ac:dyDescent="0.55000000000000004">
      <c r="A105" s="23" t="s">
        <v>324</v>
      </c>
      <c r="D105" s="2" t="s">
        <v>325</v>
      </c>
      <c r="E105" s="2" t="s">
        <v>249</v>
      </c>
      <c r="G105" s="3" t="s">
        <v>57</v>
      </c>
      <c r="H105" s="2" t="s">
        <v>218</v>
      </c>
      <c r="I105" s="17">
        <v>1.2</v>
      </c>
      <c r="J105" s="3">
        <v>74.400000000000006</v>
      </c>
      <c r="K105" s="3" t="s">
        <v>326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f>SUMIF([1]SA007!$C:$C,'SA007 2025.01-2026.05 '!$D105,[1]SA007!P:P)</f>
        <v>0</v>
      </c>
      <c r="AB105" s="18">
        <f>SUMIF([1]SA007!$C:$C,'SA007 2025.01-2026.05 '!$D105,[1]SA007!Q:Q)</f>
        <v>0</v>
      </c>
      <c r="AC105" s="19">
        <f t="shared" si="5"/>
        <v>0</v>
      </c>
      <c r="AD105" s="19">
        <f t="shared" si="6"/>
        <v>0</v>
      </c>
      <c r="AG105" s="21">
        <f>SUMIF([1]SO003!$H:$H,'SA007 2025.01-2026.05 '!$D105,[1]SO003!AF:AF)</f>
        <v>0</v>
      </c>
      <c r="AH105" s="21">
        <f>SUMIF([1]SO003!$H:$H,'SA007 2025.01-2026.05 '!$D105,[1]SO003!AH:AH)</f>
        <v>0</v>
      </c>
      <c r="AI105" s="21">
        <f>SUMIF([1]SO003!$H:$H,'SA007 2025.01-2026.05 '!$D105,[1]SO003!AJ:AJ)</f>
        <v>0</v>
      </c>
    </row>
    <row r="106" spans="1:35" ht="11.45" customHeight="1" x14ac:dyDescent="0.55000000000000004">
      <c r="A106" s="23" t="s">
        <v>324</v>
      </c>
      <c r="D106" s="2" t="s">
        <v>327</v>
      </c>
      <c r="E106" s="2" t="s">
        <v>249</v>
      </c>
      <c r="G106" s="3" t="s">
        <v>57</v>
      </c>
      <c r="H106" s="2" t="s">
        <v>218</v>
      </c>
      <c r="I106" s="17">
        <v>1.2</v>
      </c>
      <c r="J106" s="3">
        <v>74.400000000000006</v>
      </c>
      <c r="K106" s="3" t="s">
        <v>326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70</v>
      </c>
      <c r="X106" s="18">
        <v>0</v>
      </c>
      <c r="Y106" s="18">
        <v>0</v>
      </c>
      <c r="Z106" s="18">
        <v>0</v>
      </c>
      <c r="AA106" s="18">
        <f>SUMIF([1]SA007!$C:$C,'SA007 2025.01-2026.05 '!$D106,[1]SA007!P:P)</f>
        <v>0</v>
      </c>
      <c r="AB106" s="18">
        <f>SUMIF([1]SA007!$C:$C,'SA007 2025.01-2026.05 '!$D106,[1]SA007!Q:Q)</f>
        <v>0</v>
      </c>
      <c r="AC106" s="19">
        <f t="shared" si="5"/>
        <v>70</v>
      </c>
      <c r="AD106" s="19">
        <f t="shared" si="6"/>
        <v>4.117647058823529</v>
      </c>
      <c r="AG106" s="21">
        <f>SUMIF([1]SO003!$H:$H,'SA007 2025.01-2026.05 '!$D106,[1]SO003!AF:AF)</f>
        <v>0</v>
      </c>
      <c r="AH106" s="21">
        <f>SUMIF([1]SO003!$H:$H,'SA007 2025.01-2026.05 '!$D106,[1]SO003!AH:AH)</f>
        <v>0</v>
      </c>
      <c r="AI106" s="21">
        <f>SUMIF([1]SO003!$H:$H,'SA007 2025.01-2026.05 '!$D106,[1]SO003!AJ:AJ)</f>
        <v>0</v>
      </c>
    </row>
    <row r="107" spans="1:35" ht="11.45" customHeight="1" x14ac:dyDescent="0.55000000000000004">
      <c r="A107" s="2" t="s">
        <v>53</v>
      </c>
      <c r="B107" s="2" t="s">
        <v>54</v>
      </c>
      <c r="C107" s="2" t="s">
        <v>54</v>
      </c>
      <c r="D107" s="2" t="s">
        <v>328</v>
      </c>
      <c r="E107" s="2" t="s">
        <v>69</v>
      </c>
      <c r="F107" s="2" t="s">
        <v>69</v>
      </c>
      <c r="G107" s="3" t="s">
        <v>57</v>
      </c>
      <c r="H107" s="2" t="s">
        <v>58</v>
      </c>
      <c r="I107" s="17">
        <v>0.5</v>
      </c>
      <c r="J107" s="3">
        <v>175</v>
      </c>
      <c r="K107" s="3">
        <v>1135</v>
      </c>
      <c r="L107" s="18">
        <v>0</v>
      </c>
      <c r="M107" s="18">
        <v>0</v>
      </c>
      <c r="N107" s="18">
        <v>311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f>SUMIF([1]SA007!$C:$C,'SA007 2025.01-2026.05 '!$D107,[1]SA007!P:P)</f>
        <v>0</v>
      </c>
      <c r="AB107" s="18">
        <f>SUMIF([1]SA007!$C:$C,'SA007 2025.01-2026.05 '!$D107,[1]SA007!Q:Q)</f>
        <v>0</v>
      </c>
      <c r="AC107" s="19">
        <f t="shared" si="5"/>
        <v>311</v>
      </c>
      <c r="AD107" s="19">
        <f t="shared" si="6"/>
        <v>18.294117647058822</v>
      </c>
      <c r="AE107" s="20" t="s">
        <v>329</v>
      </c>
      <c r="AG107" s="21">
        <f>SUMIF([1]SO003!$H:$H,'SA007 2025.01-2026.05 '!$D107,[1]SO003!AF:AF)</f>
        <v>0</v>
      </c>
      <c r="AH107" s="21">
        <f>SUMIF([1]SO003!$H:$H,'SA007 2025.01-2026.05 '!$D107,[1]SO003!AH:AH)</f>
        <v>0</v>
      </c>
      <c r="AI107" s="21">
        <f>SUMIF([1]SO003!$H:$H,'SA007 2025.01-2026.05 '!$D107,[1]SO003!AJ:AJ)</f>
        <v>0</v>
      </c>
    </row>
    <row r="108" spans="1:35" ht="11.45" customHeight="1" x14ac:dyDescent="0.55000000000000004">
      <c r="A108" s="2" t="s">
        <v>53</v>
      </c>
      <c r="B108" s="2" t="s">
        <v>54</v>
      </c>
      <c r="C108" s="2" t="s">
        <v>54</v>
      </c>
      <c r="D108" s="2" t="s">
        <v>330</v>
      </c>
      <c r="E108" s="2" t="s">
        <v>69</v>
      </c>
      <c r="F108" s="2" t="s">
        <v>69</v>
      </c>
      <c r="G108" s="3" t="s">
        <v>57</v>
      </c>
      <c r="H108" s="2" t="s">
        <v>58</v>
      </c>
      <c r="I108" s="17">
        <v>0.5</v>
      </c>
      <c r="J108" s="3">
        <v>295.10000000000002</v>
      </c>
      <c r="K108" s="3">
        <v>692.4</v>
      </c>
      <c r="L108" s="18">
        <v>0</v>
      </c>
      <c r="M108" s="18">
        <v>0</v>
      </c>
      <c r="N108" s="18">
        <v>3139</v>
      </c>
      <c r="O108" s="18">
        <v>0</v>
      </c>
      <c r="P108" s="18">
        <v>2351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f>SUMIF([1]SA007!$C:$C,'SA007 2025.01-2026.05 '!$D108,[1]SA007!P:P)</f>
        <v>0</v>
      </c>
      <c r="AB108" s="18">
        <f>SUMIF([1]SA007!$C:$C,'SA007 2025.01-2026.05 '!$D108,[1]SA007!Q:Q)</f>
        <v>0</v>
      </c>
      <c r="AC108" s="19">
        <f t="shared" si="5"/>
        <v>5490</v>
      </c>
      <c r="AD108" s="19">
        <f t="shared" si="6"/>
        <v>322.94117647058823</v>
      </c>
      <c r="AE108" s="20" t="s">
        <v>331</v>
      </c>
      <c r="AG108" s="21">
        <f>SUMIF([1]SO003!$H:$H,'SA007 2025.01-2026.05 '!$D108,[1]SO003!AF:AF)</f>
        <v>0</v>
      </c>
      <c r="AH108" s="21">
        <f>SUMIF([1]SO003!$H:$H,'SA007 2025.01-2026.05 '!$D108,[1]SO003!AH:AH)</f>
        <v>0</v>
      </c>
      <c r="AI108" s="21">
        <f>SUMIF([1]SO003!$H:$H,'SA007 2025.01-2026.05 '!$D108,[1]SO003!AJ:AJ)</f>
        <v>0</v>
      </c>
    </row>
    <row r="109" spans="1:35" ht="11.45" customHeight="1" x14ac:dyDescent="0.55000000000000004">
      <c r="A109" s="2" t="s">
        <v>212</v>
      </c>
      <c r="D109" s="22" t="s">
        <v>332</v>
      </c>
      <c r="E109" s="2" t="s">
        <v>116</v>
      </c>
      <c r="F109" s="2" t="s">
        <v>116</v>
      </c>
      <c r="G109" s="3" t="s">
        <v>47</v>
      </c>
      <c r="H109" s="2" t="s">
        <v>321</v>
      </c>
      <c r="I109" s="17">
        <v>1.6</v>
      </c>
      <c r="J109" s="3">
        <v>50</v>
      </c>
      <c r="K109" s="3">
        <v>1219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f>SUMIF([1]SA007!$C:$C,'SA007 2025.01-2026.05 '!$D109,[1]SA007!P:P)</f>
        <v>0</v>
      </c>
      <c r="AB109" s="18">
        <f>SUMIF([1]SA007!$C:$C,'SA007 2025.01-2026.05 '!$D109,[1]SA007!Q:Q)</f>
        <v>0</v>
      </c>
      <c r="AC109" s="19">
        <f t="shared" si="5"/>
        <v>0</v>
      </c>
      <c r="AD109" s="19">
        <f t="shared" si="6"/>
        <v>0</v>
      </c>
      <c r="AG109" s="21">
        <f>SUMIF([1]SO003!$H:$H,'SA007 2025.01-2026.05 '!$D109,[1]SO003!AF:AF)</f>
        <v>0</v>
      </c>
      <c r="AH109" s="21">
        <f>SUMIF([1]SO003!$H:$H,'SA007 2025.01-2026.05 '!$D109,[1]SO003!AH:AH)</f>
        <v>0</v>
      </c>
      <c r="AI109" s="21">
        <f>SUMIF([1]SO003!$H:$H,'SA007 2025.01-2026.05 '!$D109,[1]SO003!AJ:AJ)</f>
        <v>0</v>
      </c>
    </row>
    <row r="110" spans="1:35" ht="11.45" customHeight="1" x14ac:dyDescent="0.55000000000000004">
      <c r="A110" s="2" t="s">
        <v>212</v>
      </c>
      <c r="D110" s="22" t="s">
        <v>333</v>
      </c>
      <c r="E110" s="2" t="s">
        <v>116</v>
      </c>
      <c r="F110" s="2" t="s">
        <v>116</v>
      </c>
      <c r="G110" s="3" t="s">
        <v>47</v>
      </c>
      <c r="H110" s="2" t="s">
        <v>321</v>
      </c>
      <c r="I110" s="17">
        <v>1.6</v>
      </c>
      <c r="J110" s="3">
        <v>61</v>
      </c>
      <c r="K110" s="3">
        <v>1219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f>SUMIF([1]SA007!$C:$C,'SA007 2025.01-2026.05 '!$D110,[1]SA007!P:P)</f>
        <v>0</v>
      </c>
      <c r="AB110" s="18">
        <f>SUMIF([1]SA007!$C:$C,'SA007 2025.01-2026.05 '!$D110,[1]SA007!Q:Q)</f>
        <v>0</v>
      </c>
      <c r="AC110" s="19">
        <f t="shared" si="5"/>
        <v>0</v>
      </c>
      <c r="AD110" s="19">
        <f t="shared" si="6"/>
        <v>0</v>
      </c>
      <c r="AG110" s="21">
        <f>SUMIF([1]SO003!$H:$H,'SA007 2025.01-2026.05 '!$D110,[1]SO003!AF:AF)</f>
        <v>0</v>
      </c>
      <c r="AH110" s="21">
        <f>SUMIF([1]SO003!$H:$H,'SA007 2025.01-2026.05 '!$D110,[1]SO003!AH:AH)</f>
        <v>0</v>
      </c>
      <c r="AI110" s="21">
        <f>SUMIF([1]SO003!$H:$H,'SA007 2025.01-2026.05 '!$D110,[1]SO003!AJ:AJ)</f>
        <v>0</v>
      </c>
    </row>
    <row r="111" spans="1:35" ht="11.45" customHeight="1" x14ac:dyDescent="0.55000000000000004">
      <c r="A111" s="2" t="s">
        <v>164</v>
      </c>
      <c r="B111" s="2" t="s">
        <v>334</v>
      </c>
      <c r="C111" s="2" t="s">
        <v>334</v>
      </c>
      <c r="D111" s="2" t="s">
        <v>335</v>
      </c>
      <c r="E111" s="2" t="s">
        <v>101</v>
      </c>
      <c r="F111" s="2" t="s">
        <v>101</v>
      </c>
      <c r="G111" s="3" t="s">
        <v>57</v>
      </c>
      <c r="H111" s="2" t="s">
        <v>334</v>
      </c>
      <c r="I111" s="17">
        <v>0.6</v>
      </c>
      <c r="J111" s="3">
        <v>329.2</v>
      </c>
      <c r="K111" s="3">
        <v>656.4</v>
      </c>
      <c r="L111" s="18">
        <v>6106</v>
      </c>
      <c r="M111" s="18">
        <v>6016</v>
      </c>
      <c r="N111" s="18">
        <v>4011</v>
      </c>
      <c r="O111" s="18">
        <v>8990</v>
      </c>
      <c r="P111" s="18">
        <v>9104</v>
      </c>
      <c r="Q111" s="18">
        <v>9215</v>
      </c>
      <c r="R111" s="18">
        <v>12195</v>
      </c>
      <c r="S111" s="18">
        <v>6224</v>
      </c>
      <c r="T111" s="18">
        <v>11690</v>
      </c>
      <c r="U111" s="18">
        <v>10314</v>
      </c>
      <c r="V111" s="18">
        <v>2677</v>
      </c>
      <c r="W111" s="18">
        <v>3102</v>
      </c>
      <c r="X111" s="18">
        <v>9266</v>
      </c>
      <c r="Y111" s="18">
        <v>9280</v>
      </c>
      <c r="Z111" s="18">
        <v>8884</v>
      </c>
      <c r="AA111" s="18">
        <f>SUMIF([1]SA007!$C:$C,'SA007 2025.01-2026.05 '!$D111,[1]SA007!P:P)</f>
        <v>9216</v>
      </c>
      <c r="AB111" s="18">
        <f>SUMIF([1]SA007!$C:$C,'SA007 2025.01-2026.05 '!$D111,[1]SA007!Q:Q)</f>
        <v>9051</v>
      </c>
      <c r="AC111" s="19">
        <f t="shared" si="5"/>
        <v>135341</v>
      </c>
      <c r="AD111" s="19">
        <f t="shared" si="6"/>
        <v>7961.2352941176468</v>
      </c>
      <c r="AE111" s="20" t="s">
        <v>166</v>
      </c>
      <c r="AG111" s="21">
        <f>SUMIF([1]SO003!$H:$H,'SA007 2025.01-2026.05 '!$D111,[1]SO003!AF:AF)</f>
        <v>9159.9228432</v>
      </c>
      <c r="AH111" s="21">
        <f>SUMIF([1]SO003!$H:$H,'SA007 2025.01-2026.05 '!$D111,[1]SO003!AH:AH)</f>
        <v>6106.6152288000003</v>
      </c>
      <c r="AI111" s="21">
        <f>SUMIF([1]SO003!$H:$H,'SA007 2025.01-2026.05 '!$D111,[1]SO003!AJ:AJ)</f>
        <v>3053.3076144000001</v>
      </c>
    </row>
    <row r="112" spans="1:35" ht="11.45" customHeight="1" x14ac:dyDescent="0.55000000000000004">
      <c r="A112" s="2" t="s">
        <v>336</v>
      </c>
      <c r="B112" s="2" t="s">
        <v>334</v>
      </c>
      <c r="C112" s="2" t="s">
        <v>334</v>
      </c>
      <c r="D112" s="2" t="s">
        <v>337</v>
      </c>
      <c r="E112" s="2" t="s">
        <v>101</v>
      </c>
      <c r="F112" s="2" t="s">
        <v>101</v>
      </c>
      <c r="G112" s="3" t="s">
        <v>57</v>
      </c>
      <c r="H112" s="2" t="s">
        <v>334</v>
      </c>
      <c r="I112" s="17">
        <v>0.6</v>
      </c>
      <c r="J112" s="3">
        <v>252.2</v>
      </c>
      <c r="K112" s="3">
        <v>1563.5</v>
      </c>
      <c r="L112" s="18">
        <v>7826</v>
      </c>
      <c r="M112" s="18">
        <v>7139</v>
      </c>
      <c r="N112" s="18">
        <v>10464</v>
      </c>
      <c r="O112" s="18">
        <v>11445</v>
      </c>
      <c r="P112" s="18">
        <v>11739</v>
      </c>
      <c r="Q112" s="18">
        <v>8082</v>
      </c>
      <c r="R112" s="18">
        <v>5254</v>
      </c>
      <c r="S112" s="18">
        <v>6540</v>
      </c>
      <c r="T112" s="18">
        <v>11017</v>
      </c>
      <c r="U112" s="18">
        <v>11462</v>
      </c>
      <c r="V112" s="18">
        <v>4482</v>
      </c>
      <c r="W112" s="18">
        <v>3840</v>
      </c>
      <c r="X112" s="18">
        <v>7308</v>
      </c>
      <c r="Y112" s="18">
        <v>8494</v>
      </c>
      <c r="Z112" s="18">
        <v>7229</v>
      </c>
      <c r="AA112" s="18">
        <f>SUMIF([1]SA007!$C:$C,'SA007 2025.01-2026.05 '!$D112,[1]SA007!P:P)</f>
        <v>7711</v>
      </c>
      <c r="AB112" s="18">
        <f>SUMIF([1]SA007!$C:$C,'SA007 2025.01-2026.05 '!$D112,[1]SA007!Q:Q)</f>
        <v>7837</v>
      </c>
      <c r="AC112" s="19">
        <f t="shared" si="5"/>
        <v>137869</v>
      </c>
      <c r="AD112" s="19">
        <f t="shared" si="6"/>
        <v>8109.9411764705883</v>
      </c>
      <c r="AE112" s="20" t="s">
        <v>166</v>
      </c>
      <c r="AG112" s="21">
        <f>SUMIF([1]SO003!$H:$H,'SA007 2025.01-2026.05 '!$D112,[1]SO003!AF:AF)</f>
        <v>7800.3333953999991</v>
      </c>
      <c r="AH112" s="21">
        <f>SUMIF([1]SO003!$H:$H,'SA007 2025.01-2026.05 '!$D112,[1]SO003!AH:AH)</f>
        <v>0</v>
      </c>
      <c r="AI112" s="21">
        <f>SUMIF([1]SO003!$H:$H,'SA007 2025.01-2026.05 '!$D112,[1]SO003!AJ:AJ)</f>
        <v>7800.3333953999991</v>
      </c>
    </row>
    <row r="113" spans="1:35" ht="11.45" customHeight="1" x14ac:dyDescent="0.55000000000000004">
      <c r="A113" s="2" t="s">
        <v>338</v>
      </c>
      <c r="B113" s="2" t="s">
        <v>334</v>
      </c>
      <c r="C113" s="2" t="s">
        <v>334</v>
      </c>
      <c r="D113" s="2" t="s">
        <v>339</v>
      </c>
      <c r="E113" s="2" t="s">
        <v>101</v>
      </c>
      <c r="F113" s="2" t="s">
        <v>101</v>
      </c>
      <c r="G113" s="3" t="s">
        <v>57</v>
      </c>
      <c r="H113" s="2" t="s">
        <v>334</v>
      </c>
      <c r="I113" s="17">
        <v>0.6</v>
      </c>
      <c r="J113" s="3">
        <v>294.2</v>
      </c>
      <c r="K113" s="3">
        <v>1563.5</v>
      </c>
      <c r="L113" s="18">
        <v>8928</v>
      </c>
      <c r="M113" s="18">
        <v>8942</v>
      </c>
      <c r="N113" s="18">
        <v>8933</v>
      </c>
      <c r="O113" s="18">
        <v>8981</v>
      </c>
      <c r="P113" s="18">
        <v>11894</v>
      </c>
      <c r="Q113" s="18">
        <v>9020</v>
      </c>
      <c r="R113" s="18">
        <v>7336</v>
      </c>
      <c r="S113" s="18">
        <v>7612.04</v>
      </c>
      <c r="T113" s="18">
        <v>15134</v>
      </c>
      <c r="U113" s="18">
        <v>16805</v>
      </c>
      <c r="V113" s="18">
        <v>6592</v>
      </c>
      <c r="W113" s="18">
        <v>4626</v>
      </c>
      <c r="X113" s="18">
        <v>7513</v>
      </c>
      <c r="Y113" s="18">
        <v>10227</v>
      </c>
      <c r="Z113" s="18">
        <v>11564</v>
      </c>
      <c r="AA113" s="18">
        <f>SUMIF([1]SA007!$C:$C,'SA007 2025.01-2026.05 '!$D113,[1]SA007!P:P)</f>
        <v>5888</v>
      </c>
      <c r="AB113" s="18">
        <f>SUMIF([1]SA007!$C:$C,'SA007 2025.01-2026.05 '!$D113,[1]SA007!Q:Q)</f>
        <v>9209</v>
      </c>
      <c r="AC113" s="19">
        <f t="shared" si="5"/>
        <v>159204.03999999998</v>
      </c>
      <c r="AD113" s="19">
        <f t="shared" si="6"/>
        <v>9364.9435294117629</v>
      </c>
      <c r="AE113" s="20" t="s">
        <v>166</v>
      </c>
      <c r="AG113" s="21">
        <f>SUMIF([1]SO003!$H:$H,'SA007 2025.01-2026.05 '!$D113,[1]SO003!AF:AF)</f>
        <v>9099.3579893999995</v>
      </c>
      <c r="AH113" s="21">
        <f>SUMIF([1]SO003!$H:$H,'SA007 2025.01-2026.05 '!$D113,[1]SO003!AH:AH)</f>
        <v>0</v>
      </c>
      <c r="AI113" s="21">
        <f>SUMIF([1]SO003!$H:$H,'SA007 2025.01-2026.05 '!$D113,[1]SO003!AJ:AJ)</f>
        <v>9099.3579893999995</v>
      </c>
    </row>
    <row r="114" spans="1:35" ht="11.45" customHeight="1" x14ac:dyDescent="0.55000000000000004">
      <c r="A114" s="2" t="s">
        <v>336</v>
      </c>
      <c r="B114" s="2" t="s">
        <v>334</v>
      </c>
      <c r="C114" s="2" t="s">
        <v>334</v>
      </c>
      <c r="D114" s="2" t="s">
        <v>340</v>
      </c>
      <c r="E114" s="2" t="s">
        <v>101</v>
      </c>
      <c r="F114" s="2" t="s">
        <v>101</v>
      </c>
      <c r="G114" s="3" t="s">
        <v>57</v>
      </c>
      <c r="H114" s="2" t="s">
        <v>334</v>
      </c>
      <c r="I114" s="17">
        <v>0.6</v>
      </c>
      <c r="J114" s="3">
        <v>252.2</v>
      </c>
      <c r="K114" s="3">
        <v>1512.7</v>
      </c>
      <c r="L114" s="18">
        <v>7603</v>
      </c>
      <c r="M114" s="18">
        <v>6802</v>
      </c>
      <c r="N114" s="18">
        <v>11160</v>
      </c>
      <c r="O114" s="18">
        <v>11350</v>
      </c>
      <c r="P114" s="18">
        <v>11706</v>
      </c>
      <c r="Q114" s="18">
        <v>10265</v>
      </c>
      <c r="R114" s="18">
        <v>6167</v>
      </c>
      <c r="S114" s="18">
        <v>6186</v>
      </c>
      <c r="T114" s="18">
        <v>11286</v>
      </c>
      <c r="U114" s="18">
        <v>15375</v>
      </c>
      <c r="V114" s="18">
        <v>4953</v>
      </c>
      <c r="W114" s="18">
        <v>3819</v>
      </c>
      <c r="X114" s="18">
        <v>5643</v>
      </c>
      <c r="Y114" s="18">
        <v>9073</v>
      </c>
      <c r="Z114" s="18">
        <v>6761</v>
      </c>
      <c r="AA114" s="18">
        <f>SUMIF([1]SA007!$C:$C,'SA007 2025.01-2026.05 '!$D114,[1]SA007!P:P)</f>
        <v>7586</v>
      </c>
      <c r="AB114" s="18">
        <f>SUMIF([1]SA007!$C:$C,'SA007 2025.01-2026.05 '!$D114,[1]SA007!Q:Q)</f>
        <v>7666</v>
      </c>
      <c r="AC114" s="19">
        <f t="shared" si="5"/>
        <v>143401</v>
      </c>
      <c r="AD114" s="19">
        <f t="shared" si="6"/>
        <v>8435.3529411764703</v>
      </c>
      <c r="AE114" s="20" t="s">
        <v>166</v>
      </c>
      <c r="AG114" s="21">
        <f>SUMIF([1]SO003!$H:$H,'SA007 2025.01-2026.05 '!$D114,[1]SO003!AF:AF)</f>
        <v>7546.8911590799999</v>
      </c>
      <c r="AH114" s="21">
        <f>SUMIF([1]SO003!$H:$H,'SA007 2025.01-2026.05 '!$D114,[1]SO003!AH:AH)</f>
        <v>0</v>
      </c>
      <c r="AI114" s="21">
        <f>SUMIF([1]SO003!$H:$H,'SA007 2025.01-2026.05 '!$D114,[1]SO003!AJ:AJ)</f>
        <v>7546.8911590799999</v>
      </c>
    </row>
    <row r="115" spans="1:35" ht="11.45" customHeight="1" x14ac:dyDescent="0.55000000000000004">
      <c r="A115" s="2" t="s">
        <v>338</v>
      </c>
      <c r="B115" s="2" t="s">
        <v>334</v>
      </c>
      <c r="C115" s="2" t="s">
        <v>334</v>
      </c>
      <c r="D115" s="2" t="s">
        <v>341</v>
      </c>
      <c r="E115" s="2" t="s">
        <v>101</v>
      </c>
      <c r="F115" s="2" t="s">
        <v>101</v>
      </c>
      <c r="G115" s="3" t="s">
        <v>57</v>
      </c>
      <c r="H115" s="2" t="s">
        <v>334</v>
      </c>
      <c r="I115" s="17">
        <v>0.6</v>
      </c>
      <c r="J115" s="3">
        <v>294.2</v>
      </c>
      <c r="K115" s="3">
        <v>1512.7</v>
      </c>
      <c r="L115" s="18">
        <v>13319</v>
      </c>
      <c r="M115" s="18">
        <v>8713</v>
      </c>
      <c r="N115" s="18">
        <v>8649</v>
      </c>
      <c r="O115" s="18">
        <v>8722</v>
      </c>
      <c r="P115" s="18">
        <v>12003</v>
      </c>
      <c r="Q115" s="18">
        <v>12212</v>
      </c>
      <c r="R115" s="18">
        <v>7862</v>
      </c>
      <c r="S115" s="18">
        <v>7348</v>
      </c>
      <c r="T115" s="18">
        <v>13490</v>
      </c>
      <c r="U115" s="18">
        <v>13449</v>
      </c>
      <c r="V115" s="18">
        <v>6499</v>
      </c>
      <c r="W115" s="18">
        <v>4484</v>
      </c>
      <c r="X115" s="18">
        <v>7360</v>
      </c>
      <c r="Y115" s="18">
        <v>9201</v>
      </c>
      <c r="Z115" s="18">
        <v>11949</v>
      </c>
      <c r="AA115" s="18">
        <f>SUMIF([1]SA007!$C:$C,'SA007 2025.01-2026.05 '!$D115,[1]SA007!P:P)</f>
        <v>7033</v>
      </c>
      <c r="AB115" s="18">
        <f>SUMIF([1]SA007!$C:$C,'SA007 2025.01-2026.05 '!$D115,[1]SA007!Q:Q)</f>
        <v>7391</v>
      </c>
      <c r="AC115" s="19">
        <f t="shared" si="5"/>
        <v>159684</v>
      </c>
      <c r="AD115" s="19">
        <f t="shared" si="6"/>
        <v>9393.176470588236</v>
      </c>
      <c r="AE115" s="20" t="s">
        <v>166</v>
      </c>
      <c r="AG115" s="21">
        <f>SUMIF([1]SO003!$H:$H,'SA007 2025.01-2026.05 '!$D115,[1]SO003!AF:AF)</f>
        <v>8803.7088778800007</v>
      </c>
      <c r="AH115" s="21">
        <f>SUMIF([1]SO003!$H:$H,'SA007 2025.01-2026.05 '!$D115,[1]SO003!AH:AH)</f>
        <v>0</v>
      </c>
      <c r="AI115" s="21">
        <f>SUMIF([1]SO003!$H:$H,'SA007 2025.01-2026.05 '!$D115,[1]SO003!AJ:AJ)</f>
        <v>8803.7088778800007</v>
      </c>
    </row>
    <row r="116" spans="1:35" ht="11.45" customHeight="1" x14ac:dyDescent="0.55000000000000004">
      <c r="A116" s="2" t="s">
        <v>178</v>
      </c>
      <c r="C116" s="2" t="s">
        <v>54</v>
      </c>
      <c r="D116" s="2" t="s">
        <v>342</v>
      </c>
      <c r="E116" s="2" t="s">
        <v>38</v>
      </c>
      <c r="G116" s="3" t="s">
        <v>57</v>
      </c>
      <c r="H116" s="2" t="s">
        <v>58</v>
      </c>
      <c r="I116" s="17">
        <v>1</v>
      </c>
      <c r="J116" s="3">
        <v>198</v>
      </c>
      <c r="K116" s="3" t="s">
        <v>41</v>
      </c>
      <c r="L116" s="18">
        <v>0</v>
      </c>
      <c r="M116" s="18">
        <v>0</v>
      </c>
      <c r="N116" s="18">
        <v>0</v>
      </c>
      <c r="O116" s="18">
        <v>626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f>SUMIF([1]SA007!$C:$C,'SA007 2025.01-2026.05 '!$D116,[1]SA007!P:P)</f>
        <v>0</v>
      </c>
      <c r="AB116" s="18">
        <f>SUMIF([1]SA007!$C:$C,'SA007 2025.01-2026.05 '!$D116,[1]SA007!Q:Q)</f>
        <v>0</v>
      </c>
      <c r="AC116" s="19">
        <f t="shared" si="5"/>
        <v>626</v>
      </c>
      <c r="AD116" s="19">
        <f t="shared" si="6"/>
        <v>36.823529411764703</v>
      </c>
      <c r="AE116" s="20" t="s">
        <v>343</v>
      </c>
      <c r="AG116" s="21">
        <f>SUMIF([1]SO003!$H:$H,'SA007 2025.01-2026.05 '!$D116,[1]SO003!AF:AF)</f>
        <v>0</v>
      </c>
      <c r="AH116" s="21">
        <f>SUMIF([1]SO003!$H:$H,'SA007 2025.01-2026.05 '!$D116,[1]SO003!AH:AH)</f>
        <v>0</v>
      </c>
      <c r="AI116" s="21">
        <f>SUMIF([1]SO003!$H:$H,'SA007 2025.01-2026.05 '!$D116,[1]SO003!AJ:AJ)</f>
        <v>0</v>
      </c>
    </row>
    <row r="117" spans="1:35" ht="11.45" customHeight="1" x14ac:dyDescent="0.55000000000000004">
      <c r="A117" s="2" t="s">
        <v>53</v>
      </c>
      <c r="B117" s="2" t="s">
        <v>58</v>
      </c>
      <c r="D117" s="2" t="s">
        <v>344</v>
      </c>
      <c r="E117" s="2" t="s">
        <v>69</v>
      </c>
      <c r="G117" s="3" t="s">
        <v>57</v>
      </c>
      <c r="H117" s="2" t="s">
        <v>58</v>
      </c>
      <c r="I117" s="17">
        <v>0.5</v>
      </c>
      <c r="J117" s="3">
        <v>148</v>
      </c>
      <c r="K117" s="3">
        <v>685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f>SUMIF([1]SA007!$C:$C,'SA007 2025.01-2026.05 '!$D117,[1]SA007!P:P)</f>
        <v>0</v>
      </c>
      <c r="AB117" s="18">
        <f>SUMIF([1]SA007!$C:$C,'SA007 2025.01-2026.05 '!$D117,[1]SA007!Q:Q)</f>
        <v>0</v>
      </c>
      <c r="AC117" s="19">
        <f t="shared" si="5"/>
        <v>0</v>
      </c>
      <c r="AD117" s="19">
        <f t="shared" si="6"/>
        <v>0</v>
      </c>
      <c r="AE117" s="20" t="s">
        <v>345</v>
      </c>
      <c r="AG117" s="21">
        <f>SUMIF([1]SO003!$H:$H,'SA007 2025.01-2026.05 '!$D117,[1]SO003!AF:AF)</f>
        <v>0</v>
      </c>
      <c r="AH117" s="21">
        <f>SUMIF([1]SO003!$H:$H,'SA007 2025.01-2026.05 '!$D117,[1]SO003!AH:AH)</f>
        <v>0</v>
      </c>
      <c r="AI117" s="21">
        <f>SUMIF([1]SO003!$H:$H,'SA007 2025.01-2026.05 '!$D117,[1]SO003!AJ:AJ)</f>
        <v>0</v>
      </c>
    </row>
    <row r="118" spans="1:35" x14ac:dyDescent="0.55000000000000004">
      <c r="A118" s="2" t="s">
        <v>164</v>
      </c>
      <c r="B118" s="2" t="s">
        <v>334</v>
      </c>
      <c r="C118" s="2" t="s">
        <v>334</v>
      </c>
      <c r="D118" s="2" t="s">
        <v>346</v>
      </c>
      <c r="E118" s="2" t="s">
        <v>101</v>
      </c>
      <c r="F118" s="2" t="s">
        <v>101</v>
      </c>
      <c r="G118" s="3" t="s">
        <v>57</v>
      </c>
      <c r="H118" s="2" t="s">
        <v>334</v>
      </c>
      <c r="I118" s="17">
        <v>0.6</v>
      </c>
      <c r="J118" s="3">
        <v>63</v>
      </c>
      <c r="K118" s="3">
        <v>1219</v>
      </c>
      <c r="L118" s="18">
        <v>71</v>
      </c>
      <c r="M118" s="18">
        <v>144</v>
      </c>
      <c r="N118" s="18">
        <v>72</v>
      </c>
      <c r="O118" s="18">
        <v>144</v>
      </c>
      <c r="P118" s="18">
        <v>69</v>
      </c>
      <c r="Q118" s="18">
        <v>145</v>
      </c>
      <c r="R118" s="18">
        <v>144</v>
      </c>
      <c r="S118" s="18">
        <v>75</v>
      </c>
      <c r="T118" s="18">
        <v>150</v>
      </c>
      <c r="U118" s="18">
        <v>148</v>
      </c>
      <c r="V118" s="18">
        <v>0</v>
      </c>
      <c r="W118" s="18">
        <v>148</v>
      </c>
      <c r="X118" s="18">
        <v>74</v>
      </c>
      <c r="Y118" s="18">
        <v>132</v>
      </c>
      <c r="Z118" s="18">
        <v>128</v>
      </c>
      <c r="AA118" s="18">
        <f>SUMIF([1]SA007!$C:$C,'SA007 2025.01-2026.05 '!$D118,[1]SA007!P:P)</f>
        <v>144</v>
      </c>
      <c r="AB118" s="18">
        <f>SUMIF([1]SA007!$C:$C,'SA007 2025.01-2026.05 '!$D118,[1]SA007!Q:Q)</f>
        <v>211</v>
      </c>
      <c r="AC118" s="19">
        <f t="shared" si="5"/>
        <v>1999</v>
      </c>
      <c r="AD118" s="19">
        <f t="shared" si="6"/>
        <v>117.58823529411765</v>
      </c>
      <c r="AE118" s="20" t="s">
        <v>166</v>
      </c>
      <c r="AG118" s="21">
        <f>SUMIF([1]SO003!$H:$H,'SA007 2025.01-2026.05 '!$D118,[1]SO003!AF:AF)</f>
        <v>144.68554799999998</v>
      </c>
      <c r="AH118" s="21">
        <f>SUMIF([1]SO003!$H:$H,'SA007 2025.01-2026.05 '!$D118,[1]SO003!AH:AH)</f>
        <v>144.68554799999998</v>
      </c>
      <c r="AI118" s="21">
        <f>SUMIF([1]SO003!$H:$H,'SA007 2025.01-2026.05 '!$D118,[1]SO003!AJ:AJ)</f>
        <v>0</v>
      </c>
    </row>
    <row r="119" spans="1:35" ht="11.45" customHeight="1" x14ac:dyDescent="0.55000000000000004">
      <c r="A119" s="2" t="s">
        <v>347</v>
      </c>
      <c r="B119" s="2" t="s">
        <v>199</v>
      </c>
      <c r="C119" s="2" t="s">
        <v>199</v>
      </c>
      <c r="D119" s="2" t="s">
        <v>348</v>
      </c>
      <c r="E119" s="2" t="s">
        <v>101</v>
      </c>
      <c r="F119" s="2" t="s">
        <v>101</v>
      </c>
      <c r="G119" s="3" t="s">
        <v>63</v>
      </c>
      <c r="H119" s="2" t="s">
        <v>199</v>
      </c>
      <c r="I119" s="17">
        <v>0.5</v>
      </c>
      <c r="J119" s="3">
        <v>60</v>
      </c>
      <c r="K119" s="3" t="s">
        <v>41</v>
      </c>
      <c r="L119" s="18">
        <v>0</v>
      </c>
      <c r="M119" s="18">
        <v>101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104</v>
      </c>
      <c r="T119" s="18">
        <v>0</v>
      </c>
      <c r="U119" s="18">
        <v>0</v>
      </c>
      <c r="V119" s="18">
        <v>72</v>
      </c>
      <c r="W119" s="18">
        <v>0</v>
      </c>
      <c r="X119" s="18">
        <v>0</v>
      </c>
      <c r="Y119" s="18">
        <v>0</v>
      </c>
      <c r="Z119" s="18">
        <v>80</v>
      </c>
      <c r="AA119" s="18">
        <f>SUMIF([1]SA007!$C:$C,'SA007 2025.01-2026.05 '!$D119,[1]SA007!P:P)</f>
        <v>0</v>
      </c>
      <c r="AB119" s="18">
        <f>SUMIF([1]SA007!$C:$C,'SA007 2025.01-2026.05 '!$D119,[1]SA007!Q:Q)</f>
        <v>0</v>
      </c>
      <c r="AC119" s="19">
        <f t="shared" si="5"/>
        <v>357</v>
      </c>
      <c r="AD119" s="19">
        <f t="shared" si="6"/>
        <v>21</v>
      </c>
      <c r="AE119" s="20" t="s">
        <v>116</v>
      </c>
      <c r="AG119" s="21">
        <f>SUMIF([1]SO003!$H:$H,'SA007 2025.01-2026.05 '!$D119,[1]SO003!AF:AF)</f>
        <v>0</v>
      </c>
      <c r="AH119" s="21">
        <f>SUMIF([1]SO003!$H:$H,'SA007 2025.01-2026.05 '!$D119,[1]SO003!AH:AH)</f>
        <v>0</v>
      </c>
      <c r="AI119" s="21">
        <f>SUMIF([1]SO003!$H:$H,'SA007 2025.01-2026.05 '!$D119,[1]SO003!AJ:AJ)</f>
        <v>0</v>
      </c>
    </row>
    <row r="120" spans="1:35" ht="11.45" customHeight="1" x14ac:dyDescent="0.55000000000000004">
      <c r="A120" s="2" t="s">
        <v>347</v>
      </c>
      <c r="B120" s="2" t="s">
        <v>199</v>
      </c>
      <c r="C120" s="2" t="s">
        <v>199</v>
      </c>
      <c r="D120" s="2" t="s">
        <v>349</v>
      </c>
      <c r="E120" s="2" t="s">
        <v>101</v>
      </c>
      <c r="F120" s="2" t="s">
        <v>101</v>
      </c>
      <c r="G120" s="3" t="s">
        <v>63</v>
      </c>
      <c r="H120" s="2" t="s">
        <v>199</v>
      </c>
      <c r="I120" s="17">
        <v>0.5</v>
      </c>
      <c r="J120" s="3">
        <v>80</v>
      </c>
      <c r="K120" s="3" t="s">
        <v>41</v>
      </c>
      <c r="L120" s="18">
        <v>0</v>
      </c>
      <c r="M120" s="18">
        <v>270</v>
      </c>
      <c r="N120" s="18">
        <v>52</v>
      </c>
      <c r="O120" s="18">
        <v>0</v>
      </c>
      <c r="P120" s="18">
        <v>189</v>
      </c>
      <c r="Q120" s="18">
        <v>0</v>
      </c>
      <c r="R120" s="18">
        <v>175</v>
      </c>
      <c r="S120" s="18">
        <v>0</v>
      </c>
      <c r="T120" s="18">
        <v>112</v>
      </c>
      <c r="U120" s="18">
        <v>270</v>
      </c>
      <c r="V120" s="18">
        <v>202</v>
      </c>
      <c r="W120" s="18">
        <v>98</v>
      </c>
      <c r="X120" s="18">
        <v>0</v>
      </c>
      <c r="Y120" s="18">
        <v>215</v>
      </c>
      <c r="Z120" s="18">
        <v>0</v>
      </c>
      <c r="AA120" s="18">
        <f>SUMIF([1]SA007!$C:$C,'SA007 2025.01-2026.05 '!$D120,[1]SA007!P:P)</f>
        <v>0</v>
      </c>
      <c r="AB120" s="18">
        <f>SUMIF([1]SA007!$C:$C,'SA007 2025.01-2026.05 '!$D120,[1]SA007!Q:Q)</f>
        <v>0</v>
      </c>
      <c r="AC120" s="19">
        <f t="shared" si="5"/>
        <v>1583</v>
      </c>
      <c r="AD120" s="19">
        <f t="shared" si="6"/>
        <v>93.117647058823536</v>
      </c>
      <c r="AE120" s="20" t="s">
        <v>116</v>
      </c>
      <c r="AG120" s="21">
        <f>SUMIF([1]SO003!$H:$H,'SA007 2025.01-2026.05 '!$D120,[1]SO003!AF:AF)</f>
        <v>0</v>
      </c>
      <c r="AH120" s="21">
        <f>SUMIF([1]SO003!$H:$H,'SA007 2025.01-2026.05 '!$D120,[1]SO003!AH:AH)</f>
        <v>0</v>
      </c>
      <c r="AI120" s="21">
        <f>SUMIF([1]SO003!$H:$H,'SA007 2025.01-2026.05 '!$D120,[1]SO003!AJ:AJ)</f>
        <v>0</v>
      </c>
    </row>
    <row r="121" spans="1:35" ht="11.45" customHeight="1" x14ac:dyDescent="0.55000000000000004">
      <c r="A121" s="2" t="s">
        <v>347</v>
      </c>
      <c r="B121" s="2" t="s">
        <v>199</v>
      </c>
      <c r="C121" s="2" t="s">
        <v>199</v>
      </c>
      <c r="D121" s="2" t="s">
        <v>350</v>
      </c>
      <c r="E121" s="2" t="s">
        <v>101</v>
      </c>
      <c r="F121" s="2" t="s">
        <v>101</v>
      </c>
      <c r="G121" s="3" t="s">
        <v>63</v>
      </c>
      <c r="H121" s="2" t="s">
        <v>199</v>
      </c>
      <c r="I121" s="17">
        <v>0.5</v>
      </c>
      <c r="J121" s="3">
        <v>80</v>
      </c>
      <c r="K121" s="3" t="s">
        <v>208</v>
      </c>
      <c r="L121" s="18">
        <v>200</v>
      </c>
      <c r="M121" s="18">
        <v>0</v>
      </c>
      <c r="N121" s="18">
        <v>0</v>
      </c>
      <c r="O121" s="18">
        <v>0</v>
      </c>
      <c r="P121" s="18">
        <v>0</v>
      </c>
      <c r="Q121" s="18">
        <v>170</v>
      </c>
      <c r="R121" s="18">
        <v>0</v>
      </c>
      <c r="S121" s="18">
        <v>170</v>
      </c>
      <c r="T121" s="18">
        <v>0</v>
      </c>
      <c r="U121" s="18">
        <v>0</v>
      </c>
      <c r="V121" s="18">
        <v>0</v>
      </c>
      <c r="W121" s="18">
        <v>0</v>
      </c>
      <c r="X121" s="18">
        <v>50</v>
      </c>
      <c r="Y121" s="18">
        <v>0</v>
      </c>
      <c r="Z121" s="18">
        <v>0</v>
      </c>
      <c r="AA121" s="18">
        <f>SUMIF([1]SA007!$C:$C,'SA007 2025.01-2026.05 '!$D121,[1]SA007!P:P)</f>
        <v>0</v>
      </c>
      <c r="AB121" s="18">
        <f>SUMIF([1]SA007!$C:$C,'SA007 2025.01-2026.05 '!$D121,[1]SA007!Q:Q)</f>
        <v>0</v>
      </c>
      <c r="AC121" s="19">
        <f t="shared" si="5"/>
        <v>590</v>
      </c>
      <c r="AD121" s="19">
        <f t="shared" si="6"/>
        <v>34.705882352941174</v>
      </c>
      <c r="AE121" s="20" t="s">
        <v>116</v>
      </c>
      <c r="AG121" s="21">
        <f>SUMIF([1]SO003!$H:$H,'SA007 2025.01-2026.05 '!$D121,[1]SO003!AF:AF)</f>
        <v>0</v>
      </c>
      <c r="AH121" s="21">
        <f>SUMIF([1]SO003!$H:$H,'SA007 2025.01-2026.05 '!$D121,[1]SO003!AH:AH)</f>
        <v>0</v>
      </c>
      <c r="AI121" s="21">
        <f>SUMIF([1]SO003!$H:$H,'SA007 2025.01-2026.05 '!$D121,[1]SO003!AJ:AJ)</f>
        <v>0</v>
      </c>
    </row>
    <row r="122" spans="1:35" ht="11.45" customHeight="1" x14ac:dyDescent="0.55000000000000004">
      <c r="A122" s="2" t="s">
        <v>157</v>
      </c>
      <c r="B122" s="2" t="s">
        <v>67</v>
      </c>
      <c r="C122" s="2" t="s">
        <v>67</v>
      </c>
      <c r="D122" s="2" t="s">
        <v>351</v>
      </c>
      <c r="E122" s="2" t="s">
        <v>185</v>
      </c>
      <c r="F122" s="2" t="s">
        <v>185</v>
      </c>
      <c r="G122" s="3" t="s">
        <v>57</v>
      </c>
      <c r="H122" s="2" t="s">
        <v>67</v>
      </c>
      <c r="I122" s="17">
        <v>0.8</v>
      </c>
      <c r="J122" s="3">
        <v>186</v>
      </c>
      <c r="K122" s="3">
        <v>1097</v>
      </c>
      <c r="L122" s="18">
        <v>1099</v>
      </c>
      <c r="M122" s="18">
        <v>0</v>
      </c>
      <c r="N122" s="18">
        <v>756</v>
      </c>
      <c r="O122" s="18">
        <v>0</v>
      </c>
      <c r="P122" s="18">
        <v>758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640</v>
      </c>
      <c r="Z122" s="18">
        <v>0</v>
      </c>
      <c r="AA122" s="18">
        <f>SUMIF([1]SA007!$C:$C,'SA007 2025.01-2026.05 '!$D122,[1]SA007!P:P)</f>
        <v>0</v>
      </c>
      <c r="AB122" s="18">
        <f>SUMIF([1]SA007!$C:$C,'SA007 2025.01-2026.05 '!$D122,[1]SA007!Q:Q)</f>
        <v>0</v>
      </c>
      <c r="AC122" s="19">
        <f t="shared" si="5"/>
        <v>3253</v>
      </c>
      <c r="AD122" s="19">
        <f t="shared" si="6"/>
        <v>191.35294117647058</v>
      </c>
      <c r="AE122" s="20" t="s">
        <v>352</v>
      </c>
      <c r="AG122" s="21">
        <f>SUMIF([1]SO003!$H:$H,'SA007 2025.01-2026.05 '!$D122,[1]SO003!AF:AF)</f>
        <v>0</v>
      </c>
      <c r="AH122" s="21">
        <f>SUMIF([1]SO003!$H:$H,'SA007 2025.01-2026.05 '!$D122,[1]SO003!AH:AH)</f>
        <v>0</v>
      </c>
      <c r="AI122" s="21">
        <f>SUMIF([1]SO003!$H:$H,'SA007 2025.01-2026.05 '!$D122,[1]SO003!AJ:AJ)</f>
        <v>0</v>
      </c>
    </row>
    <row r="123" spans="1:35" ht="11.45" customHeight="1" x14ac:dyDescent="0.55000000000000004">
      <c r="A123" s="2" t="s">
        <v>206</v>
      </c>
      <c r="B123" s="2" t="s">
        <v>61</v>
      </c>
      <c r="C123" s="2" t="s">
        <v>61</v>
      </c>
      <c r="D123" s="2" t="s">
        <v>353</v>
      </c>
      <c r="E123" s="2" t="s">
        <v>101</v>
      </c>
      <c r="F123" s="2" t="s">
        <v>101</v>
      </c>
      <c r="G123" s="3" t="s">
        <v>63</v>
      </c>
      <c r="H123" s="2" t="s">
        <v>61</v>
      </c>
      <c r="I123" s="17">
        <v>1</v>
      </c>
      <c r="J123" s="3">
        <v>34</v>
      </c>
      <c r="K123" s="3" t="s">
        <v>41</v>
      </c>
      <c r="L123" s="18">
        <v>81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70</v>
      </c>
      <c r="S123" s="18">
        <v>0</v>
      </c>
      <c r="T123" s="18">
        <v>143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f>SUMIF([1]SA007!$C:$C,'SA007 2025.01-2026.05 '!$D123,[1]SA007!P:P)</f>
        <v>0</v>
      </c>
      <c r="AB123" s="18">
        <f>SUMIF([1]SA007!$C:$C,'SA007 2025.01-2026.05 '!$D123,[1]SA007!Q:Q)</f>
        <v>0</v>
      </c>
      <c r="AC123" s="19">
        <f t="shared" si="5"/>
        <v>294</v>
      </c>
      <c r="AD123" s="19">
        <f t="shared" si="6"/>
        <v>17.294117647058822</v>
      </c>
      <c r="AE123" s="20" t="s">
        <v>209</v>
      </c>
      <c r="AG123" s="21">
        <f>SUMIF([1]SO003!$H:$H,'SA007 2025.01-2026.05 '!$D123,[1]SO003!AF:AF)</f>
        <v>0</v>
      </c>
      <c r="AH123" s="21">
        <f>SUMIF([1]SO003!$H:$H,'SA007 2025.01-2026.05 '!$D123,[1]SO003!AH:AH)</f>
        <v>0</v>
      </c>
      <c r="AI123" s="21">
        <f>SUMIF([1]SO003!$H:$H,'SA007 2025.01-2026.05 '!$D123,[1]SO003!AJ:AJ)</f>
        <v>0</v>
      </c>
    </row>
    <row r="124" spans="1:35" ht="11.45" customHeight="1" x14ac:dyDescent="0.55000000000000004">
      <c r="A124" s="2" t="s">
        <v>354</v>
      </c>
      <c r="B124" s="2" t="s">
        <v>61</v>
      </c>
      <c r="C124" s="2" t="s">
        <v>61</v>
      </c>
      <c r="D124" s="2" t="s">
        <v>355</v>
      </c>
      <c r="E124" s="2" t="s">
        <v>101</v>
      </c>
      <c r="F124" s="2" t="s">
        <v>101</v>
      </c>
      <c r="G124" s="3" t="s">
        <v>63</v>
      </c>
      <c r="H124" s="2" t="s">
        <v>61</v>
      </c>
      <c r="I124" s="17">
        <v>1.8</v>
      </c>
      <c r="J124" s="3">
        <v>23</v>
      </c>
      <c r="K124" s="3" t="s">
        <v>208</v>
      </c>
      <c r="L124" s="18">
        <v>304</v>
      </c>
      <c r="M124" s="18">
        <v>0</v>
      </c>
      <c r="N124" s="18">
        <v>300</v>
      </c>
      <c r="O124" s="18">
        <v>0</v>
      </c>
      <c r="P124" s="18">
        <v>306</v>
      </c>
      <c r="Q124" s="18">
        <v>250</v>
      </c>
      <c r="R124" s="18">
        <v>200</v>
      </c>
      <c r="S124" s="18">
        <v>0</v>
      </c>
      <c r="T124" s="18">
        <v>243</v>
      </c>
      <c r="U124" s="18">
        <v>246</v>
      </c>
      <c r="V124" s="18">
        <v>195</v>
      </c>
      <c r="W124" s="18">
        <v>0</v>
      </c>
      <c r="X124" s="18">
        <v>128</v>
      </c>
      <c r="Y124" s="18">
        <v>192</v>
      </c>
      <c r="Z124" s="18">
        <v>192</v>
      </c>
      <c r="AA124" s="18">
        <f>SUMIF([1]SA007!$C:$C,'SA007 2025.01-2026.05 '!$D124,[1]SA007!P:P)</f>
        <v>300</v>
      </c>
      <c r="AB124" s="18">
        <f>SUMIF([1]SA007!$C:$C,'SA007 2025.01-2026.05 '!$D124,[1]SA007!Q:Q)</f>
        <v>401</v>
      </c>
      <c r="AC124" s="19">
        <f t="shared" si="5"/>
        <v>3257</v>
      </c>
      <c r="AD124" s="19">
        <f t="shared" si="6"/>
        <v>191.58823529411765</v>
      </c>
      <c r="AE124" s="20" t="s">
        <v>209</v>
      </c>
      <c r="AG124" s="21">
        <f>SUMIF([1]SO003!$H:$H,'SA007 2025.01-2026.05 '!$D124,[1]SO003!AF:AF)</f>
        <v>200</v>
      </c>
      <c r="AH124" s="21">
        <f>SUMIF([1]SO003!$H:$H,'SA007 2025.01-2026.05 '!$D124,[1]SO003!AH:AH)</f>
        <v>260</v>
      </c>
      <c r="AI124" s="21">
        <f>SUMIF([1]SO003!$H:$H,'SA007 2025.01-2026.05 '!$D124,[1]SO003!AJ:AJ)</f>
        <v>0</v>
      </c>
    </row>
    <row r="125" spans="1:35" ht="11.45" customHeight="1" x14ac:dyDescent="0.55000000000000004">
      <c r="A125" s="2" t="s">
        <v>356</v>
      </c>
      <c r="B125" s="2" t="s">
        <v>61</v>
      </c>
      <c r="C125" s="2" t="s">
        <v>61</v>
      </c>
      <c r="D125" s="2" t="s">
        <v>357</v>
      </c>
      <c r="E125" s="2" t="s">
        <v>101</v>
      </c>
      <c r="F125" s="2" t="s">
        <v>101</v>
      </c>
      <c r="G125" s="3" t="s">
        <v>63</v>
      </c>
      <c r="H125" s="2" t="s">
        <v>64</v>
      </c>
      <c r="I125" s="17">
        <v>2</v>
      </c>
      <c r="J125" s="3">
        <v>125</v>
      </c>
      <c r="K125" s="3">
        <v>293</v>
      </c>
      <c r="L125" s="18">
        <v>83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f>SUMIF([1]SA007!$C:$C,'SA007 2025.01-2026.05 '!$D125,[1]SA007!P:P)</f>
        <v>0</v>
      </c>
      <c r="AB125" s="18">
        <f>SUMIF([1]SA007!$C:$C,'SA007 2025.01-2026.05 '!$D125,[1]SA007!Q:Q)</f>
        <v>0</v>
      </c>
      <c r="AC125" s="19">
        <f t="shared" si="5"/>
        <v>83</v>
      </c>
      <c r="AD125" s="19">
        <f t="shared" si="6"/>
        <v>4.882352941176471</v>
      </c>
      <c r="AE125" s="20" t="s">
        <v>116</v>
      </c>
      <c r="AG125" s="21">
        <f>SUMIF([1]SO003!$H:$H,'SA007 2025.01-2026.05 '!$D125,[1]SO003!AF:AF)</f>
        <v>57.501250000000006</v>
      </c>
      <c r="AH125" s="21">
        <f>SUMIF([1]SO003!$H:$H,'SA007 2025.01-2026.05 '!$D125,[1]SO003!AH:AH)</f>
        <v>57.501250000000006</v>
      </c>
      <c r="AI125" s="21">
        <f>SUMIF([1]SO003!$H:$H,'SA007 2025.01-2026.05 '!$D125,[1]SO003!AJ:AJ)</f>
        <v>0</v>
      </c>
    </row>
    <row r="126" spans="1:35" ht="11.45" customHeight="1" x14ac:dyDescent="0.55000000000000004">
      <c r="A126" s="2" t="s">
        <v>356</v>
      </c>
      <c r="B126" s="2" t="s">
        <v>61</v>
      </c>
      <c r="C126" s="2" t="s">
        <v>61</v>
      </c>
      <c r="D126" s="2" t="s">
        <v>358</v>
      </c>
      <c r="E126" s="2" t="s">
        <v>101</v>
      </c>
      <c r="F126" s="2" t="s">
        <v>101</v>
      </c>
      <c r="G126" s="3" t="s">
        <v>63</v>
      </c>
      <c r="H126" s="2" t="s">
        <v>64</v>
      </c>
      <c r="I126" s="17">
        <v>2</v>
      </c>
      <c r="J126" s="3">
        <v>100</v>
      </c>
      <c r="K126" s="3">
        <v>248</v>
      </c>
      <c r="L126" s="18">
        <v>78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f>SUMIF([1]SA007!$C:$C,'SA007 2025.01-2026.05 '!$D126,[1]SA007!P:P)</f>
        <v>0</v>
      </c>
      <c r="AB126" s="18">
        <f>SUMIF([1]SA007!$C:$C,'SA007 2025.01-2026.05 '!$D126,[1]SA007!Q:Q)</f>
        <v>78</v>
      </c>
      <c r="AC126" s="19">
        <f t="shared" si="5"/>
        <v>156</v>
      </c>
      <c r="AD126" s="19">
        <f t="shared" si="6"/>
        <v>9.1764705882352935</v>
      </c>
      <c r="AE126" s="20" t="s">
        <v>116</v>
      </c>
      <c r="AG126" s="21">
        <f>SUMIF([1]SO003!$H:$H,'SA007 2025.01-2026.05 '!$D126,[1]SO003!AF:AF)</f>
        <v>0</v>
      </c>
      <c r="AH126" s="21">
        <f>SUMIF([1]SO003!$H:$H,'SA007 2025.01-2026.05 '!$D126,[1]SO003!AH:AH)</f>
        <v>0</v>
      </c>
      <c r="AI126" s="21">
        <f>SUMIF([1]SO003!$H:$H,'SA007 2025.01-2026.05 '!$D126,[1]SO003!AJ:AJ)</f>
        <v>0</v>
      </c>
    </row>
    <row r="127" spans="1:35" ht="11.45" customHeight="1" x14ac:dyDescent="0.55000000000000004">
      <c r="A127" s="2" t="s">
        <v>359</v>
      </c>
      <c r="B127" s="2" t="s">
        <v>199</v>
      </c>
      <c r="C127" s="2" t="s">
        <v>199</v>
      </c>
      <c r="D127" s="2" t="s">
        <v>360</v>
      </c>
      <c r="E127" s="2" t="s">
        <v>101</v>
      </c>
      <c r="F127" s="2" t="s">
        <v>101</v>
      </c>
      <c r="G127" s="3" t="s">
        <v>63</v>
      </c>
      <c r="H127" s="2" t="s">
        <v>199</v>
      </c>
      <c r="I127" s="17">
        <v>3.2</v>
      </c>
      <c r="J127" s="3">
        <v>97</v>
      </c>
      <c r="K127" s="3">
        <v>530</v>
      </c>
      <c r="L127" s="18">
        <v>140</v>
      </c>
      <c r="M127" s="18">
        <v>211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192</v>
      </c>
      <c r="W127" s="18">
        <v>202</v>
      </c>
      <c r="X127" s="18">
        <v>152</v>
      </c>
      <c r="Y127" s="18">
        <v>0</v>
      </c>
      <c r="Z127" s="18">
        <v>0</v>
      </c>
      <c r="AA127" s="18">
        <f>SUMIF([1]SA007!$C:$C,'SA007 2025.01-2026.05 '!$D127,[1]SA007!P:P)</f>
        <v>0</v>
      </c>
      <c r="AB127" s="18">
        <f>SUMIF([1]SA007!$C:$C,'SA007 2025.01-2026.05 '!$D127,[1]SA007!Q:Q)</f>
        <v>177</v>
      </c>
      <c r="AC127" s="19">
        <f t="shared" si="5"/>
        <v>1074</v>
      </c>
      <c r="AD127" s="19">
        <f t="shared" si="6"/>
        <v>63.176470588235297</v>
      </c>
      <c r="AE127" s="20" t="s">
        <v>116</v>
      </c>
      <c r="AG127" s="21">
        <f>SUMIF([1]SO003!$H:$H,'SA007 2025.01-2026.05 '!$D127,[1]SO003!AF:AF)</f>
        <v>129.14192</v>
      </c>
      <c r="AH127" s="21">
        <f>SUMIF([1]SO003!$H:$H,'SA007 2025.01-2026.05 '!$D127,[1]SO003!AH:AH)</f>
        <v>0</v>
      </c>
      <c r="AI127" s="21">
        <f>SUMIF([1]SO003!$H:$H,'SA007 2025.01-2026.05 '!$D127,[1]SO003!AJ:AJ)</f>
        <v>129.14192</v>
      </c>
    </row>
    <row r="128" spans="1:35" ht="11.45" customHeight="1" x14ac:dyDescent="0.55000000000000004">
      <c r="A128" s="2" t="s">
        <v>361</v>
      </c>
      <c r="B128" s="2" t="s">
        <v>213</v>
      </c>
      <c r="C128" s="2" t="s">
        <v>213</v>
      </c>
      <c r="D128" s="2" t="s">
        <v>362</v>
      </c>
      <c r="E128" s="2" t="s">
        <v>363</v>
      </c>
      <c r="F128" s="2" t="s">
        <v>363</v>
      </c>
      <c r="G128" s="3" t="s">
        <v>47</v>
      </c>
      <c r="H128" s="2" t="s">
        <v>213</v>
      </c>
      <c r="I128" s="17">
        <v>4.5</v>
      </c>
      <c r="J128" s="3">
        <v>53</v>
      </c>
      <c r="K128" s="3">
        <v>1220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336</v>
      </c>
      <c r="AA128" s="18">
        <f>SUMIF([1]SA007!$C:$C,'SA007 2025.01-2026.05 '!$D128,[1]SA007!P:P)</f>
        <v>1344</v>
      </c>
      <c r="AB128" s="18">
        <f>SUMIF([1]SA007!$C:$C,'SA007 2025.01-2026.05 '!$D128,[1]SA007!Q:Q)</f>
        <v>0</v>
      </c>
      <c r="AC128" s="19">
        <f t="shared" si="5"/>
        <v>1680</v>
      </c>
      <c r="AD128" s="19">
        <f t="shared" si="6"/>
        <v>98.82352941176471</v>
      </c>
      <c r="AE128" s="20" t="s">
        <v>116</v>
      </c>
      <c r="AG128" s="21">
        <f>SUMIF([1]SO003!$H:$H,'SA007 2025.01-2026.05 '!$D128,[1]SO003!AF:AF)</f>
        <v>1142.0572499999996</v>
      </c>
      <c r="AH128" s="21">
        <f>SUMIF([1]SO003!$H:$H,'SA007 2025.01-2026.05 '!$D128,[1]SO003!AH:AH)</f>
        <v>1132.9207919999997</v>
      </c>
      <c r="AI128" s="21">
        <f>SUMIF([1]SO003!$H:$H,'SA007 2025.01-2026.05 '!$D128,[1]SO003!AJ:AJ)</f>
        <v>9.1364579999999975</v>
      </c>
    </row>
    <row r="129" spans="1:35" ht="11.45" customHeight="1" x14ac:dyDescent="0.55000000000000004">
      <c r="A129" s="2" t="s">
        <v>364</v>
      </c>
      <c r="B129" s="2" t="s">
        <v>365</v>
      </c>
      <c r="C129" s="2" t="s">
        <v>365</v>
      </c>
      <c r="D129" s="2" t="s">
        <v>366</v>
      </c>
      <c r="E129" s="2" t="s">
        <v>363</v>
      </c>
      <c r="F129" s="2" t="s">
        <v>363</v>
      </c>
      <c r="G129" s="3" t="s">
        <v>47</v>
      </c>
      <c r="H129" s="2" t="s">
        <v>367</v>
      </c>
      <c r="I129" s="17">
        <v>2</v>
      </c>
      <c r="J129" s="3">
        <v>80</v>
      </c>
      <c r="K129" s="3">
        <v>1220</v>
      </c>
      <c r="L129" s="18">
        <v>0</v>
      </c>
      <c r="M129" s="18">
        <v>155</v>
      </c>
      <c r="N129" s="18">
        <v>0</v>
      </c>
      <c r="O129" s="18">
        <v>0</v>
      </c>
      <c r="P129" s="18">
        <v>144</v>
      </c>
      <c r="Q129" s="18">
        <v>0</v>
      </c>
      <c r="R129" s="18">
        <v>0</v>
      </c>
      <c r="S129" s="18">
        <v>0</v>
      </c>
      <c r="T129" s="18">
        <v>415</v>
      </c>
      <c r="U129" s="18">
        <v>136</v>
      </c>
      <c r="V129" s="18">
        <v>304</v>
      </c>
      <c r="W129" s="18">
        <v>230</v>
      </c>
      <c r="X129" s="18">
        <v>78</v>
      </c>
      <c r="Y129" s="18">
        <v>77</v>
      </c>
      <c r="Z129" s="18">
        <v>0</v>
      </c>
      <c r="AA129" s="18">
        <f>SUMIF([1]SA007!$C:$C,'SA007 2025.01-2026.05 '!$D129,[1]SA007!P:P)</f>
        <v>0</v>
      </c>
      <c r="AB129" s="18">
        <f>SUMIF([1]SA007!$C:$C,'SA007 2025.01-2026.05 '!$D129,[1]SA007!Q:Q)</f>
        <v>0</v>
      </c>
      <c r="AC129" s="19">
        <f t="shared" si="5"/>
        <v>1539</v>
      </c>
      <c r="AD129" s="19">
        <f t="shared" si="6"/>
        <v>90.529411764705884</v>
      </c>
      <c r="AE129" s="20" t="s">
        <v>116</v>
      </c>
      <c r="AG129" s="21">
        <f>SUMIF([1]SO003!$H:$H,'SA007 2025.01-2026.05 '!$D129,[1]SO003!AF:AF)</f>
        <v>0</v>
      </c>
      <c r="AH129" s="21">
        <f>SUMIF([1]SO003!$H:$H,'SA007 2025.01-2026.05 '!$D129,[1]SO003!AH:AH)</f>
        <v>0</v>
      </c>
      <c r="AI129" s="21">
        <f>SUMIF([1]SO003!$H:$H,'SA007 2025.01-2026.05 '!$D129,[1]SO003!AJ:AJ)</f>
        <v>0</v>
      </c>
    </row>
    <row r="130" spans="1:35" ht="11.45" customHeight="1" x14ac:dyDescent="0.55000000000000004">
      <c r="A130" s="2" t="s">
        <v>364</v>
      </c>
      <c r="B130" s="2" t="s">
        <v>365</v>
      </c>
      <c r="C130" s="2" t="s">
        <v>365</v>
      </c>
      <c r="D130" s="2" t="s">
        <v>368</v>
      </c>
      <c r="E130" s="2" t="s">
        <v>363</v>
      </c>
      <c r="F130" s="2" t="s">
        <v>363</v>
      </c>
      <c r="G130" s="3" t="s">
        <v>47</v>
      </c>
      <c r="H130" s="2" t="s">
        <v>367</v>
      </c>
      <c r="I130" s="17">
        <v>2</v>
      </c>
      <c r="J130" s="3">
        <v>120</v>
      </c>
      <c r="K130" s="3">
        <v>1220</v>
      </c>
      <c r="L130" s="18">
        <v>0</v>
      </c>
      <c r="M130" s="18">
        <v>0</v>
      </c>
      <c r="N130" s="18">
        <v>0</v>
      </c>
      <c r="O130" s="18">
        <v>350</v>
      </c>
      <c r="P130" s="18">
        <v>219</v>
      </c>
      <c r="Q130" s="18">
        <v>0</v>
      </c>
      <c r="R130" s="18">
        <v>344</v>
      </c>
      <c r="S130" s="18">
        <v>347</v>
      </c>
      <c r="T130" s="18">
        <v>683</v>
      </c>
      <c r="U130" s="18">
        <v>56</v>
      </c>
      <c r="V130" s="18">
        <v>639</v>
      </c>
      <c r="W130" s="18">
        <v>232</v>
      </c>
      <c r="X130" s="18">
        <v>230</v>
      </c>
      <c r="Y130" s="18">
        <v>231</v>
      </c>
      <c r="Z130" s="18">
        <v>114</v>
      </c>
      <c r="AA130" s="18">
        <f>SUMIF([1]SA007!$C:$C,'SA007 2025.01-2026.05 '!$D130,[1]SA007!P:P)</f>
        <v>0</v>
      </c>
      <c r="AB130" s="18">
        <f>SUMIF([1]SA007!$C:$C,'SA007 2025.01-2026.05 '!$D130,[1]SA007!Q:Q)</f>
        <v>0</v>
      </c>
      <c r="AC130" s="19">
        <f t="shared" si="5"/>
        <v>3445</v>
      </c>
      <c r="AD130" s="19">
        <f t="shared" si="6"/>
        <v>202.64705882352942</v>
      </c>
      <c r="AE130" s="20" t="s">
        <v>116</v>
      </c>
      <c r="AG130" s="21">
        <f>SUMIF([1]SO003!$H:$H,'SA007 2025.01-2026.05 '!$D130,[1]SO003!AF:AF)</f>
        <v>0</v>
      </c>
      <c r="AH130" s="21">
        <f>SUMIF([1]SO003!$H:$H,'SA007 2025.01-2026.05 '!$D130,[1]SO003!AH:AH)</f>
        <v>0</v>
      </c>
      <c r="AI130" s="21">
        <f>SUMIF([1]SO003!$H:$H,'SA007 2025.01-2026.05 '!$D130,[1]SO003!AJ:AJ)</f>
        <v>0</v>
      </c>
    </row>
    <row r="131" spans="1:35" ht="11.45" customHeight="1" x14ac:dyDescent="0.55000000000000004">
      <c r="A131" s="2" t="s">
        <v>178</v>
      </c>
      <c r="D131" s="22" t="s">
        <v>369</v>
      </c>
      <c r="E131" s="2" t="s">
        <v>370</v>
      </c>
      <c r="G131" s="3" t="s">
        <v>57</v>
      </c>
      <c r="H131" s="22" t="s">
        <v>158</v>
      </c>
      <c r="I131" s="17">
        <v>1</v>
      </c>
      <c r="J131" s="3">
        <v>1220</v>
      </c>
      <c r="K131" s="3" t="s">
        <v>371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370</v>
      </c>
      <c r="T131" s="18">
        <v>355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f>SUMIF([1]SA007!$C:$C,'SA007 2025.01-2026.05 '!$D131,[1]SA007!P:P)</f>
        <v>0</v>
      </c>
      <c r="AB131" s="18">
        <f>SUMIF([1]SA007!$C:$C,'SA007 2025.01-2026.05 '!$D131,[1]SA007!Q:Q)</f>
        <v>0</v>
      </c>
      <c r="AC131" s="19">
        <f t="shared" si="5"/>
        <v>725</v>
      </c>
      <c r="AD131" s="19">
        <f t="shared" si="6"/>
        <v>42.647058823529413</v>
      </c>
      <c r="AG131" s="21">
        <f>SUMIF([1]SO003!$H:$H,'SA007 2025.01-2026.05 '!$D131,[1]SO003!AF:AF)</f>
        <v>0</v>
      </c>
      <c r="AH131" s="21">
        <f>SUMIF([1]SO003!$H:$H,'SA007 2025.01-2026.05 '!$D131,[1]SO003!AH:AH)</f>
        <v>0</v>
      </c>
      <c r="AI131" s="21">
        <f>SUMIF([1]SO003!$H:$H,'SA007 2025.01-2026.05 '!$D131,[1]SO003!AJ:AJ)</f>
        <v>0</v>
      </c>
    </row>
    <row r="132" spans="1:35" ht="11.45" customHeight="1" x14ac:dyDescent="0.55000000000000004">
      <c r="A132" s="2" t="s">
        <v>164</v>
      </c>
      <c r="B132" s="2" t="s">
        <v>334</v>
      </c>
      <c r="C132" s="2" t="s">
        <v>334</v>
      </c>
      <c r="D132" s="2" t="s">
        <v>372</v>
      </c>
      <c r="E132" s="2" t="s">
        <v>101</v>
      </c>
      <c r="F132" s="2" t="s">
        <v>101</v>
      </c>
      <c r="G132" s="3" t="s">
        <v>57</v>
      </c>
      <c r="H132" s="2" t="s">
        <v>334</v>
      </c>
      <c r="I132" s="17">
        <v>0.6</v>
      </c>
      <c r="J132" s="3">
        <v>525</v>
      </c>
      <c r="K132" s="3">
        <v>1590.2</v>
      </c>
      <c r="L132" s="18">
        <v>0</v>
      </c>
      <c r="M132" s="18">
        <v>0</v>
      </c>
      <c r="N132" s="18">
        <v>1535</v>
      </c>
      <c r="O132" s="18">
        <v>1554</v>
      </c>
      <c r="P132" s="18">
        <v>134</v>
      </c>
      <c r="Q132" s="18">
        <v>3090</v>
      </c>
      <c r="R132" s="18">
        <v>3216</v>
      </c>
      <c r="S132" s="18">
        <v>3140</v>
      </c>
      <c r="T132" s="18">
        <v>1866</v>
      </c>
      <c r="U132" s="18">
        <v>1618</v>
      </c>
      <c r="V132" s="18">
        <v>0</v>
      </c>
      <c r="W132" s="18">
        <v>2109</v>
      </c>
      <c r="X132" s="18">
        <v>0</v>
      </c>
      <c r="Y132" s="18">
        <v>0</v>
      </c>
      <c r="Z132" s="18">
        <v>0</v>
      </c>
      <c r="AA132" s="18">
        <f>SUMIF([1]SA007!$C:$C,'SA007 2025.01-2026.05 '!$D132,[1]SA007!P:P)</f>
        <v>3098</v>
      </c>
      <c r="AB132" s="18">
        <f>SUMIF([1]SA007!$C:$C,'SA007 2025.01-2026.05 '!$D132,[1]SA007!Q:Q)</f>
        <v>3491</v>
      </c>
      <c r="AC132" s="19">
        <f t="shared" si="5"/>
        <v>24851</v>
      </c>
      <c r="AD132" s="19">
        <f t="shared" si="6"/>
        <v>1461.8235294117646</v>
      </c>
      <c r="AE132" s="20" t="s">
        <v>166</v>
      </c>
      <c r="AG132" s="21">
        <f>SUMIF([1]SO003!$H:$H,'SA007 2025.01-2026.05 '!$D132,[1]SO003!AF:AF)</f>
        <v>1572.8668200000002</v>
      </c>
      <c r="AH132" s="21">
        <f>SUMIF([1]SO003!$H:$H,'SA007 2025.01-2026.05 '!$D132,[1]SO003!AH:AH)</f>
        <v>0</v>
      </c>
      <c r="AI132" s="21">
        <f>SUMIF([1]SO003!$H:$H,'SA007 2025.01-2026.05 '!$D132,[1]SO003!AJ:AJ)</f>
        <v>1572.8668200000002</v>
      </c>
    </row>
    <row r="133" spans="1:35" ht="11.45" customHeight="1" x14ac:dyDescent="0.55000000000000004">
      <c r="A133" s="2" t="s">
        <v>164</v>
      </c>
      <c r="B133" s="2" t="s">
        <v>334</v>
      </c>
      <c r="C133" s="2" t="s">
        <v>334</v>
      </c>
      <c r="D133" s="2" t="s">
        <v>373</v>
      </c>
      <c r="E133" s="2" t="s">
        <v>101</v>
      </c>
      <c r="F133" s="2" t="s">
        <v>101</v>
      </c>
      <c r="G133" s="3" t="s">
        <v>57</v>
      </c>
      <c r="H133" s="2" t="s">
        <v>334</v>
      </c>
      <c r="I133" s="17">
        <v>0.6</v>
      </c>
      <c r="J133" s="3">
        <v>525</v>
      </c>
      <c r="K133" s="3">
        <v>1590.2</v>
      </c>
      <c r="L133" s="18">
        <v>0</v>
      </c>
      <c r="M133" s="18">
        <v>1556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f>SUMIF([1]SA007!$C:$C,'SA007 2025.01-2026.05 '!$D133,[1]SA007!P:P)</f>
        <v>0</v>
      </c>
      <c r="AB133" s="18">
        <f>SUMIF([1]SA007!$C:$C,'SA007 2025.01-2026.05 '!$D133,[1]SA007!Q:Q)</f>
        <v>0</v>
      </c>
      <c r="AC133" s="19">
        <f t="shared" si="5"/>
        <v>1556</v>
      </c>
      <c r="AD133" s="19">
        <f t="shared" si="6"/>
        <v>91.529411764705884</v>
      </c>
      <c r="AE133" s="20" t="s">
        <v>116</v>
      </c>
      <c r="AG133" s="21">
        <f>SUMIF([1]SO003!$H:$H,'SA007 2025.01-2026.05 '!$D133,[1]SO003!AF:AF)</f>
        <v>0</v>
      </c>
      <c r="AH133" s="21">
        <f>SUMIF([1]SO003!$H:$H,'SA007 2025.01-2026.05 '!$D133,[1]SO003!AH:AH)</f>
        <v>0</v>
      </c>
      <c r="AI133" s="21">
        <f>SUMIF([1]SO003!$H:$H,'SA007 2025.01-2026.05 '!$D133,[1]SO003!AJ:AJ)</f>
        <v>0</v>
      </c>
    </row>
    <row r="134" spans="1:35" ht="11.45" customHeight="1" x14ac:dyDescent="0.55000000000000004">
      <c r="A134" s="2" t="s">
        <v>164</v>
      </c>
      <c r="B134" s="2" t="s">
        <v>334</v>
      </c>
      <c r="C134" s="2" t="s">
        <v>334</v>
      </c>
      <c r="D134" s="2" t="s">
        <v>374</v>
      </c>
      <c r="E134" s="2" t="s">
        <v>101</v>
      </c>
      <c r="F134" s="2" t="s">
        <v>101</v>
      </c>
      <c r="G134" s="3" t="s">
        <v>57</v>
      </c>
      <c r="H134" s="2" t="s">
        <v>334</v>
      </c>
      <c r="I134" s="17">
        <v>0.6</v>
      </c>
      <c r="J134" s="3">
        <v>237.5</v>
      </c>
      <c r="K134" s="3">
        <v>455</v>
      </c>
      <c r="L134" s="18">
        <v>0</v>
      </c>
      <c r="M134" s="18">
        <v>1978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f>SUMIF([1]SA007!$C:$C,'SA007 2025.01-2026.05 '!$D134,[1]SA007!P:P)</f>
        <v>0</v>
      </c>
      <c r="AB134" s="18">
        <f>SUMIF([1]SA007!$C:$C,'SA007 2025.01-2026.05 '!$D134,[1]SA007!Q:Q)</f>
        <v>0</v>
      </c>
      <c r="AC134" s="19">
        <f t="shared" ref="AC134:AC197" si="7">SUM(L134:AB134)</f>
        <v>1978</v>
      </c>
      <c r="AD134" s="19">
        <f t="shared" ref="AD134:AD197" si="8">AVERAGE(L134:AB134)</f>
        <v>116.35294117647059</v>
      </c>
      <c r="AE134" s="20" t="s">
        <v>166</v>
      </c>
      <c r="AG134" s="21">
        <f>SUMIF([1]SO003!$H:$H,'SA007 2025.01-2026.05 '!$D134,[1]SO003!AF:AF)</f>
        <v>0</v>
      </c>
      <c r="AH134" s="21">
        <f>SUMIF([1]SO003!$H:$H,'SA007 2025.01-2026.05 '!$D134,[1]SO003!AH:AH)</f>
        <v>0</v>
      </c>
      <c r="AI134" s="21">
        <f>SUMIF([1]SO003!$H:$H,'SA007 2025.01-2026.05 '!$D134,[1]SO003!AJ:AJ)</f>
        <v>0</v>
      </c>
    </row>
    <row r="135" spans="1:35" ht="11.45" customHeight="1" x14ac:dyDescent="0.55000000000000004">
      <c r="A135" s="2" t="s">
        <v>157</v>
      </c>
      <c r="B135" s="2" t="s">
        <v>67</v>
      </c>
      <c r="C135" s="2" t="s">
        <v>67</v>
      </c>
      <c r="D135" s="2" t="s">
        <v>375</v>
      </c>
      <c r="E135" s="2" t="s">
        <v>185</v>
      </c>
      <c r="F135" s="2" t="s">
        <v>185</v>
      </c>
      <c r="G135" s="3" t="s">
        <v>57</v>
      </c>
      <c r="H135" s="2" t="s">
        <v>67</v>
      </c>
      <c r="I135" s="17">
        <v>0.8</v>
      </c>
      <c r="J135" s="3">
        <v>210</v>
      </c>
      <c r="K135" s="3">
        <v>271</v>
      </c>
      <c r="L135" s="18">
        <v>362</v>
      </c>
      <c r="M135" s="18">
        <v>2101</v>
      </c>
      <c r="N135" s="18">
        <v>2953</v>
      </c>
      <c r="O135" s="18">
        <v>0</v>
      </c>
      <c r="P135" s="18">
        <v>3804</v>
      </c>
      <c r="Q135" s="18">
        <v>2439</v>
      </c>
      <c r="R135" s="18">
        <v>0</v>
      </c>
      <c r="S135" s="18">
        <v>6201</v>
      </c>
      <c r="T135" s="18">
        <v>0</v>
      </c>
      <c r="U135" s="18">
        <v>1056</v>
      </c>
      <c r="V135" s="18">
        <v>0</v>
      </c>
      <c r="W135" s="18">
        <v>1050</v>
      </c>
      <c r="X135" s="18">
        <v>1110</v>
      </c>
      <c r="Y135" s="18">
        <v>2148</v>
      </c>
      <c r="Z135" s="18">
        <v>1175</v>
      </c>
      <c r="AA135" s="18">
        <f>SUMIF([1]SA007!$C:$C,'SA007 2025.01-2026.05 '!$D135,[1]SA007!P:P)</f>
        <v>1605</v>
      </c>
      <c r="AB135" s="18">
        <f>SUMIF([1]SA007!$C:$C,'SA007 2025.01-2026.05 '!$D135,[1]SA007!Q:Q)</f>
        <v>1451</v>
      </c>
      <c r="AC135" s="19">
        <f t="shared" si="7"/>
        <v>27455</v>
      </c>
      <c r="AD135" s="19">
        <f t="shared" si="8"/>
        <v>1615</v>
      </c>
      <c r="AE135" s="20" t="s">
        <v>186</v>
      </c>
      <c r="AG135" s="21">
        <f>SUMIF([1]SO003!$H:$H,'SA007 2025.01-2026.05 '!$D135,[1]SO003!AF:AF)</f>
        <v>0</v>
      </c>
      <c r="AH135" s="21">
        <f>SUMIF([1]SO003!$H:$H,'SA007 2025.01-2026.05 '!$D135,[1]SO003!AH:AH)</f>
        <v>0</v>
      </c>
      <c r="AI135" s="21">
        <f>SUMIF([1]SO003!$H:$H,'SA007 2025.01-2026.05 '!$D135,[1]SO003!AJ:AJ)</f>
        <v>0</v>
      </c>
    </row>
    <row r="136" spans="1:35" ht="11.45" customHeight="1" x14ac:dyDescent="0.55000000000000004">
      <c r="A136" s="2" t="s">
        <v>178</v>
      </c>
      <c r="B136" s="2" t="s">
        <v>158</v>
      </c>
      <c r="C136" s="2" t="s">
        <v>160</v>
      </c>
      <c r="D136" s="2" t="s">
        <v>376</v>
      </c>
      <c r="E136" s="2" t="s">
        <v>270</v>
      </c>
      <c r="F136" s="2" t="s">
        <v>270</v>
      </c>
      <c r="G136" s="3" t="s">
        <v>57</v>
      </c>
      <c r="H136" s="2" t="s">
        <v>160</v>
      </c>
      <c r="I136" s="17">
        <v>1</v>
      </c>
      <c r="J136" s="3">
        <v>1220</v>
      </c>
      <c r="K136" s="3">
        <v>2440</v>
      </c>
      <c r="L136" s="18">
        <v>2320</v>
      </c>
      <c r="M136" s="18">
        <v>3482</v>
      </c>
      <c r="N136" s="18">
        <v>0</v>
      </c>
      <c r="O136" s="18">
        <v>1153</v>
      </c>
      <c r="P136" s="18">
        <v>0</v>
      </c>
      <c r="Q136" s="18">
        <v>2606</v>
      </c>
      <c r="R136" s="18">
        <v>2350</v>
      </c>
      <c r="S136" s="18">
        <v>3553</v>
      </c>
      <c r="T136" s="18">
        <v>2370</v>
      </c>
      <c r="U136" s="18">
        <v>4650</v>
      </c>
      <c r="V136" s="18">
        <v>2385</v>
      </c>
      <c r="W136" s="18">
        <v>2400</v>
      </c>
      <c r="X136" s="18">
        <v>6437</v>
      </c>
      <c r="Y136" s="18">
        <v>11738</v>
      </c>
      <c r="Z136" s="18">
        <v>9545</v>
      </c>
      <c r="AA136" s="18">
        <f>SUMIF([1]SA007!$C:$C,'SA007 2025.01-2026.05 '!$D136,[1]SA007!P:P)</f>
        <v>1077</v>
      </c>
      <c r="AB136" s="18">
        <f>SUMIF([1]SA007!$C:$C,'SA007 2025.01-2026.05 '!$D136,[1]SA007!Q:Q)</f>
        <v>13553</v>
      </c>
      <c r="AC136" s="19">
        <f t="shared" si="7"/>
        <v>69619</v>
      </c>
      <c r="AD136" s="19">
        <f t="shared" si="8"/>
        <v>4095.2352941176468</v>
      </c>
      <c r="AE136" s="20" t="s">
        <v>377</v>
      </c>
      <c r="AG136" s="21">
        <f>SUMIF([1]SO003!$H:$H,'SA007 2025.01-2026.05 '!$D136,[1]SO003!AF:AF)</f>
        <v>9347.152</v>
      </c>
      <c r="AH136" s="21">
        <f>SUMIF([1]SO003!$H:$H,'SA007 2025.01-2026.05 '!$D136,[1]SO003!AH:AH)</f>
        <v>4673.576</v>
      </c>
      <c r="AI136" s="21">
        <f>SUMIF([1]SO003!$H:$H,'SA007 2025.01-2026.05 '!$D136,[1]SO003!AJ:AJ)</f>
        <v>4673.576</v>
      </c>
    </row>
    <row r="137" spans="1:35" ht="11.45" customHeight="1" x14ac:dyDescent="0.55000000000000004">
      <c r="A137" s="2" t="s">
        <v>206</v>
      </c>
      <c r="B137" s="2" t="s">
        <v>61</v>
      </c>
      <c r="C137" s="2" t="s">
        <v>61</v>
      </c>
      <c r="D137" s="2" t="s">
        <v>378</v>
      </c>
      <c r="E137" s="2" t="s">
        <v>379</v>
      </c>
      <c r="F137" s="2" t="s">
        <v>379</v>
      </c>
      <c r="G137" s="3" t="s">
        <v>63</v>
      </c>
      <c r="H137" s="2" t="s">
        <v>61</v>
      </c>
      <c r="I137" s="17">
        <v>1</v>
      </c>
      <c r="J137" s="3">
        <v>52</v>
      </c>
      <c r="K137" s="3" t="s">
        <v>41</v>
      </c>
      <c r="L137" s="18">
        <v>0</v>
      </c>
      <c r="M137" s="18">
        <v>1211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f>SUMIF([1]SA007!$C:$C,'SA007 2025.01-2026.05 '!$D137,[1]SA007!P:P)</f>
        <v>0</v>
      </c>
      <c r="AB137" s="18">
        <f>SUMIF([1]SA007!$C:$C,'SA007 2025.01-2026.05 '!$D137,[1]SA007!Q:Q)</f>
        <v>0</v>
      </c>
      <c r="AC137" s="19">
        <f t="shared" si="7"/>
        <v>1211</v>
      </c>
      <c r="AD137" s="19">
        <f t="shared" si="8"/>
        <v>71.235294117647058</v>
      </c>
      <c r="AE137" s="20" t="s">
        <v>380</v>
      </c>
      <c r="AG137" s="21">
        <f>SUMIF([1]SO003!$H:$H,'SA007 2025.01-2026.05 '!$D137,[1]SO003!AF:AF)</f>
        <v>0</v>
      </c>
      <c r="AH137" s="21">
        <f>SUMIF([1]SO003!$H:$H,'SA007 2025.01-2026.05 '!$D137,[1]SO003!AH:AH)</f>
        <v>0</v>
      </c>
      <c r="AI137" s="21">
        <f>SUMIF([1]SO003!$H:$H,'SA007 2025.01-2026.05 '!$D137,[1]SO003!AJ:AJ)</f>
        <v>0</v>
      </c>
    </row>
    <row r="138" spans="1:35" ht="11.45" customHeight="1" x14ac:dyDescent="0.55000000000000004">
      <c r="A138" s="2" t="s">
        <v>381</v>
      </c>
      <c r="B138" s="2" t="s">
        <v>77</v>
      </c>
      <c r="C138" s="2" t="s">
        <v>77</v>
      </c>
      <c r="D138" s="2" t="s">
        <v>382</v>
      </c>
      <c r="E138" s="2" t="s">
        <v>240</v>
      </c>
      <c r="F138" s="2" t="s">
        <v>240</v>
      </c>
      <c r="G138" s="3" t="s">
        <v>39</v>
      </c>
      <c r="H138" s="2" t="s">
        <v>282</v>
      </c>
      <c r="I138" s="17">
        <v>2</v>
      </c>
      <c r="J138" s="3">
        <v>100</v>
      </c>
      <c r="K138" s="3" t="s">
        <v>41</v>
      </c>
      <c r="L138" s="18">
        <v>0</v>
      </c>
      <c r="M138" s="18">
        <v>1136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f>SUMIF([1]SA007!$C:$C,'SA007 2025.01-2026.05 '!$D138,[1]SA007!P:P)</f>
        <v>0</v>
      </c>
      <c r="AB138" s="18">
        <f>SUMIF([1]SA007!$C:$C,'SA007 2025.01-2026.05 '!$D138,[1]SA007!Q:Q)</f>
        <v>0</v>
      </c>
      <c r="AC138" s="19">
        <f t="shared" si="7"/>
        <v>1136</v>
      </c>
      <c r="AD138" s="19">
        <f t="shared" si="8"/>
        <v>66.82352941176471</v>
      </c>
      <c r="AE138" s="20" t="s">
        <v>242</v>
      </c>
      <c r="AG138" s="21">
        <f>SUMIF([1]SO003!$H:$H,'SA007 2025.01-2026.05 '!$D138,[1]SO003!AF:AF)</f>
        <v>0</v>
      </c>
      <c r="AH138" s="21">
        <f>SUMIF([1]SO003!$H:$H,'SA007 2025.01-2026.05 '!$D138,[1]SO003!AH:AH)</f>
        <v>0</v>
      </c>
      <c r="AI138" s="21">
        <f>SUMIF([1]SO003!$H:$H,'SA007 2025.01-2026.05 '!$D138,[1]SO003!AJ:AJ)</f>
        <v>0</v>
      </c>
    </row>
    <row r="139" spans="1:35" ht="11.45" customHeight="1" x14ac:dyDescent="0.55000000000000004">
      <c r="A139" s="2" t="s">
        <v>356</v>
      </c>
      <c r="B139" s="2" t="s">
        <v>61</v>
      </c>
      <c r="C139" s="2" t="s">
        <v>61</v>
      </c>
      <c r="D139" s="2" t="s">
        <v>383</v>
      </c>
      <c r="E139" s="2" t="s">
        <v>234</v>
      </c>
      <c r="F139" s="2" t="s">
        <v>234</v>
      </c>
      <c r="G139" s="3" t="s">
        <v>63</v>
      </c>
      <c r="H139" s="2" t="s">
        <v>61</v>
      </c>
      <c r="I139" s="17">
        <v>2</v>
      </c>
      <c r="J139" s="3">
        <v>108</v>
      </c>
      <c r="K139" s="3" t="s">
        <v>41</v>
      </c>
      <c r="L139" s="18">
        <v>0</v>
      </c>
      <c r="M139" s="18">
        <v>0</v>
      </c>
      <c r="N139" s="18">
        <v>1465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855</v>
      </c>
      <c r="Z139" s="18">
        <v>0</v>
      </c>
      <c r="AA139" s="18">
        <f>SUMIF([1]SA007!$C:$C,'SA007 2025.01-2026.05 '!$D139,[1]SA007!P:P)</f>
        <v>0</v>
      </c>
      <c r="AB139" s="18">
        <f>SUMIF([1]SA007!$C:$C,'SA007 2025.01-2026.05 '!$D139,[1]SA007!Q:Q)</f>
        <v>0</v>
      </c>
      <c r="AC139" s="19">
        <f t="shared" si="7"/>
        <v>2320</v>
      </c>
      <c r="AD139" s="19">
        <f t="shared" si="8"/>
        <v>136.47058823529412</v>
      </c>
      <c r="AE139" s="20" t="s">
        <v>384</v>
      </c>
      <c r="AG139" s="21">
        <f>SUMIF([1]SO003!$H:$H,'SA007 2025.01-2026.05 '!$D139,[1]SO003!AF:AF)</f>
        <v>800</v>
      </c>
      <c r="AH139" s="21">
        <f>SUMIF([1]SO003!$H:$H,'SA007 2025.01-2026.05 '!$D139,[1]SO003!AH:AH)</f>
        <v>840</v>
      </c>
      <c r="AI139" s="21">
        <f>SUMIF([1]SO003!$H:$H,'SA007 2025.01-2026.05 '!$D139,[1]SO003!AJ:AJ)</f>
        <v>0</v>
      </c>
    </row>
    <row r="140" spans="1:35" ht="11.45" customHeight="1" x14ac:dyDescent="0.55000000000000004">
      <c r="A140" s="2" t="s">
        <v>385</v>
      </c>
      <c r="B140" s="2" t="s">
        <v>284</v>
      </c>
      <c r="C140" s="2" t="s">
        <v>284</v>
      </c>
      <c r="D140" s="2" t="s">
        <v>386</v>
      </c>
      <c r="E140" s="2" t="s">
        <v>38</v>
      </c>
      <c r="F140" s="2" t="s">
        <v>38</v>
      </c>
      <c r="G140" s="3" t="s">
        <v>57</v>
      </c>
      <c r="H140" s="2" t="s">
        <v>387</v>
      </c>
      <c r="I140" s="17">
        <v>2</v>
      </c>
      <c r="J140" s="3">
        <v>31</v>
      </c>
      <c r="K140" s="3" t="s">
        <v>41</v>
      </c>
      <c r="L140" s="18">
        <v>6942</v>
      </c>
      <c r="M140" s="18">
        <v>588.5</v>
      </c>
      <c r="N140" s="18">
        <v>11058</v>
      </c>
      <c r="O140" s="18">
        <v>6216</v>
      </c>
      <c r="P140" s="18">
        <v>0</v>
      </c>
      <c r="Q140" s="18">
        <v>3509</v>
      </c>
      <c r="R140" s="18">
        <v>7965</v>
      </c>
      <c r="S140" s="18">
        <v>0</v>
      </c>
      <c r="T140" s="18">
        <v>0</v>
      </c>
      <c r="U140" s="18">
        <v>4094</v>
      </c>
      <c r="V140" s="18">
        <v>7092</v>
      </c>
      <c r="W140" s="18">
        <v>4608</v>
      </c>
      <c r="X140" s="18">
        <v>0</v>
      </c>
      <c r="Y140" s="18">
        <v>3339</v>
      </c>
      <c r="Z140" s="18">
        <v>3405</v>
      </c>
      <c r="AA140" s="18">
        <f>SUMIF([1]SA007!$C:$C,'SA007 2025.01-2026.05 '!$D140,[1]SA007!P:P)</f>
        <v>6203</v>
      </c>
      <c r="AB140" s="18">
        <f>SUMIF([1]SA007!$C:$C,'SA007 2025.01-2026.05 '!$D140,[1]SA007!Q:Q)</f>
        <v>0</v>
      </c>
      <c r="AC140" s="19">
        <f t="shared" si="7"/>
        <v>65019.5</v>
      </c>
      <c r="AD140" s="19">
        <f t="shared" si="8"/>
        <v>3824.6764705882351</v>
      </c>
      <c r="AE140" s="20" t="s">
        <v>388</v>
      </c>
      <c r="AG140" s="21">
        <f>SUMIF([1]SO003!$H:$H,'SA007 2025.01-2026.05 '!$D140,[1]SO003!AF:AF)</f>
        <v>5000</v>
      </c>
      <c r="AH140" s="21">
        <f>SUMIF([1]SO003!$H:$H,'SA007 2025.01-2026.05 '!$D140,[1]SO003!AH:AH)</f>
        <v>4928</v>
      </c>
      <c r="AI140" s="21">
        <f>SUMIF([1]SO003!$H:$H,'SA007 2025.01-2026.05 '!$D140,[1]SO003!AJ:AJ)</f>
        <v>72</v>
      </c>
    </row>
    <row r="141" spans="1:35" ht="11.45" customHeight="1" x14ac:dyDescent="0.55000000000000004">
      <c r="A141" s="2" t="s">
        <v>389</v>
      </c>
      <c r="B141" s="2" t="s">
        <v>213</v>
      </c>
      <c r="C141" s="2" t="s">
        <v>213</v>
      </c>
      <c r="D141" s="2" t="s">
        <v>390</v>
      </c>
      <c r="E141" s="2" t="s">
        <v>363</v>
      </c>
      <c r="F141" s="2" t="s">
        <v>363</v>
      </c>
      <c r="G141" s="3" t="s">
        <v>47</v>
      </c>
      <c r="H141" s="2" t="s">
        <v>213</v>
      </c>
      <c r="I141" s="17">
        <v>2</v>
      </c>
      <c r="J141" s="3">
        <v>112</v>
      </c>
      <c r="K141" s="3">
        <v>1220</v>
      </c>
      <c r="L141" s="18">
        <v>0</v>
      </c>
      <c r="M141" s="18">
        <v>0</v>
      </c>
      <c r="N141" s="18">
        <v>0</v>
      </c>
      <c r="O141" s="18">
        <v>319</v>
      </c>
      <c r="P141" s="18">
        <v>0</v>
      </c>
      <c r="Q141" s="18">
        <v>0</v>
      </c>
      <c r="R141" s="18">
        <v>638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f>SUMIF([1]SA007!$C:$C,'SA007 2025.01-2026.05 '!$D141,[1]SA007!P:P)</f>
        <v>319</v>
      </c>
      <c r="AB141" s="18">
        <f>SUMIF([1]SA007!$C:$C,'SA007 2025.01-2026.05 '!$D141,[1]SA007!Q:Q)</f>
        <v>209</v>
      </c>
      <c r="AC141" s="19">
        <f t="shared" si="7"/>
        <v>1485</v>
      </c>
      <c r="AD141" s="19">
        <f t="shared" si="8"/>
        <v>87.352941176470594</v>
      </c>
      <c r="AE141" s="20" t="s">
        <v>116</v>
      </c>
      <c r="AG141" s="21">
        <f>SUMIF([1]SO003!$H:$H,'SA007 2025.01-2026.05 '!$D141,[1]SO003!AF:AF)</f>
        <v>643.57439999999997</v>
      </c>
      <c r="AH141" s="21">
        <f>SUMIF([1]SO003!$H:$H,'SA007 2025.01-2026.05 '!$D141,[1]SO003!AH:AH)</f>
        <v>665.02688000000001</v>
      </c>
      <c r="AI141" s="21">
        <f>SUMIF([1]SO003!$H:$H,'SA007 2025.01-2026.05 '!$D141,[1]SO003!AJ:AJ)</f>
        <v>0</v>
      </c>
    </row>
    <row r="142" spans="1:35" ht="11.45" customHeight="1" x14ac:dyDescent="0.55000000000000004">
      <c r="A142" s="2" t="s">
        <v>381</v>
      </c>
      <c r="B142" s="2" t="s">
        <v>77</v>
      </c>
      <c r="C142" s="2" t="s">
        <v>77</v>
      </c>
      <c r="D142" s="2" t="s">
        <v>391</v>
      </c>
      <c r="E142" s="2" t="s">
        <v>240</v>
      </c>
      <c r="F142" s="2" t="s">
        <v>240</v>
      </c>
      <c r="G142" s="3" t="s">
        <v>39</v>
      </c>
      <c r="H142" s="2" t="s">
        <v>392</v>
      </c>
      <c r="I142" s="17">
        <v>2</v>
      </c>
      <c r="J142" s="3">
        <v>130</v>
      </c>
      <c r="K142" s="3" t="s">
        <v>41</v>
      </c>
      <c r="L142" s="18">
        <v>0</v>
      </c>
      <c r="M142" s="18">
        <v>0</v>
      </c>
      <c r="N142" s="18">
        <v>1402.5</v>
      </c>
      <c r="O142" s="18">
        <v>0</v>
      </c>
      <c r="P142" s="18">
        <v>0</v>
      </c>
      <c r="Q142" s="18">
        <v>2015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f>SUMIF([1]SA007!$C:$C,'SA007 2025.01-2026.05 '!$D142,[1]SA007!P:P)</f>
        <v>0</v>
      </c>
      <c r="AB142" s="18">
        <f>SUMIF([1]SA007!$C:$C,'SA007 2025.01-2026.05 '!$D142,[1]SA007!Q:Q)</f>
        <v>2054</v>
      </c>
      <c r="AC142" s="19">
        <f t="shared" si="7"/>
        <v>5471.5</v>
      </c>
      <c r="AD142" s="19">
        <f t="shared" si="8"/>
        <v>321.85294117647061</v>
      </c>
      <c r="AE142" s="20" t="s">
        <v>393</v>
      </c>
      <c r="AG142" s="21">
        <f>SUMIF([1]SO003!$H:$H,'SA007 2025.01-2026.05 '!$D142,[1]SO003!AF:AF)</f>
        <v>0</v>
      </c>
      <c r="AH142" s="21">
        <f>SUMIF([1]SO003!$H:$H,'SA007 2025.01-2026.05 '!$D142,[1]SO003!AH:AH)</f>
        <v>0</v>
      </c>
      <c r="AI142" s="21">
        <f>SUMIF([1]SO003!$H:$H,'SA007 2025.01-2026.05 '!$D142,[1]SO003!AJ:AJ)</f>
        <v>0</v>
      </c>
    </row>
    <row r="143" spans="1:35" ht="11.45" customHeight="1" x14ac:dyDescent="0.55000000000000004">
      <c r="A143" s="2" t="s">
        <v>247</v>
      </c>
      <c r="B143" s="2" t="s">
        <v>54</v>
      </c>
      <c r="C143" s="2" t="s">
        <v>54</v>
      </c>
      <c r="D143" s="2" t="s">
        <v>394</v>
      </c>
      <c r="E143" s="2" t="s">
        <v>38</v>
      </c>
      <c r="F143" s="2" t="s">
        <v>38</v>
      </c>
      <c r="G143" s="3" t="s">
        <v>57</v>
      </c>
      <c r="H143" s="2" t="s">
        <v>395</v>
      </c>
      <c r="I143" s="17">
        <v>2</v>
      </c>
      <c r="J143" s="3">
        <v>262</v>
      </c>
      <c r="K143" s="3" t="s">
        <v>41</v>
      </c>
      <c r="L143" s="18">
        <v>3853</v>
      </c>
      <c r="M143" s="18">
        <v>0</v>
      </c>
      <c r="N143" s="18">
        <v>0</v>
      </c>
      <c r="O143" s="18">
        <v>3419</v>
      </c>
      <c r="P143" s="18">
        <v>0</v>
      </c>
      <c r="Q143" s="18">
        <v>2444</v>
      </c>
      <c r="R143" s="18">
        <v>4461</v>
      </c>
      <c r="S143" s="18">
        <v>0</v>
      </c>
      <c r="T143" s="18">
        <v>0</v>
      </c>
      <c r="U143" s="18">
        <v>0</v>
      </c>
      <c r="V143" s="18">
        <v>3098</v>
      </c>
      <c r="W143" s="18">
        <v>3867</v>
      </c>
      <c r="X143" s="18">
        <v>2081</v>
      </c>
      <c r="Y143" s="18">
        <v>0</v>
      </c>
      <c r="Z143" s="18">
        <v>0</v>
      </c>
      <c r="AA143" s="18">
        <f>SUMIF([1]SA007!$C:$C,'SA007 2025.01-2026.05 '!$D143,[1]SA007!P:P)</f>
        <v>5494</v>
      </c>
      <c r="AB143" s="18">
        <f>SUMIF([1]SA007!$C:$C,'SA007 2025.01-2026.05 '!$D143,[1]SA007!Q:Q)</f>
        <v>0</v>
      </c>
      <c r="AC143" s="19">
        <f t="shared" si="7"/>
        <v>28717</v>
      </c>
      <c r="AD143" s="19">
        <f t="shared" si="8"/>
        <v>1689.2352941176471</v>
      </c>
      <c r="AE143" s="20" t="s">
        <v>396</v>
      </c>
      <c r="AG143" s="21">
        <f>SUMIF([1]SO003!$H:$H,'SA007 2025.01-2026.05 '!$D143,[1]SO003!AF:AF)</f>
        <v>6400</v>
      </c>
      <c r="AH143" s="21">
        <f>SUMIF([1]SO003!$H:$H,'SA007 2025.01-2026.05 '!$D143,[1]SO003!AH:AH)</f>
        <v>3097</v>
      </c>
      <c r="AI143" s="21">
        <f>SUMIF([1]SO003!$H:$H,'SA007 2025.01-2026.05 '!$D143,[1]SO003!AJ:AJ)</f>
        <v>103</v>
      </c>
    </row>
    <row r="144" spans="1:35" ht="11.45" customHeight="1" x14ac:dyDescent="0.55000000000000004">
      <c r="A144" s="2" t="s">
        <v>385</v>
      </c>
      <c r="B144" s="2" t="s">
        <v>284</v>
      </c>
      <c r="C144" s="2" t="s">
        <v>284</v>
      </c>
      <c r="D144" s="2" t="s">
        <v>397</v>
      </c>
      <c r="E144" s="2" t="s">
        <v>38</v>
      </c>
      <c r="F144" s="2" t="s">
        <v>38</v>
      </c>
      <c r="G144" s="3" t="s">
        <v>57</v>
      </c>
      <c r="H144" s="2" t="s">
        <v>398</v>
      </c>
      <c r="I144" s="17">
        <v>2</v>
      </c>
      <c r="J144" s="3">
        <v>360</v>
      </c>
      <c r="K144" s="3" t="s">
        <v>41</v>
      </c>
      <c r="L144" s="18">
        <v>2500</v>
      </c>
      <c r="M144" s="18">
        <v>0</v>
      </c>
      <c r="N144" s="18">
        <v>1617</v>
      </c>
      <c r="O144" s="18">
        <v>780</v>
      </c>
      <c r="P144" s="18">
        <v>939</v>
      </c>
      <c r="Q144" s="18">
        <v>3129</v>
      </c>
      <c r="R144" s="18">
        <v>0</v>
      </c>
      <c r="S144" s="18">
        <v>2514</v>
      </c>
      <c r="T144" s="18">
        <v>0</v>
      </c>
      <c r="U144" s="18">
        <v>2099</v>
      </c>
      <c r="V144" s="18">
        <v>0</v>
      </c>
      <c r="W144" s="18">
        <v>0</v>
      </c>
      <c r="X144" s="18">
        <v>1414</v>
      </c>
      <c r="Y144" s="18">
        <v>0</v>
      </c>
      <c r="Z144" s="18">
        <v>0</v>
      </c>
      <c r="AA144" s="18">
        <f>SUMIF([1]SA007!$C:$C,'SA007 2025.01-2026.05 '!$D144,[1]SA007!P:P)</f>
        <v>1810</v>
      </c>
      <c r="AB144" s="18">
        <f>SUMIF([1]SA007!$C:$C,'SA007 2025.01-2026.05 '!$D144,[1]SA007!Q:Q)</f>
        <v>0</v>
      </c>
      <c r="AC144" s="19">
        <f t="shared" si="7"/>
        <v>16802</v>
      </c>
      <c r="AD144" s="19">
        <f t="shared" si="8"/>
        <v>988.35294117647061</v>
      </c>
      <c r="AE144" s="20" t="s">
        <v>396</v>
      </c>
      <c r="AG144" s="21">
        <f>SUMIF([1]SO003!$H:$H,'SA007 2025.01-2026.05 '!$D144,[1]SO003!AF:AF)</f>
        <v>6200</v>
      </c>
      <c r="AH144" s="21">
        <f>SUMIF([1]SO003!$H:$H,'SA007 2025.01-2026.05 '!$D144,[1]SO003!AH:AH)</f>
        <v>3132</v>
      </c>
      <c r="AI144" s="21">
        <f>SUMIF([1]SO003!$H:$H,'SA007 2025.01-2026.05 '!$D144,[1]SO003!AJ:AJ)</f>
        <v>3100</v>
      </c>
    </row>
    <row r="145" spans="1:35" ht="11.45" customHeight="1" x14ac:dyDescent="0.55000000000000004">
      <c r="A145" s="2" t="s">
        <v>364</v>
      </c>
      <c r="B145" s="2" t="s">
        <v>365</v>
      </c>
      <c r="C145" s="2" t="s">
        <v>365</v>
      </c>
      <c r="D145" s="2" t="s">
        <v>399</v>
      </c>
      <c r="E145" s="2" t="s">
        <v>363</v>
      </c>
      <c r="F145" s="2" t="s">
        <v>363</v>
      </c>
      <c r="G145" s="3" t="s">
        <v>47</v>
      </c>
      <c r="H145" s="2" t="s">
        <v>367</v>
      </c>
      <c r="I145" s="17">
        <v>2</v>
      </c>
      <c r="J145" s="3">
        <v>75</v>
      </c>
      <c r="K145" s="3">
        <v>1220</v>
      </c>
      <c r="L145" s="18">
        <v>0</v>
      </c>
      <c r="M145" s="18">
        <v>721</v>
      </c>
      <c r="N145" s="18">
        <v>728</v>
      </c>
      <c r="O145" s="18">
        <v>0</v>
      </c>
      <c r="P145" s="18">
        <v>1216</v>
      </c>
      <c r="Q145" s="18">
        <v>567</v>
      </c>
      <c r="R145" s="18">
        <v>858</v>
      </c>
      <c r="S145" s="18">
        <v>415</v>
      </c>
      <c r="T145" s="18">
        <v>1251</v>
      </c>
      <c r="U145" s="18">
        <v>512</v>
      </c>
      <c r="V145" s="18">
        <v>859</v>
      </c>
      <c r="W145" s="18">
        <v>579</v>
      </c>
      <c r="X145" s="18">
        <v>0</v>
      </c>
      <c r="Y145" s="18">
        <v>20</v>
      </c>
      <c r="Z145" s="18">
        <v>960</v>
      </c>
      <c r="AA145" s="18">
        <f>SUMIF([1]SA007!$C:$C,'SA007 2025.01-2026.05 '!$D145,[1]SA007!P:P)</f>
        <v>0</v>
      </c>
      <c r="AB145" s="18">
        <f>SUMIF([1]SA007!$C:$C,'SA007 2025.01-2026.05 '!$D145,[1]SA007!Q:Q)</f>
        <v>431</v>
      </c>
      <c r="AC145" s="19">
        <f t="shared" si="7"/>
        <v>9117</v>
      </c>
      <c r="AD145" s="19">
        <f t="shared" si="8"/>
        <v>536.29411764705878</v>
      </c>
      <c r="AE145" s="20" t="s">
        <v>116</v>
      </c>
      <c r="AG145" s="21">
        <f>SUMIF([1]SO003!$H:$H,'SA007 2025.01-2026.05 '!$D145,[1]SO003!AF:AF)</f>
        <v>0</v>
      </c>
      <c r="AH145" s="21">
        <f>SUMIF([1]SO003!$H:$H,'SA007 2025.01-2026.05 '!$D145,[1]SO003!AH:AH)</f>
        <v>0</v>
      </c>
      <c r="AI145" s="21">
        <f>SUMIF([1]SO003!$H:$H,'SA007 2025.01-2026.05 '!$D145,[1]SO003!AJ:AJ)</f>
        <v>0</v>
      </c>
    </row>
    <row r="146" spans="1:35" ht="11.45" customHeight="1" x14ac:dyDescent="0.55000000000000004">
      <c r="A146" s="2" t="s">
        <v>364</v>
      </c>
      <c r="B146" s="2" t="s">
        <v>365</v>
      </c>
      <c r="C146" s="2" t="s">
        <v>365</v>
      </c>
      <c r="D146" s="2" t="s">
        <v>400</v>
      </c>
      <c r="E146" s="2" t="s">
        <v>363</v>
      </c>
      <c r="F146" s="2" t="s">
        <v>363</v>
      </c>
      <c r="G146" s="3" t="s">
        <v>47</v>
      </c>
      <c r="H146" s="2" t="s">
        <v>367</v>
      </c>
      <c r="I146" s="17">
        <v>2</v>
      </c>
      <c r="J146" s="3">
        <v>80</v>
      </c>
      <c r="K146" s="3">
        <v>1220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150</v>
      </c>
      <c r="S146" s="18">
        <v>153</v>
      </c>
      <c r="T146" s="18">
        <v>155</v>
      </c>
      <c r="U146" s="18">
        <v>107</v>
      </c>
      <c r="V146" s="18">
        <v>154</v>
      </c>
      <c r="W146" s="18">
        <v>0</v>
      </c>
      <c r="X146" s="18">
        <v>0</v>
      </c>
      <c r="Y146" s="18">
        <v>0</v>
      </c>
      <c r="Z146" s="18">
        <v>0</v>
      </c>
      <c r="AA146" s="18">
        <f>SUMIF([1]SA007!$C:$C,'SA007 2025.01-2026.05 '!$D146,[1]SA007!P:P)</f>
        <v>0</v>
      </c>
      <c r="AB146" s="18">
        <f>SUMIF([1]SA007!$C:$C,'SA007 2025.01-2026.05 '!$D146,[1]SA007!Q:Q)</f>
        <v>0</v>
      </c>
      <c r="AC146" s="19">
        <f t="shared" si="7"/>
        <v>719</v>
      </c>
      <c r="AD146" s="19">
        <f t="shared" si="8"/>
        <v>42.294117647058826</v>
      </c>
      <c r="AE146" s="20" t="s">
        <v>116</v>
      </c>
      <c r="AG146" s="21">
        <f>SUMIF([1]SO003!$H:$H,'SA007 2025.01-2026.05 '!$D146,[1]SO003!AF:AF)</f>
        <v>0</v>
      </c>
      <c r="AH146" s="21">
        <f>SUMIF([1]SO003!$H:$H,'SA007 2025.01-2026.05 '!$D146,[1]SO003!AH:AH)</f>
        <v>0</v>
      </c>
      <c r="AI146" s="21">
        <f>SUMIF([1]SO003!$H:$H,'SA007 2025.01-2026.05 '!$D146,[1]SO003!AJ:AJ)</f>
        <v>0</v>
      </c>
    </row>
    <row r="147" spans="1:35" ht="11.45" customHeight="1" x14ac:dyDescent="0.55000000000000004">
      <c r="A147" s="2" t="s">
        <v>389</v>
      </c>
      <c r="B147" s="2" t="s">
        <v>213</v>
      </c>
      <c r="C147" s="2" t="s">
        <v>213</v>
      </c>
      <c r="D147" s="2" t="s">
        <v>401</v>
      </c>
      <c r="E147" s="2" t="s">
        <v>363</v>
      </c>
      <c r="F147" s="2" t="s">
        <v>363</v>
      </c>
      <c r="G147" s="3" t="s">
        <v>47</v>
      </c>
      <c r="H147" s="2" t="s">
        <v>402</v>
      </c>
      <c r="I147" s="17">
        <v>2</v>
      </c>
      <c r="J147" s="3">
        <v>86</v>
      </c>
      <c r="K147" s="3">
        <v>1220</v>
      </c>
      <c r="L147" s="18">
        <v>0</v>
      </c>
      <c r="M147" s="18">
        <v>660</v>
      </c>
      <c r="N147" s="18">
        <v>169</v>
      </c>
      <c r="O147" s="18">
        <v>0</v>
      </c>
      <c r="P147" s="18">
        <v>0</v>
      </c>
      <c r="Q147" s="18">
        <v>0</v>
      </c>
      <c r="R147" s="18">
        <v>0</v>
      </c>
      <c r="S147" s="18">
        <v>256</v>
      </c>
      <c r="T147" s="18">
        <v>489</v>
      </c>
      <c r="U147" s="18">
        <v>0</v>
      </c>
      <c r="V147" s="18">
        <v>811</v>
      </c>
      <c r="W147" s="18">
        <v>0</v>
      </c>
      <c r="X147" s="18">
        <v>0</v>
      </c>
      <c r="Y147" s="18">
        <v>0</v>
      </c>
      <c r="Z147" s="18">
        <v>0</v>
      </c>
      <c r="AA147" s="18">
        <f>SUMIF([1]SA007!$C:$C,'SA007 2025.01-2026.05 '!$D147,[1]SA007!P:P)</f>
        <v>408</v>
      </c>
      <c r="AB147" s="18">
        <f>SUMIF([1]SA007!$C:$C,'SA007 2025.01-2026.05 '!$D147,[1]SA007!Q:Q)</f>
        <v>0</v>
      </c>
      <c r="AC147" s="19">
        <f t="shared" si="7"/>
        <v>2793</v>
      </c>
      <c r="AD147" s="19">
        <f t="shared" si="8"/>
        <v>164.29411764705881</v>
      </c>
      <c r="AE147" s="20" t="s">
        <v>116</v>
      </c>
      <c r="AG147" s="21">
        <f>SUMIF([1]SO003!$H:$H,'SA007 2025.01-2026.05 '!$D147,[1]SO003!AF:AF)</f>
        <v>0</v>
      </c>
      <c r="AH147" s="21">
        <f>SUMIF([1]SO003!$H:$H,'SA007 2025.01-2026.05 '!$D147,[1]SO003!AH:AH)</f>
        <v>0</v>
      </c>
      <c r="AI147" s="21">
        <f>SUMIF([1]SO003!$H:$H,'SA007 2025.01-2026.05 '!$D147,[1]SO003!AJ:AJ)</f>
        <v>0</v>
      </c>
    </row>
    <row r="148" spans="1:35" ht="11.45" customHeight="1" x14ac:dyDescent="0.55000000000000004">
      <c r="A148" s="2" t="s">
        <v>364</v>
      </c>
      <c r="B148" s="2" t="s">
        <v>365</v>
      </c>
      <c r="C148" s="2" t="s">
        <v>365</v>
      </c>
      <c r="D148" s="2" t="s">
        <v>403</v>
      </c>
      <c r="E148" s="2" t="s">
        <v>363</v>
      </c>
      <c r="F148" s="2" t="s">
        <v>363</v>
      </c>
      <c r="G148" s="3" t="s">
        <v>47</v>
      </c>
      <c r="H148" s="2" t="s">
        <v>367</v>
      </c>
      <c r="I148" s="17">
        <v>2</v>
      </c>
      <c r="J148" s="3">
        <v>108</v>
      </c>
      <c r="K148" s="3">
        <v>1220</v>
      </c>
      <c r="L148" s="18">
        <v>0</v>
      </c>
      <c r="M148" s="18">
        <v>0</v>
      </c>
      <c r="N148" s="18">
        <v>2716</v>
      </c>
      <c r="O148" s="18">
        <v>0</v>
      </c>
      <c r="P148" s="18">
        <v>823</v>
      </c>
      <c r="Q148" s="18">
        <v>311</v>
      </c>
      <c r="R148" s="18">
        <v>2072</v>
      </c>
      <c r="S148" s="18">
        <v>0</v>
      </c>
      <c r="T148" s="18">
        <v>1451</v>
      </c>
      <c r="U148" s="18">
        <v>1607</v>
      </c>
      <c r="V148" s="18">
        <v>1022</v>
      </c>
      <c r="W148" s="18">
        <v>1040</v>
      </c>
      <c r="X148" s="18">
        <v>623</v>
      </c>
      <c r="Y148" s="18">
        <v>2498</v>
      </c>
      <c r="Z148" s="18">
        <v>417</v>
      </c>
      <c r="AA148" s="18">
        <f>SUMIF([1]SA007!$C:$C,'SA007 2025.01-2026.05 '!$D148,[1]SA007!P:P)</f>
        <v>1038</v>
      </c>
      <c r="AB148" s="18">
        <f>SUMIF([1]SA007!$C:$C,'SA007 2025.01-2026.05 '!$D148,[1]SA007!Q:Q)</f>
        <v>1033</v>
      </c>
      <c r="AC148" s="19">
        <f t="shared" si="7"/>
        <v>16651</v>
      </c>
      <c r="AD148" s="19">
        <f t="shared" si="8"/>
        <v>979.47058823529414</v>
      </c>
      <c r="AE148" s="20" t="s">
        <v>116</v>
      </c>
      <c r="AG148" s="21">
        <f>SUMIF([1]SO003!$H:$H,'SA007 2025.01-2026.05 '!$D148,[1]SO003!AF:AF)</f>
        <v>1861.7688000000001</v>
      </c>
      <c r="AH148" s="21">
        <f>SUMIF([1]SO003!$H:$H,'SA007 2025.01-2026.05 '!$D148,[1]SO003!AH:AH)</f>
        <v>1861.7688000000001</v>
      </c>
      <c r="AI148" s="21">
        <f>SUMIF([1]SO003!$H:$H,'SA007 2025.01-2026.05 '!$D148,[1]SO003!AJ:AJ)</f>
        <v>0</v>
      </c>
    </row>
    <row r="149" spans="1:35" ht="11.45" customHeight="1" x14ac:dyDescent="0.55000000000000004">
      <c r="A149" s="2" t="s">
        <v>381</v>
      </c>
      <c r="B149" s="2" t="s">
        <v>77</v>
      </c>
      <c r="C149" s="2" t="s">
        <v>77</v>
      </c>
      <c r="D149" s="2" t="s">
        <v>404</v>
      </c>
      <c r="E149" s="2" t="s">
        <v>240</v>
      </c>
      <c r="F149" s="2" t="s">
        <v>240</v>
      </c>
      <c r="G149" s="3" t="s">
        <v>39</v>
      </c>
      <c r="H149" s="2" t="s">
        <v>392</v>
      </c>
      <c r="I149" s="17">
        <v>2</v>
      </c>
      <c r="J149" s="3">
        <v>156</v>
      </c>
      <c r="K149" s="3" t="s">
        <v>41</v>
      </c>
      <c r="L149" s="18">
        <v>0</v>
      </c>
      <c r="M149" s="18">
        <v>0</v>
      </c>
      <c r="N149" s="18">
        <v>2033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f>SUMIF([1]SA007!$C:$C,'SA007 2025.01-2026.05 '!$D149,[1]SA007!P:P)</f>
        <v>0</v>
      </c>
      <c r="AB149" s="18">
        <f>SUMIF([1]SA007!$C:$C,'SA007 2025.01-2026.05 '!$D149,[1]SA007!Q:Q)</f>
        <v>0</v>
      </c>
      <c r="AC149" s="19">
        <f t="shared" si="7"/>
        <v>2033</v>
      </c>
      <c r="AD149" s="19">
        <f t="shared" si="8"/>
        <v>119.58823529411765</v>
      </c>
      <c r="AE149" s="20" t="s">
        <v>405</v>
      </c>
      <c r="AG149" s="21">
        <f>SUMIF([1]SO003!$H:$H,'SA007 2025.01-2026.05 '!$D149,[1]SO003!AF:AF)</f>
        <v>0</v>
      </c>
      <c r="AH149" s="21">
        <f>SUMIF([1]SO003!$H:$H,'SA007 2025.01-2026.05 '!$D149,[1]SO003!AH:AH)</f>
        <v>0</v>
      </c>
      <c r="AI149" s="21">
        <f>SUMIF([1]SO003!$H:$H,'SA007 2025.01-2026.05 '!$D149,[1]SO003!AJ:AJ)</f>
        <v>0</v>
      </c>
    </row>
    <row r="150" spans="1:35" ht="11.45" customHeight="1" x14ac:dyDescent="0.55000000000000004">
      <c r="A150" s="2" t="s">
        <v>164</v>
      </c>
      <c r="C150" s="2" t="s">
        <v>334</v>
      </c>
      <c r="D150" s="2" t="s">
        <v>406</v>
      </c>
      <c r="E150" s="2" t="s">
        <v>101</v>
      </c>
      <c r="G150" s="3" t="s">
        <v>57</v>
      </c>
      <c r="H150" s="2" t="s">
        <v>334</v>
      </c>
      <c r="I150" s="17">
        <v>0.6</v>
      </c>
      <c r="J150" s="3">
        <v>525</v>
      </c>
      <c r="K150" s="3">
        <v>1590.2</v>
      </c>
      <c r="L150" s="18">
        <v>0</v>
      </c>
      <c r="M150" s="18">
        <v>0</v>
      </c>
      <c r="N150" s="18">
        <v>0</v>
      </c>
      <c r="O150" s="18">
        <v>0</v>
      </c>
      <c r="P150" s="18">
        <v>3913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f>SUMIF([1]SA007!$C:$C,'SA007 2025.01-2026.05 '!$D150,[1]SA007!P:P)</f>
        <v>0</v>
      </c>
      <c r="AB150" s="18">
        <f>SUMIF([1]SA007!$C:$C,'SA007 2025.01-2026.05 '!$D150,[1]SA007!Q:Q)</f>
        <v>0</v>
      </c>
      <c r="AC150" s="19">
        <f t="shared" si="7"/>
        <v>3913</v>
      </c>
      <c r="AD150" s="19">
        <f t="shared" si="8"/>
        <v>230.1764705882353</v>
      </c>
      <c r="AE150" s="20" t="e">
        <v>#N/A</v>
      </c>
      <c r="AG150" s="21">
        <f>SUMIF([1]SO003!$H:$H,'SA007 2025.01-2026.05 '!$D150,[1]SO003!AF:AF)</f>
        <v>0</v>
      </c>
      <c r="AH150" s="21">
        <f>SUMIF([1]SO003!$H:$H,'SA007 2025.01-2026.05 '!$D150,[1]SO003!AH:AH)</f>
        <v>0</v>
      </c>
      <c r="AI150" s="21">
        <f>SUMIF([1]SO003!$H:$H,'SA007 2025.01-2026.05 '!$D150,[1]SO003!AJ:AJ)</f>
        <v>0</v>
      </c>
    </row>
    <row r="151" spans="1:35" ht="11.45" customHeight="1" x14ac:dyDescent="0.55000000000000004">
      <c r="A151" s="2" t="s">
        <v>381</v>
      </c>
      <c r="B151" s="2" t="s">
        <v>77</v>
      </c>
      <c r="C151" s="2" t="s">
        <v>77</v>
      </c>
      <c r="D151" s="2" t="s">
        <v>407</v>
      </c>
      <c r="E151" s="2" t="s">
        <v>240</v>
      </c>
      <c r="F151" s="2" t="s">
        <v>240</v>
      </c>
      <c r="G151" s="3" t="s">
        <v>39</v>
      </c>
      <c r="H151" s="2" t="s">
        <v>392</v>
      </c>
      <c r="I151" s="17">
        <v>2</v>
      </c>
      <c r="J151" s="3">
        <v>230</v>
      </c>
      <c r="K151" s="3" t="s">
        <v>41</v>
      </c>
      <c r="L151" s="18">
        <v>0</v>
      </c>
      <c r="M151" s="18">
        <v>0</v>
      </c>
      <c r="N151" s="18">
        <v>3790.5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f>SUMIF([1]SA007!$C:$C,'SA007 2025.01-2026.05 '!$D151,[1]SA007!P:P)</f>
        <v>0</v>
      </c>
      <c r="AB151" s="18">
        <f>SUMIF([1]SA007!$C:$C,'SA007 2025.01-2026.05 '!$D151,[1]SA007!Q:Q)</f>
        <v>0</v>
      </c>
      <c r="AC151" s="19">
        <f t="shared" si="7"/>
        <v>3790.5</v>
      </c>
      <c r="AD151" s="19">
        <f t="shared" si="8"/>
        <v>222.97058823529412</v>
      </c>
      <c r="AE151" s="20" t="s">
        <v>408</v>
      </c>
      <c r="AG151" s="21">
        <f>SUMIF([1]SO003!$H:$H,'SA007 2025.01-2026.05 '!$D151,[1]SO003!AF:AF)</f>
        <v>0</v>
      </c>
      <c r="AH151" s="21">
        <f>SUMIF([1]SO003!$H:$H,'SA007 2025.01-2026.05 '!$D151,[1]SO003!AH:AH)</f>
        <v>0</v>
      </c>
      <c r="AI151" s="21">
        <f>SUMIF([1]SO003!$H:$H,'SA007 2025.01-2026.05 '!$D151,[1]SO003!AJ:AJ)</f>
        <v>0</v>
      </c>
    </row>
    <row r="152" spans="1:35" ht="11.45" customHeight="1" x14ac:dyDescent="0.55000000000000004">
      <c r="A152" s="2" t="s">
        <v>381</v>
      </c>
      <c r="B152" s="2" t="s">
        <v>77</v>
      </c>
      <c r="C152" s="2" t="s">
        <v>77</v>
      </c>
      <c r="D152" s="2" t="s">
        <v>409</v>
      </c>
      <c r="E152" s="2" t="s">
        <v>240</v>
      </c>
      <c r="F152" s="2" t="s">
        <v>240</v>
      </c>
      <c r="G152" s="3" t="s">
        <v>39</v>
      </c>
      <c r="H152" s="2" t="s">
        <v>282</v>
      </c>
      <c r="I152" s="17">
        <v>2</v>
      </c>
      <c r="J152" s="3">
        <v>295</v>
      </c>
      <c r="K152" s="3">
        <v>558</v>
      </c>
      <c r="L152" s="18">
        <v>0</v>
      </c>
      <c r="M152" s="18">
        <v>7882.5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f>SUMIF([1]SA007!$C:$C,'SA007 2025.01-2026.05 '!$D152,[1]SA007!P:P)</f>
        <v>0</v>
      </c>
      <c r="AB152" s="18">
        <f>SUMIF([1]SA007!$C:$C,'SA007 2025.01-2026.05 '!$D152,[1]SA007!Q:Q)</f>
        <v>0</v>
      </c>
      <c r="AC152" s="19">
        <f t="shared" si="7"/>
        <v>7882.5</v>
      </c>
      <c r="AD152" s="19">
        <f t="shared" si="8"/>
        <v>463.6764705882353</v>
      </c>
      <c r="AE152" s="20" t="s">
        <v>410</v>
      </c>
      <c r="AG152" s="21">
        <f>SUMIF([1]SO003!$H:$H,'SA007 2025.01-2026.05 '!$D152,[1]SO003!AF:AF)</f>
        <v>0</v>
      </c>
      <c r="AH152" s="21">
        <f>SUMIF([1]SO003!$H:$H,'SA007 2025.01-2026.05 '!$D152,[1]SO003!AH:AH)</f>
        <v>0</v>
      </c>
      <c r="AI152" s="21">
        <f>SUMIF([1]SO003!$H:$H,'SA007 2025.01-2026.05 '!$D152,[1]SO003!AJ:AJ)</f>
        <v>0</v>
      </c>
    </row>
    <row r="153" spans="1:35" ht="11.45" customHeight="1" x14ac:dyDescent="0.55000000000000004">
      <c r="A153" s="2" t="s">
        <v>364</v>
      </c>
      <c r="B153" s="2" t="s">
        <v>365</v>
      </c>
      <c r="C153" s="2" t="s">
        <v>365</v>
      </c>
      <c r="D153" s="2" t="s">
        <v>411</v>
      </c>
      <c r="E153" s="2" t="s">
        <v>363</v>
      </c>
      <c r="F153" s="2" t="s">
        <v>363</v>
      </c>
      <c r="G153" s="3" t="s">
        <v>47</v>
      </c>
      <c r="H153" s="2" t="s">
        <v>367</v>
      </c>
      <c r="I153" s="17">
        <v>2</v>
      </c>
      <c r="J153" s="3">
        <v>36</v>
      </c>
      <c r="K153" s="3">
        <v>1220</v>
      </c>
      <c r="L153" s="18">
        <v>0</v>
      </c>
      <c r="M153" s="18">
        <v>69</v>
      </c>
      <c r="N153" s="18">
        <v>0</v>
      </c>
      <c r="O153" s="18">
        <v>68</v>
      </c>
      <c r="P153" s="18">
        <v>0</v>
      </c>
      <c r="Q153" s="18">
        <v>0</v>
      </c>
      <c r="R153" s="18">
        <v>140</v>
      </c>
      <c r="S153" s="18">
        <v>0</v>
      </c>
      <c r="T153" s="18">
        <v>69</v>
      </c>
      <c r="U153" s="18">
        <v>44</v>
      </c>
      <c r="V153" s="18">
        <v>0</v>
      </c>
      <c r="W153" s="18">
        <v>0</v>
      </c>
      <c r="X153" s="18">
        <v>56</v>
      </c>
      <c r="Y153" s="18">
        <v>0</v>
      </c>
      <c r="Z153" s="18">
        <v>36</v>
      </c>
      <c r="AA153" s="18">
        <f>SUMIF([1]SA007!$C:$C,'SA007 2025.01-2026.05 '!$D153,[1]SA007!P:P)</f>
        <v>70</v>
      </c>
      <c r="AB153" s="18">
        <f>SUMIF([1]SA007!$C:$C,'SA007 2025.01-2026.05 '!$D153,[1]SA007!Q:Q)</f>
        <v>0</v>
      </c>
      <c r="AC153" s="19">
        <f t="shared" si="7"/>
        <v>552</v>
      </c>
      <c r="AD153" s="19">
        <f t="shared" si="8"/>
        <v>32.470588235294116</v>
      </c>
      <c r="AE153" s="20" t="s">
        <v>116</v>
      </c>
      <c r="AG153" s="21">
        <f>SUMIF([1]SO003!$H:$H,'SA007 2025.01-2026.05 '!$D153,[1]SO003!AF:AF)</f>
        <v>68.954399999999993</v>
      </c>
      <c r="AH153" s="21">
        <f>SUMIF([1]SO003!$H:$H,'SA007 2025.01-2026.05 '!$D153,[1]SO003!AH:AH)</f>
        <v>106.18977599999999</v>
      </c>
      <c r="AI153" s="21">
        <f>SUMIF([1]SO003!$H:$H,'SA007 2025.01-2026.05 '!$D153,[1]SO003!AJ:AJ)</f>
        <v>0</v>
      </c>
    </row>
    <row r="154" spans="1:35" x14ac:dyDescent="0.55000000000000004">
      <c r="A154" s="2" t="s">
        <v>389</v>
      </c>
      <c r="B154" s="2" t="s">
        <v>213</v>
      </c>
      <c r="C154" s="2" t="s">
        <v>213</v>
      </c>
      <c r="D154" s="2" t="s">
        <v>412</v>
      </c>
      <c r="E154" s="2" t="s">
        <v>363</v>
      </c>
      <c r="F154" s="2" t="s">
        <v>363</v>
      </c>
      <c r="G154" s="3" t="s">
        <v>47</v>
      </c>
      <c r="H154" s="2" t="s">
        <v>413</v>
      </c>
      <c r="I154" s="17">
        <v>2</v>
      </c>
      <c r="J154" s="3">
        <v>45</v>
      </c>
      <c r="K154" s="3">
        <v>1220</v>
      </c>
      <c r="L154" s="18">
        <v>0</v>
      </c>
      <c r="M154" s="18">
        <v>450</v>
      </c>
      <c r="N154" s="18">
        <v>925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512</v>
      </c>
      <c r="Y154" s="18">
        <v>525</v>
      </c>
      <c r="Z154" s="18">
        <v>0</v>
      </c>
      <c r="AA154" s="18">
        <f>SUMIF([1]SA007!$C:$C,'SA007 2025.01-2026.05 '!$D154,[1]SA007!P:P)</f>
        <v>771</v>
      </c>
      <c r="AB154" s="18">
        <f>SUMIF([1]SA007!$C:$C,'SA007 2025.01-2026.05 '!$D154,[1]SA007!Q:Q)</f>
        <v>0</v>
      </c>
      <c r="AC154" s="19">
        <f t="shared" si="7"/>
        <v>3183</v>
      </c>
      <c r="AD154" s="19">
        <f t="shared" si="8"/>
        <v>187.23529411764707</v>
      </c>
      <c r="AE154" s="20" t="s">
        <v>116</v>
      </c>
      <c r="AG154" s="21">
        <f>SUMIF([1]SO003!$H:$H,'SA007 2025.01-2026.05 '!$D154,[1]SO003!AF:AF)</f>
        <v>0</v>
      </c>
      <c r="AH154" s="21">
        <f>SUMIF([1]SO003!$H:$H,'SA007 2025.01-2026.05 '!$D154,[1]SO003!AH:AH)</f>
        <v>0</v>
      </c>
      <c r="AI154" s="21">
        <f>SUMIF([1]SO003!$H:$H,'SA007 2025.01-2026.05 '!$D154,[1]SO003!AJ:AJ)</f>
        <v>0</v>
      </c>
    </row>
    <row r="155" spans="1:35" ht="11.45" customHeight="1" x14ac:dyDescent="0.55000000000000004">
      <c r="A155" s="2" t="s">
        <v>389</v>
      </c>
      <c r="B155" s="2" t="s">
        <v>213</v>
      </c>
      <c r="C155" s="2" t="s">
        <v>213</v>
      </c>
      <c r="D155" s="2" t="s">
        <v>414</v>
      </c>
      <c r="E155" s="2" t="s">
        <v>363</v>
      </c>
      <c r="F155" s="2" t="s">
        <v>363</v>
      </c>
      <c r="G155" s="3" t="s">
        <v>47</v>
      </c>
      <c r="H155" s="2" t="s">
        <v>402</v>
      </c>
      <c r="I155" s="17">
        <v>2</v>
      </c>
      <c r="J155" s="3">
        <v>49</v>
      </c>
      <c r="K155" s="3">
        <v>1220</v>
      </c>
      <c r="L155" s="18">
        <v>0</v>
      </c>
      <c r="M155" s="18">
        <v>0</v>
      </c>
      <c r="N155" s="18">
        <v>1219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f>SUMIF([1]SA007!$C:$C,'SA007 2025.01-2026.05 '!$D155,[1]SA007!P:P)</f>
        <v>0</v>
      </c>
      <c r="AB155" s="18">
        <f>SUMIF([1]SA007!$C:$C,'SA007 2025.01-2026.05 '!$D155,[1]SA007!Q:Q)</f>
        <v>0</v>
      </c>
      <c r="AC155" s="19">
        <f t="shared" si="7"/>
        <v>1219</v>
      </c>
      <c r="AD155" s="19">
        <f t="shared" si="8"/>
        <v>71.705882352941174</v>
      </c>
      <c r="AE155" s="20" t="s">
        <v>116</v>
      </c>
      <c r="AG155" s="21">
        <f>SUMIF([1]SO003!$H:$H,'SA007 2025.01-2026.05 '!$D155,[1]SO003!AF:AF)</f>
        <v>0</v>
      </c>
      <c r="AH155" s="21">
        <f>SUMIF([1]SO003!$H:$H,'SA007 2025.01-2026.05 '!$D155,[1]SO003!AH:AH)</f>
        <v>0</v>
      </c>
      <c r="AI155" s="21">
        <f>SUMIF([1]SO003!$H:$H,'SA007 2025.01-2026.05 '!$D155,[1]SO003!AJ:AJ)</f>
        <v>0</v>
      </c>
    </row>
    <row r="156" spans="1:35" ht="11.45" customHeight="1" x14ac:dyDescent="0.55000000000000004">
      <c r="A156" s="2" t="s">
        <v>389</v>
      </c>
      <c r="B156" s="2" t="s">
        <v>213</v>
      </c>
      <c r="C156" s="2" t="s">
        <v>213</v>
      </c>
      <c r="D156" s="2" t="s">
        <v>415</v>
      </c>
      <c r="E156" s="2" t="s">
        <v>363</v>
      </c>
      <c r="F156" s="2" t="s">
        <v>363</v>
      </c>
      <c r="G156" s="3" t="s">
        <v>47</v>
      </c>
      <c r="H156" s="2" t="s">
        <v>402</v>
      </c>
      <c r="I156" s="17">
        <v>2</v>
      </c>
      <c r="J156" s="3">
        <v>73</v>
      </c>
      <c r="K156" s="3">
        <v>1220</v>
      </c>
      <c r="L156" s="18">
        <v>0</v>
      </c>
      <c r="M156" s="18">
        <v>905</v>
      </c>
      <c r="N156" s="18">
        <v>1679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f>SUMIF([1]SA007!$C:$C,'SA007 2025.01-2026.05 '!$D156,[1]SA007!P:P)</f>
        <v>139</v>
      </c>
      <c r="AB156" s="18">
        <f>SUMIF([1]SA007!$C:$C,'SA007 2025.01-2026.05 '!$D156,[1]SA007!Q:Q)</f>
        <v>0</v>
      </c>
      <c r="AC156" s="19">
        <f t="shared" si="7"/>
        <v>2723</v>
      </c>
      <c r="AD156" s="19">
        <f t="shared" si="8"/>
        <v>160.1764705882353</v>
      </c>
      <c r="AE156" s="20" t="s">
        <v>116</v>
      </c>
      <c r="AG156" s="21">
        <f>SUMIF([1]SO003!$H:$H,'SA007 2025.01-2026.05 '!$D156,[1]SO003!AF:AF)</f>
        <v>0</v>
      </c>
      <c r="AH156" s="21">
        <f>SUMIF([1]SO003!$H:$H,'SA007 2025.01-2026.05 '!$D156,[1]SO003!AH:AH)</f>
        <v>0</v>
      </c>
      <c r="AI156" s="21">
        <f>SUMIF([1]SO003!$H:$H,'SA007 2025.01-2026.05 '!$D156,[1]SO003!AJ:AJ)</f>
        <v>0</v>
      </c>
    </row>
    <row r="157" spans="1:35" ht="11.45" customHeight="1" x14ac:dyDescent="0.55000000000000004">
      <c r="A157" s="2" t="s">
        <v>389</v>
      </c>
      <c r="B157" s="2" t="s">
        <v>213</v>
      </c>
      <c r="C157" s="2" t="s">
        <v>213</v>
      </c>
      <c r="D157" s="2" t="s">
        <v>416</v>
      </c>
      <c r="E157" s="2" t="s">
        <v>363</v>
      </c>
      <c r="F157" s="2" t="s">
        <v>363</v>
      </c>
      <c r="G157" s="3" t="s">
        <v>47</v>
      </c>
      <c r="H157" s="2" t="s">
        <v>402</v>
      </c>
      <c r="I157" s="17">
        <v>2</v>
      </c>
      <c r="J157" s="3">
        <v>78</v>
      </c>
      <c r="K157" s="3">
        <v>1220</v>
      </c>
      <c r="L157" s="18">
        <v>0</v>
      </c>
      <c r="M157" s="18">
        <v>0</v>
      </c>
      <c r="N157" s="18">
        <v>154</v>
      </c>
      <c r="O157" s="18">
        <v>0</v>
      </c>
      <c r="P157" s="18">
        <v>0</v>
      </c>
      <c r="Q157" s="18">
        <v>0</v>
      </c>
      <c r="R157" s="18">
        <v>0</v>
      </c>
      <c r="S157" s="18">
        <v>146</v>
      </c>
      <c r="T157" s="18">
        <v>374</v>
      </c>
      <c r="U157" s="18">
        <v>592</v>
      </c>
      <c r="V157" s="18">
        <v>591</v>
      </c>
      <c r="W157" s="18">
        <v>0</v>
      </c>
      <c r="X157" s="18">
        <v>0</v>
      </c>
      <c r="Y157" s="18">
        <v>0</v>
      </c>
      <c r="Z157" s="18">
        <v>182</v>
      </c>
      <c r="AA157" s="18">
        <f>SUMIF([1]SA007!$C:$C,'SA007 2025.01-2026.05 '!$D157,[1]SA007!P:P)</f>
        <v>298</v>
      </c>
      <c r="AB157" s="18">
        <f>SUMIF([1]SA007!$C:$C,'SA007 2025.01-2026.05 '!$D157,[1]SA007!Q:Q)</f>
        <v>0</v>
      </c>
      <c r="AC157" s="19">
        <f t="shared" si="7"/>
        <v>2337</v>
      </c>
      <c r="AD157" s="19">
        <f t="shared" si="8"/>
        <v>137.47058823529412</v>
      </c>
      <c r="AE157" s="20" t="s">
        <v>116</v>
      </c>
      <c r="AG157" s="21">
        <f>SUMIF([1]SO003!$H:$H,'SA007 2025.01-2026.05 '!$D157,[1]SO003!AF:AF)</f>
        <v>0</v>
      </c>
      <c r="AH157" s="21">
        <f>SUMIF([1]SO003!$H:$H,'SA007 2025.01-2026.05 '!$D157,[1]SO003!AH:AH)</f>
        <v>0</v>
      </c>
      <c r="AI157" s="21">
        <f>SUMIF([1]SO003!$H:$H,'SA007 2025.01-2026.05 '!$D157,[1]SO003!AJ:AJ)</f>
        <v>0</v>
      </c>
    </row>
    <row r="158" spans="1:35" ht="11.45" customHeight="1" x14ac:dyDescent="0.55000000000000004">
      <c r="A158" s="2" t="s">
        <v>381</v>
      </c>
      <c r="B158" s="2" t="s">
        <v>77</v>
      </c>
      <c r="C158" s="2" t="s">
        <v>77</v>
      </c>
      <c r="D158" s="2" t="s">
        <v>417</v>
      </c>
      <c r="E158" s="2" t="s">
        <v>240</v>
      </c>
      <c r="F158" s="2" t="s">
        <v>240</v>
      </c>
      <c r="G158" s="3" t="s">
        <v>39</v>
      </c>
      <c r="H158" s="2" t="s">
        <v>392</v>
      </c>
      <c r="I158" s="17">
        <v>2</v>
      </c>
      <c r="J158" s="3">
        <v>85</v>
      </c>
      <c r="K158" s="3" t="s">
        <v>41</v>
      </c>
      <c r="L158" s="18">
        <v>0</v>
      </c>
      <c r="M158" s="18">
        <v>0</v>
      </c>
      <c r="N158" s="18">
        <v>633.5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f>SUMIF([1]SA007!$C:$C,'SA007 2025.01-2026.05 '!$D158,[1]SA007!P:P)</f>
        <v>0</v>
      </c>
      <c r="AB158" s="18">
        <f>SUMIF([1]SA007!$C:$C,'SA007 2025.01-2026.05 '!$D158,[1]SA007!Q:Q)</f>
        <v>0</v>
      </c>
      <c r="AC158" s="19">
        <f t="shared" si="7"/>
        <v>633.5</v>
      </c>
      <c r="AD158" s="19">
        <f t="shared" si="8"/>
        <v>37.264705882352942</v>
      </c>
      <c r="AE158" s="20" t="s">
        <v>418</v>
      </c>
      <c r="AG158" s="21">
        <f>SUMIF([1]SO003!$H:$H,'SA007 2025.01-2026.05 '!$D158,[1]SO003!AF:AF)</f>
        <v>0</v>
      </c>
      <c r="AH158" s="21">
        <f>SUMIF([1]SO003!$H:$H,'SA007 2025.01-2026.05 '!$D158,[1]SO003!AH:AH)</f>
        <v>0</v>
      </c>
      <c r="AI158" s="21">
        <f>SUMIF([1]SO003!$H:$H,'SA007 2025.01-2026.05 '!$D158,[1]SO003!AJ:AJ)</f>
        <v>0</v>
      </c>
    </row>
    <row r="159" spans="1:35" ht="11.45" customHeight="1" x14ac:dyDescent="0.55000000000000004">
      <c r="A159" s="2" t="s">
        <v>419</v>
      </c>
      <c r="B159" s="2" t="s">
        <v>61</v>
      </c>
      <c r="C159" s="2" t="s">
        <v>61</v>
      </c>
      <c r="D159" s="2" t="s">
        <v>420</v>
      </c>
      <c r="E159" s="2" t="s">
        <v>129</v>
      </c>
      <c r="F159" s="2" t="s">
        <v>129</v>
      </c>
      <c r="G159" s="3" t="s">
        <v>63</v>
      </c>
      <c r="H159" s="2" t="s">
        <v>64</v>
      </c>
      <c r="I159" s="17">
        <v>2.2999999999999998</v>
      </c>
      <c r="J159" s="3">
        <v>80</v>
      </c>
      <c r="K159" s="3">
        <v>1219</v>
      </c>
      <c r="L159" s="18">
        <v>0</v>
      </c>
      <c r="M159" s="18">
        <v>0</v>
      </c>
      <c r="N159" s="18">
        <v>208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f>SUMIF([1]SA007!$C:$C,'SA007 2025.01-2026.05 '!$D159,[1]SA007!P:P)</f>
        <v>0</v>
      </c>
      <c r="AB159" s="18">
        <f>SUMIF([1]SA007!$C:$C,'SA007 2025.01-2026.05 '!$D159,[1]SA007!Q:Q)</f>
        <v>0</v>
      </c>
      <c r="AC159" s="19">
        <f t="shared" si="7"/>
        <v>208</v>
      </c>
      <c r="AD159" s="19">
        <f t="shared" si="8"/>
        <v>12.235294117647058</v>
      </c>
      <c r="AE159" s="20" t="s">
        <v>421</v>
      </c>
      <c r="AG159" s="21">
        <f>SUMIF([1]SO003!$H:$H,'SA007 2025.01-2026.05 '!$D159,[1]SO003!AF:AF)</f>
        <v>0</v>
      </c>
      <c r="AH159" s="21">
        <f>SUMIF([1]SO003!$H:$H,'SA007 2025.01-2026.05 '!$D159,[1]SO003!AH:AH)</f>
        <v>0</v>
      </c>
      <c r="AI159" s="21">
        <f>SUMIF([1]SO003!$H:$H,'SA007 2025.01-2026.05 '!$D159,[1]SO003!AJ:AJ)</f>
        <v>0</v>
      </c>
    </row>
    <row r="160" spans="1:35" ht="11.45" customHeight="1" x14ac:dyDescent="0.55000000000000004">
      <c r="A160" s="2" t="s">
        <v>313</v>
      </c>
      <c r="B160" s="2" t="s">
        <v>67</v>
      </c>
      <c r="C160" s="2" t="s">
        <v>67</v>
      </c>
      <c r="D160" s="2" t="s">
        <v>422</v>
      </c>
      <c r="E160" s="2" t="s">
        <v>249</v>
      </c>
      <c r="F160" s="2" t="s">
        <v>249</v>
      </c>
      <c r="G160" s="3" t="s">
        <v>57</v>
      </c>
      <c r="H160" s="2" t="s">
        <v>67</v>
      </c>
      <c r="I160" s="17">
        <v>2.2999999999999998</v>
      </c>
      <c r="J160" s="3">
        <v>42</v>
      </c>
      <c r="K160" s="3" t="s">
        <v>41</v>
      </c>
      <c r="L160" s="18">
        <v>640</v>
      </c>
      <c r="M160" s="18">
        <v>509</v>
      </c>
      <c r="N160" s="18">
        <v>754</v>
      </c>
      <c r="O160" s="18">
        <v>630</v>
      </c>
      <c r="P160" s="18">
        <v>375</v>
      </c>
      <c r="Q160" s="18">
        <v>440</v>
      </c>
      <c r="R160" s="18">
        <v>444</v>
      </c>
      <c r="S160" s="18">
        <v>488</v>
      </c>
      <c r="T160" s="18">
        <v>492</v>
      </c>
      <c r="U160" s="18">
        <v>246</v>
      </c>
      <c r="V160" s="18">
        <v>492</v>
      </c>
      <c r="W160" s="18">
        <v>123</v>
      </c>
      <c r="X160" s="18">
        <v>246</v>
      </c>
      <c r="Y160" s="18">
        <v>123</v>
      </c>
      <c r="Z160" s="18">
        <v>115</v>
      </c>
      <c r="AA160" s="18">
        <f>SUMIF([1]SA007!$C:$C,'SA007 2025.01-2026.05 '!$D160,[1]SA007!P:P)</f>
        <v>0</v>
      </c>
      <c r="AB160" s="18">
        <f>SUMIF([1]SA007!$C:$C,'SA007 2025.01-2026.05 '!$D160,[1]SA007!Q:Q)</f>
        <v>120</v>
      </c>
      <c r="AC160" s="19">
        <f t="shared" si="7"/>
        <v>6237</v>
      </c>
      <c r="AD160" s="19">
        <f t="shared" si="8"/>
        <v>366.88235294117646</v>
      </c>
      <c r="AE160" s="20" t="s">
        <v>423</v>
      </c>
      <c r="AG160" s="21">
        <f>SUMIF([1]SO003!$H:$H,'SA007 2025.01-2026.05 '!$D160,[1]SO003!AF:AF)</f>
        <v>181</v>
      </c>
      <c r="AH160" s="21">
        <f>SUMIF([1]SO003!$H:$H,'SA007 2025.01-2026.05 '!$D160,[1]SO003!AH:AH)</f>
        <v>240</v>
      </c>
      <c r="AI160" s="21">
        <f>SUMIF([1]SO003!$H:$H,'SA007 2025.01-2026.05 '!$D160,[1]SO003!AJ:AJ)</f>
        <v>0</v>
      </c>
    </row>
    <row r="161" spans="1:35" ht="11.45" customHeight="1" x14ac:dyDescent="0.55000000000000004">
      <c r="A161" s="2" t="s">
        <v>419</v>
      </c>
      <c r="B161" s="2" t="s">
        <v>61</v>
      </c>
      <c r="C161" s="2" t="s">
        <v>61</v>
      </c>
      <c r="D161" s="2" t="s">
        <v>424</v>
      </c>
      <c r="E161" s="2" t="s">
        <v>129</v>
      </c>
      <c r="F161" s="2" t="s">
        <v>129</v>
      </c>
      <c r="G161" s="3" t="s">
        <v>63</v>
      </c>
      <c r="H161" s="2" t="s">
        <v>64</v>
      </c>
      <c r="I161" s="17">
        <v>2.2999999999999998</v>
      </c>
      <c r="J161" s="3">
        <v>68</v>
      </c>
      <c r="K161" s="3">
        <v>687</v>
      </c>
      <c r="L161" s="18">
        <v>1643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f>SUMIF([1]SA007!$C:$C,'SA007 2025.01-2026.05 '!$D161,[1]SA007!P:P)</f>
        <v>0</v>
      </c>
      <c r="AB161" s="18">
        <f>SUMIF([1]SA007!$C:$C,'SA007 2025.01-2026.05 '!$D161,[1]SA007!Q:Q)</f>
        <v>0</v>
      </c>
      <c r="AC161" s="19">
        <f t="shared" si="7"/>
        <v>1643</v>
      </c>
      <c r="AD161" s="19">
        <f t="shared" si="8"/>
        <v>96.647058823529406</v>
      </c>
      <c r="AE161" s="20" t="s">
        <v>425</v>
      </c>
      <c r="AG161" s="21">
        <f>SUMIF([1]SO003!$H:$H,'SA007 2025.01-2026.05 '!$D161,[1]SO003!AF:AF)</f>
        <v>0</v>
      </c>
      <c r="AH161" s="21">
        <f>SUMIF([1]SO003!$H:$H,'SA007 2025.01-2026.05 '!$D161,[1]SO003!AH:AH)</f>
        <v>0</v>
      </c>
      <c r="AI161" s="21">
        <f>SUMIF([1]SO003!$H:$H,'SA007 2025.01-2026.05 '!$D161,[1]SO003!AJ:AJ)</f>
        <v>0</v>
      </c>
    </row>
    <row r="162" spans="1:35" ht="11.45" customHeight="1" x14ac:dyDescent="0.55000000000000004">
      <c r="A162" s="2" t="s">
        <v>426</v>
      </c>
      <c r="B162" s="2" t="s">
        <v>61</v>
      </c>
      <c r="C162" s="2" t="s">
        <v>61</v>
      </c>
      <c r="D162" s="2" t="s">
        <v>427</v>
      </c>
      <c r="E162" s="2" t="s">
        <v>428</v>
      </c>
      <c r="F162" s="2" t="s">
        <v>428</v>
      </c>
      <c r="G162" s="3" t="s">
        <v>63</v>
      </c>
      <c r="H162" s="2" t="s">
        <v>61</v>
      </c>
      <c r="I162" s="17">
        <v>2.39</v>
      </c>
      <c r="J162" s="3">
        <v>50</v>
      </c>
      <c r="K162" s="3" t="s">
        <v>41</v>
      </c>
      <c r="L162" s="18">
        <v>585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f>SUMIF([1]SA007!$C:$C,'SA007 2025.01-2026.05 '!$D162,[1]SA007!P:P)</f>
        <v>0</v>
      </c>
      <c r="AB162" s="18">
        <f>SUMIF([1]SA007!$C:$C,'SA007 2025.01-2026.05 '!$D162,[1]SA007!Q:Q)</f>
        <v>0</v>
      </c>
      <c r="AC162" s="19">
        <f t="shared" si="7"/>
        <v>585</v>
      </c>
      <c r="AD162" s="19">
        <f t="shared" si="8"/>
        <v>34.411764705882355</v>
      </c>
      <c r="AE162" s="20" t="s">
        <v>429</v>
      </c>
      <c r="AG162" s="21">
        <f>SUMIF([1]SO003!$H:$H,'SA007 2025.01-2026.05 '!$D162,[1]SO003!AF:AF)</f>
        <v>0</v>
      </c>
      <c r="AH162" s="21">
        <f>SUMIF([1]SO003!$H:$H,'SA007 2025.01-2026.05 '!$D162,[1]SO003!AH:AH)</f>
        <v>0</v>
      </c>
      <c r="AI162" s="21">
        <f>SUMIF([1]SO003!$H:$H,'SA007 2025.01-2026.05 '!$D162,[1]SO003!AJ:AJ)</f>
        <v>0</v>
      </c>
    </row>
    <row r="163" spans="1:35" ht="11.45" customHeight="1" x14ac:dyDescent="0.55000000000000004">
      <c r="A163" s="2" t="s">
        <v>430</v>
      </c>
      <c r="B163" s="2" t="s">
        <v>199</v>
      </c>
      <c r="C163" s="2" t="s">
        <v>199</v>
      </c>
      <c r="D163" s="2" t="s">
        <v>431</v>
      </c>
      <c r="E163" s="2" t="s">
        <v>301</v>
      </c>
      <c r="F163" s="2" t="s">
        <v>301</v>
      </c>
      <c r="G163" s="3" t="s">
        <v>63</v>
      </c>
      <c r="H163" s="2" t="s">
        <v>199</v>
      </c>
      <c r="I163" s="17">
        <v>2.5</v>
      </c>
      <c r="J163" s="3">
        <v>1219</v>
      </c>
      <c r="K163" s="3">
        <v>2200</v>
      </c>
      <c r="L163" s="18">
        <v>0</v>
      </c>
      <c r="M163" s="18">
        <v>0</v>
      </c>
      <c r="N163" s="18">
        <v>1543</v>
      </c>
      <c r="O163" s="18">
        <v>5275</v>
      </c>
      <c r="P163" s="18">
        <v>11600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4505</v>
      </c>
      <c r="W163" s="18">
        <v>0</v>
      </c>
      <c r="X163" s="18">
        <v>8885</v>
      </c>
      <c r="Y163" s="18">
        <v>7220</v>
      </c>
      <c r="Z163" s="18">
        <v>4620</v>
      </c>
      <c r="AA163" s="18">
        <f>SUMIF([1]SA007!$C:$C,'SA007 2025.01-2026.05 '!$D163,[1]SA007!P:P)</f>
        <v>6882</v>
      </c>
      <c r="AB163" s="18">
        <f>SUMIF([1]SA007!$C:$C,'SA007 2025.01-2026.05 '!$D163,[1]SA007!Q:Q)</f>
        <v>1615</v>
      </c>
      <c r="AC163" s="19">
        <f t="shared" si="7"/>
        <v>52145</v>
      </c>
      <c r="AD163" s="19">
        <f t="shared" si="8"/>
        <v>3067.3529411764707</v>
      </c>
      <c r="AE163" s="20" t="s">
        <v>432</v>
      </c>
      <c r="AG163" s="21">
        <f>SUMIF([1]SO003!$H:$H,'SA007 2025.01-2026.05 '!$D163,[1]SO003!AF:AF)</f>
        <v>1421.018775</v>
      </c>
      <c r="AH163" s="21">
        <f>SUMIF([1]SO003!$H:$H,'SA007 2025.01-2026.05 '!$D163,[1]SO003!AH:AH)</f>
        <v>1421.018775</v>
      </c>
      <c r="AI163" s="21">
        <f>SUMIF([1]SO003!$H:$H,'SA007 2025.01-2026.05 '!$D163,[1]SO003!AJ:AJ)</f>
        <v>0</v>
      </c>
    </row>
    <row r="164" spans="1:35" ht="11.45" customHeight="1" x14ac:dyDescent="0.55000000000000004">
      <c r="A164" s="2" t="s">
        <v>433</v>
      </c>
      <c r="B164" s="2" t="s">
        <v>213</v>
      </c>
      <c r="C164" s="2" t="s">
        <v>213</v>
      </c>
      <c r="D164" s="2" t="s">
        <v>434</v>
      </c>
      <c r="E164" s="2" t="s">
        <v>106</v>
      </c>
      <c r="F164" s="2" t="s">
        <v>106</v>
      </c>
      <c r="G164" s="3" t="s">
        <v>47</v>
      </c>
      <c r="H164" s="2" t="s">
        <v>413</v>
      </c>
      <c r="I164" s="17">
        <v>2.5</v>
      </c>
      <c r="J164" s="3">
        <v>123</v>
      </c>
      <c r="K164" s="3" t="s">
        <v>41</v>
      </c>
      <c r="L164" s="18">
        <v>0</v>
      </c>
      <c r="M164" s="18">
        <v>250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f>SUMIF([1]SA007!$C:$C,'SA007 2025.01-2026.05 '!$D164,[1]SA007!P:P)</f>
        <v>0</v>
      </c>
      <c r="AB164" s="18">
        <f>SUMIF([1]SA007!$C:$C,'SA007 2025.01-2026.05 '!$D164,[1]SA007!Q:Q)</f>
        <v>0</v>
      </c>
      <c r="AC164" s="19">
        <f t="shared" si="7"/>
        <v>250</v>
      </c>
      <c r="AD164" s="19">
        <f t="shared" si="8"/>
        <v>14.705882352941176</v>
      </c>
      <c r="AE164" s="20" t="s">
        <v>116</v>
      </c>
      <c r="AG164" s="21">
        <f>SUMIF([1]SO003!$H:$H,'SA007 2025.01-2026.05 '!$D164,[1]SO003!AF:AF)</f>
        <v>0</v>
      </c>
      <c r="AH164" s="21">
        <f>SUMIF([1]SO003!$H:$H,'SA007 2025.01-2026.05 '!$D164,[1]SO003!AH:AH)</f>
        <v>0</v>
      </c>
      <c r="AI164" s="21">
        <f>SUMIF([1]SO003!$H:$H,'SA007 2025.01-2026.05 '!$D164,[1]SO003!AJ:AJ)</f>
        <v>0</v>
      </c>
    </row>
    <row r="165" spans="1:35" ht="11.45" customHeight="1" x14ac:dyDescent="0.55000000000000004">
      <c r="A165" s="2" t="s">
        <v>433</v>
      </c>
      <c r="B165" s="2" t="s">
        <v>213</v>
      </c>
      <c r="C165" s="2" t="s">
        <v>213</v>
      </c>
      <c r="D165" s="2" t="s">
        <v>435</v>
      </c>
      <c r="E165" s="2" t="s">
        <v>106</v>
      </c>
      <c r="F165" s="2" t="s">
        <v>106</v>
      </c>
      <c r="G165" s="3" t="s">
        <v>47</v>
      </c>
      <c r="H165" s="2" t="s">
        <v>413</v>
      </c>
      <c r="I165" s="17">
        <v>2.5</v>
      </c>
      <c r="J165" s="3">
        <v>52</v>
      </c>
      <c r="K165" s="3" t="s">
        <v>41</v>
      </c>
      <c r="L165" s="18">
        <v>0</v>
      </c>
      <c r="M165" s="18">
        <v>645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f>SUMIF([1]SA007!$C:$C,'SA007 2025.01-2026.05 '!$D165,[1]SA007!P:P)</f>
        <v>0</v>
      </c>
      <c r="AB165" s="18">
        <f>SUMIF([1]SA007!$C:$C,'SA007 2025.01-2026.05 '!$D165,[1]SA007!Q:Q)</f>
        <v>0</v>
      </c>
      <c r="AC165" s="19">
        <f t="shared" si="7"/>
        <v>645</v>
      </c>
      <c r="AD165" s="19">
        <f t="shared" si="8"/>
        <v>37.941176470588232</v>
      </c>
      <c r="AE165" s="20" t="s">
        <v>116</v>
      </c>
      <c r="AG165" s="21">
        <f>SUMIF([1]SO003!$H:$H,'SA007 2025.01-2026.05 '!$D165,[1]SO003!AF:AF)</f>
        <v>0</v>
      </c>
      <c r="AH165" s="21">
        <f>SUMIF([1]SO003!$H:$H,'SA007 2025.01-2026.05 '!$D165,[1]SO003!AH:AH)</f>
        <v>0</v>
      </c>
      <c r="AI165" s="21">
        <f>SUMIF([1]SO003!$H:$H,'SA007 2025.01-2026.05 '!$D165,[1]SO003!AJ:AJ)</f>
        <v>0</v>
      </c>
    </row>
    <row r="166" spans="1:35" ht="11.45" customHeight="1" x14ac:dyDescent="0.55000000000000004">
      <c r="A166" s="2" t="s">
        <v>426</v>
      </c>
      <c r="B166" s="2" t="s">
        <v>61</v>
      </c>
      <c r="C166" s="2" t="s">
        <v>61</v>
      </c>
      <c r="D166" s="2" t="s">
        <v>436</v>
      </c>
      <c r="E166" s="2" t="s">
        <v>437</v>
      </c>
      <c r="F166" s="2" t="s">
        <v>437</v>
      </c>
      <c r="G166" s="3" t="s">
        <v>63</v>
      </c>
      <c r="H166" s="2" t="s">
        <v>98</v>
      </c>
      <c r="I166" s="17">
        <v>2.5</v>
      </c>
      <c r="J166" s="3">
        <v>50</v>
      </c>
      <c r="K166" s="3" t="s">
        <v>41</v>
      </c>
      <c r="L166" s="18">
        <v>0</v>
      </c>
      <c r="M166" s="18">
        <v>0</v>
      </c>
      <c r="N166" s="18">
        <v>1068</v>
      </c>
      <c r="O166" s="18">
        <v>531</v>
      </c>
      <c r="P166" s="18">
        <v>1232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f>SUMIF([1]SA007!$C:$C,'SA007 2025.01-2026.05 '!$D166,[1]SA007!P:P)</f>
        <v>0</v>
      </c>
      <c r="AB166" s="18">
        <f>SUMIF([1]SA007!$C:$C,'SA007 2025.01-2026.05 '!$D166,[1]SA007!Q:Q)</f>
        <v>0</v>
      </c>
      <c r="AC166" s="19">
        <f t="shared" si="7"/>
        <v>2831</v>
      </c>
      <c r="AD166" s="19">
        <f t="shared" si="8"/>
        <v>166.52941176470588</v>
      </c>
      <c r="AE166" s="20" t="s">
        <v>438</v>
      </c>
      <c r="AG166" s="21">
        <f>SUMIF([1]SO003!$H:$H,'SA007 2025.01-2026.05 '!$D166,[1]SO003!AF:AF)</f>
        <v>0</v>
      </c>
      <c r="AH166" s="21">
        <f>SUMIF([1]SO003!$H:$H,'SA007 2025.01-2026.05 '!$D166,[1]SO003!AH:AH)</f>
        <v>0</v>
      </c>
      <c r="AI166" s="21">
        <f>SUMIF([1]SO003!$H:$H,'SA007 2025.01-2026.05 '!$D166,[1]SO003!AJ:AJ)</f>
        <v>0</v>
      </c>
    </row>
    <row r="167" spans="1:35" ht="11.45" customHeight="1" x14ac:dyDescent="0.55000000000000004">
      <c r="A167" s="2" t="s">
        <v>426</v>
      </c>
      <c r="B167" s="2" t="s">
        <v>439</v>
      </c>
      <c r="C167" s="2" t="s">
        <v>439</v>
      </c>
      <c r="D167" s="2" t="s">
        <v>440</v>
      </c>
      <c r="E167" s="2" t="s">
        <v>234</v>
      </c>
      <c r="F167" s="2" t="s">
        <v>234</v>
      </c>
      <c r="G167" s="3" t="s">
        <v>63</v>
      </c>
      <c r="H167" s="2" t="s">
        <v>439</v>
      </c>
      <c r="I167" s="17">
        <v>2.5</v>
      </c>
      <c r="J167" s="3">
        <v>87</v>
      </c>
      <c r="K167" s="3" t="s">
        <v>41</v>
      </c>
      <c r="L167" s="18">
        <v>0</v>
      </c>
      <c r="M167" s="18">
        <v>660</v>
      </c>
      <c r="N167" s="18">
        <v>1942</v>
      </c>
      <c r="O167" s="18">
        <v>1236</v>
      </c>
      <c r="P167" s="18">
        <v>0</v>
      </c>
      <c r="Q167" s="18">
        <v>0</v>
      </c>
      <c r="R167" s="18">
        <v>1421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f>SUMIF([1]SA007!$C:$C,'SA007 2025.01-2026.05 '!$D167,[1]SA007!P:P)</f>
        <v>0</v>
      </c>
      <c r="AB167" s="18">
        <f>SUMIF([1]SA007!$C:$C,'SA007 2025.01-2026.05 '!$D167,[1]SA007!Q:Q)</f>
        <v>0</v>
      </c>
      <c r="AC167" s="19">
        <f t="shared" si="7"/>
        <v>5259</v>
      </c>
      <c r="AD167" s="19">
        <f t="shared" si="8"/>
        <v>309.35294117647061</v>
      </c>
      <c r="AE167" s="20" t="s">
        <v>441</v>
      </c>
      <c r="AG167" s="21">
        <f>SUMIF([1]SO003!$H:$H,'SA007 2025.01-2026.05 '!$D167,[1]SO003!AF:AF)</f>
        <v>2100</v>
      </c>
      <c r="AH167" s="21">
        <f>SUMIF([1]SO003!$H:$H,'SA007 2025.01-2026.05 '!$D167,[1]SO003!AH:AH)</f>
        <v>2060</v>
      </c>
      <c r="AI167" s="21">
        <f>SUMIF([1]SO003!$H:$H,'SA007 2025.01-2026.05 '!$D167,[1]SO003!AJ:AJ)</f>
        <v>40</v>
      </c>
    </row>
    <row r="168" spans="1:35" ht="11.45" customHeight="1" x14ac:dyDescent="0.55000000000000004">
      <c r="A168" s="2" t="s">
        <v>442</v>
      </c>
      <c r="B168" s="2" t="s">
        <v>44</v>
      </c>
      <c r="C168" s="2" t="s">
        <v>44</v>
      </c>
      <c r="D168" s="2" t="s">
        <v>443</v>
      </c>
      <c r="E168" s="2" t="s">
        <v>444</v>
      </c>
      <c r="F168" s="2" t="s">
        <v>444</v>
      </c>
      <c r="G168" s="3" t="s">
        <v>47</v>
      </c>
      <c r="H168" s="2" t="s">
        <v>44</v>
      </c>
      <c r="I168" s="17">
        <v>2.6</v>
      </c>
      <c r="J168" s="3">
        <v>76</v>
      </c>
      <c r="K168" s="3">
        <v>1219</v>
      </c>
      <c r="L168" s="18">
        <v>935</v>
      </c>
      <c r="M168" s="18">
        <v>1551</v>
      </c>
      <c r="N168" s="18">
        <v>1601</v>
      </c>
      <c r="O168" s="18">
        <v>4548</v>
      </c>
      <c r="P168" s="18">
        <v>0</v>
      </c>
      <c r="Q168" s="18">
        <v>3178</v>
      </c>
      <c r="R168" s="18">
        <v>0</v>
      </c>
      <c r="S168" s="18">
        <v>1390</v>
      </c>
      <c r="T168" s="18">
        <v>2146</v>
      </c>
      <c r="U168" s="18">
        <v>959</v>
      </c>
      <c r="V168" s="18">
        <v>2185</v>
      </c>
      <c r="W168" s="18">
        <v>1854</v>
      </c>
      <c r="X168" s="18">
        <v>1856</v>
      </c>
      <c r="Y168" s="18">
        <v>1485</v>
      </c>
      <c r="Z168" s="18">
        <v>1795</v>
      </c>
      <c r="AA168" s="18">
        <f>SUMIF([1]SA007!$C:$C,'SA007 2025.01-2026.05 '!$D168,[1]SA007!P:P)</f>
        <v>1533</v>
      </c>
      <c r="AB168" s="18">
        <f>SUMIF([1]SA007!$C:$C,'SA007 2025.01-2026.05 '!$D168,[1]SA007!Q:Q)</f>
        <v>1959</v>
      </c>
      <c r="AC168" s="19">
        <f t="shared" si="7"/>
        <v>28975</v>
      </c>
      <c r="AD168" s="19">
        <f t="shared" si="8"/>
        <v>1704.4117647058824</v>
      </c>
      <c r="AE168" s="20" t="s">
        <v>445</v>
      </c>
      <c r="AG168" s="21">
        <f>SUMIF([1]SO003!$H:$H,'SA007 2025.01-2026.05 '!$D168,[1]SO003!AF:AF)</f>
        <v>0</v>
      </c>
      <c r="AH168" s="21">
        <f>SUMIF([1]SO003!$H:$H,'SA007 2025.01-2026.05 '!$D168,[1]SO003!AH:AH)</f>
        <v>0</v>
      </c>
      <c r="AI168" s="21">
        <f>SUMIF([1]SO003!$H:$H,'SA007 2025.01-2026.05 '!$D168,[1]SO003!AJ:AJ)</f>
        <v>0</v>
      </c>
    </row>
    <row r="169" spans="1:35" ht="11.45" customHeight="1" x14ac:dyDescent="0.55000000000000004">
      <c r="A169" s="2" t="s">
        <v>433</v>
      </c>
      <c r="B169" s="2" t="s">
        <v>213</v>
      </c>
      <c r="C169" s="2" t="s">
        <v>213</v>
      </c>
      <c r="D169" s="2" t="s">
        <v>446</v>
      </c>
      <c r="E169" s="2" t="s">
        <v>363</v>
      </c>
      <c r="F169" s="2" t="s">
        <v>363</v>
      </c>
      <c r="G169" s="3" t="s">
        <v>47</v>
      </c>
      <c r="H169" s="2" t="s">
        <v>402</v>
      </c>
      <c r="I169" s="17">
        <v>2.6</v>
      </c>
      <c r="J169" s="3">
        <v>75</v>
      </c>
      <c r="K169" s="3">
        <v>1220</v>
      </c>
      <c r="L169" s="18">
        <v>0</v>
      </c>
      <c r="M169" s="18">
        <v>0</v>
      </c>
      <c r="N169" s="18">
        <v>0</v>
      </c>
      <c r="O169" s="18">
        <v>0</v>
      </c>
      <c r="P169" s="18">
        <v>280</v>
      </c>
      <c r="Q169" s="18">
        <v>0</v>
      </c>
      <c r="R169" s="18">
        <v>0</v>
      </c>
      <c r="S169" s="18">
        <v>375</v>
      </c>
      <c r="T169" s="18">
        <v>185</v>
      </c>
      <c r="U169" s="18">
        <v>368</v>
      </c>
      <c r="V169" s="18">
        <v>368</v>
      </c>
      <c r="W169" s="18">
        <v>0</v>
      </c>
      <c r="X169" s="18">
        <v>0</v>
      </c>
      <c r="Y169" s="18">
        <v>535</v>
      </c>
      <c r="Z169" s="18">
        <v>0</v>
      </c>
      <c r="AA169" s="18">
        <f>SUMIF([1]SA007!$C:$C,'SA007 2025.01-2026.05 '!$D169,[1]SA007!P:P)</f>
        <v>0</v>
      </c>
      <c r="AB169" s="18">
        <f>SUMIF([1]SA007!$C:$C,'SA007 2025.01-2026.05 '!$D169,[1]SA007!Q:Q)</f>
        <v>279</v>
      </c>
      <c r="AC169" s="19">
        <f t="shared" si="7"/>
        <v>2390</v>
      </c>
      <c r="AD169" s="19">
        <f t="shared" si="8"/>
        <v>140.58823529411765</v>
      </c>
      <c r="AE169" s="20" t="s">
        <v>116</v>
      </c>
      <c r="AG169" s="21">
        <f>SUMIF([1]SO003!$H:$H,'SA007 2025.01-2026.05 '!$D169,[1]SO003!AF:AF)</f>
        <v>560.25450000000001</v>
      </c>
      <c r="AH169" s="21">
        <f>SUMIF([1]SO003!$H:$H,'SA007 2025.01-2026.05 '!$D169,[1]SO003!AH:AH)</f>
        <v>560.25450000000001</v>
      </c>
      <c r="AI169" s="21">
        <f>SUMIF([1]SO003!$H:$H,'SA007 2025.01-2026.05 '!$D169,[1]SO003!AJ:AJ)</f>
        <v>0</v>
      </c>
    </row>
    <row r="170" spans="1:35" ht="11.45" customHeight="1" x14ac:dyDescent="0.55000000000000004">
      <c r="A170" s="2" t="s">
        <v>433</v>
      </c>
      <c r="B170" s="2" t="s">
        <v>213</v>
      </c>
      <c r="C170" s="2" t="s">
        <v>213</v>
      </c>
      <c r="D170" s="2" t="s">
        <v>447</v>
      </c>
      <c r="E170" s="2" t="s">
        <v>363</v>
      </c>
      <c r="F170" s="2" t="s">
        <v>363</v>
      </c>
      <c r="G170" s="3" t="s">
        <v>47</v>
      </c>
      <c r="H170" s="2" t="s">
        <v>402</v>
      </c>
      <c r="I170" s="17">
        <v>2.6</v>
      </c>
      <c r="J170" s="3">
        <v>76</v>
      </c>
      <c r="K170" s="3">
        <v>1220</v>
      </c>
      <c r="L170" s="18">
        <v>0</v>
      </c>
      <c r="M170" s="18">
        <v>166</v>
      </c>
      <c r="N170" s="18">
        <v>564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1701</v>
      </c>
      <c r="Z170" s="18">
        <v>0</v>
      </c>
      <c r="AA170" s="18">
        <f>SUMIF([1]SA007!$C:$C,'SA007 2025.01-2026.05 '!$D170,[1]SA007!P:P)</f>
        <v>0</v>
      </c>
      <c r="AB170" s="18">
        <f>SUMIF([1]SA007!$C:$C,'SA007 2025.01-2026.05 '!$D170,[1]SA007!Q:Q)</f>
        <v>1914</v>
      </c>
      <c r="AC170" s="19">
        <f t="shared" si="7"/>
        <v>4345</v>
      </c>
      <c r="AD170" s="19">
        <f t="shared" si="8"/>
        <v>255.58823529411765</v>
      </c>
      <c r="AE170" s="20" t="s">
        <v>116</v>
      </c>
      <c r="AG170" s="21">
        <f>SUMIF([1]SO003!$H:$H,'SA007 2025.01-2026.05 '!$D170,[1]SO003!AF:AF)</f>
        <v>0</v>
      </c>
      <c r="AH170" s="21">
        <f>SUMIF([1]SO003!$H:$H,'SA007 2025.01-2026.05 '!$D170,[1]SO003!AH:AH)</f>
        <v>0</v>
      </c>
      <c r="AI170" s="21">
        <f>SUMIF([1]SO003!$H:$H,'SA007 2025.01-2026.05 '!$D170,[1]SO003!AJ:AJ)</f>
        <v>0</v>
      </c>
    </row>
    <row r="171" spans="1:35" s="25" customFormat="1" ht="11.45" customHeight="1" x14ac:dyDescent="0.55000000000000004">
      <c r="A171" s="24"/>
      <c r="B171" s="25" t="s">
        <v>61</v>
      </c>
      <c r="C171" s="2" t="s">
        <v>61</v>
      </c>
      <c r="D171" s="25" t="s">
        <v>448</v>
      </c>
      <c r="E171" s="25" t="s">
        <v>379</v>
      </c>
      <c r="F171" s="2" t="s">
        <v>379</v>
      </c>
      <c r="G171" s="26" t="s">
        <v>63</v>
      </c>
      <c r="H171" s="25" t="s">
        <v>61</v>
      </c>
      <c r="I171" s="27">
        <v>2</v>
      </c>
      <c r="J171" s="26">
        <v>101</v>
      </c>
      <c r="K171" s="26" t="s">
        <v>41</v>
      </c>
      <c r="L171" s="18">
        <v>2388</v>
      </c>
      <c r="M171" s="18">
        <v>1228</v>
      </c>
      <c r="N171" s="18">
        <v>0</v>
      </c>
      <c r="O171" s="18">
        <v>2164</v>
      </c>
      <c r="P171" s="18">
        <v>2215</v>
      </c>
      <c r="Q171" s="18">
        <v>2266</v>
      </c>
      <c r="R171" s="18">
        <v>3612</v>
      </c>
      <c r="S171" s="18">
        <v>3598</v>
      </c>
      <c r="T171" s="18">
        <v>1375</v>
      </c>
      <c r="U171" s="18">
        <v>0</v>
      </c>
      <c r="V171" s="18">
        <v>1013</v>
      </c>
      <c r="W171" s="18">
        <v>1738</v>
      </c>
      <c r="X171" s="18">
        <v>2220</v>
      </c>
      <c r="Y171" s="18">
        <v>0</v>
      </c>
      <c r="Z171" s="18">
        <v>0</v>
      </c>
      <c r="AA171" s="18">
        <f>SUMIF([1]SA007!$C:$C,'SA007 2025.01-2026.05 '!$D171,[1]SA007!P:P)</f>
        <v>0</v>
      </c>
      <c r="AB171" s="18">
        <f>SUMIF([1]SA007!$C:$C,'SA007 2025.01-2026.05 '!$D171,[1]SA007!Q:Q)</f>
        <v>0</v>
      </c>
      <c r="AC171" s="19">
        <f t="shared" si="7"/>
        <v>23817</v>
      </c>
      <c r="AD171" s="28">
        <f t="shared" si="8"/>
        <v>1401</v>
      </c>
      <c r="AE171" s="29" t="s">
        <v>449</v>
      </c>
      <c r="AG171" s="30">
        <f>SUMIF([1]SO003!$H:$H,'SA007 2025.01-2026.05 '!$D171,[1]SO003!AF:AF)</f>
        <v>0</v>
      </c>
      <c r="AH171" s="30">
        <f>SUMIF([1]SO003!$H:$H,'SA007 2025.01-2026.05 '!$D171,[1]SO003!AH:AH)</f>
        <v>0</v>
      </c>
      <c r="AI171" s="30">
        <f>SUMIF([1]SO003!$H:$H,'SA007 2025.01-2026.05 '!$D171,[1]SO003!AJ:AJ)</f>
        <v>0</v>
      </c>
    </row>
    <row r="172" spans="1:35" s="25" customFormat="1" ht="11.45" customHeight="1" x14ac:dyDescent="0.55000000000000004">
      <c r="A172" s="24"/>
      <c r="B172" s="25" t="s">
        <v>61</v>
      </c>
      <c r="C172" s="2" t="s">
        <v>61</v>
      </c>
      <c r="D172" s="25" t="s">
        <v>450</v>
      </c>
      <c r="E172" s="25" t="s">
        <v>379</v>
      </c>
      <c r="F172" s="2" t="s">
        <v>379</v>
      </c>
      <c r="G172" s="26" t="s">
        <v>63</v>
      </c>
      <c r="H172" s="25" t="s">
        <v>61</v>
      </c>
      <c r="I172" s="27">
        <v>2</v>
      </c>
      <c r="J172" s="26">
        <v>167</v>
      </c>
      <c r="K172" s="26" t="s">
        <v>41</v>
      </c>
      <c r="L172" s="18">
        <v>5435</v>
      </c>
      <c r="M172" s="18">
        <v>4064</v>
      </c>
      <c r="N172" s="18">
        <v>0</v>
      </c>
      <c r="O172" s="18">
        <v>4074</v>
      </c>
      <c r="P172" s="18">
        <v>5370</v>
      </c>
      <c r="Q172" s="18">
        <v>5015</v>
      </c>
      <c r="R172" s="18">
        <v>5440</v>
      </c>
      <c r="S172" s="18">
        <v>4500</v>
      </c>
      <c r="T172" s="18">
        <v>4075</v>
      </c>
      <c r="U172" s="18">
        <v>4339</v>
      </c>
      <c r="V172" s="18">
        <v>4195</v>
      </c>
      <c r="W172" s="18">
        <v>4768</v>
      </c>
      <c r="X172" s="18">
        <v>4270</v>
      </c>
      <c r="Y172" s="18">
        <v>5451</v>
      </c>
      <c r="Z172" s="18">
        <v>5614</v>
      </c>
      <c r="AA172" s="18">
        <f>SUMIF([1]SA007!$C:$C,'SA007 2025.01-2026.05 '!$D172,[1]SA007!P:P)</f>
        <v>0</v>
      </c>
      <c r="AB172" s="18">
        <f>SUMIF([1]SA007!$C:$C,'SA007 2025.01-2026.05 '!$D172,[1]SA007!Q:Q)</f>
        <v>0</v>
      </c>
      <c r="AC172" s="19">
        <f t="shared" si="7"/>
        <v>66610</v>
      </c>
      <c r="AD172" s="28">
        <f t="shared" si="8"/>
        <v>3918.2352941176468</v>
      </c>
      <c r="AE172" s="29" t="s">
        <v>451</v>
      </c>
      <c r="AG172" s="30">
        <f>SUMIF([1]SO003!$H:$H,'SA007 2025.01-2026.05 '!$D172,[1]SO003!AF:AF)</f>
        <v>0</v>
      </c>
      <c r="AH172" s="30">
        <f>SUMIF([1]SO003!$H:$H,'SA007 2025.01-2026.05 '!$D172,[1]SO003!AH:AH)</f>
        <v>0</v>
      </c>
      <c r="AI172" s="30">
        <f>SUMIF([1]SO003!$H:$H,'SA007 2025.01-2026.05 '!$D172,[1]SO003!AJ:AJ)</f>
        <v>0</v>
      </c>
    </row>
    <row r="173" spans="1:35" ht="11.45" customHeight="1" x14ac:dyDescent="0.55000000000000004">
      <c r="A173" s="2" t="s">
        <v>385</v>
      </c>
      <c r="B173" s="2" t="s">
        <v>452</v>
      </c>
      <c r="C173" s="2" t="s">
        <v>452</v>
      </c>
      <c r="D173" s="2" t="s">
        <v>453</v>
      </c>
      <c r="E173" s="2" t="s">
        <v>174</v>
      </c>
      <c r="F173" s="2" t="s">
        <v>174</v>
      </c>
      <c r="G173" s="3" t="s">
        <v>57</v>
      </c>
      <c r="H173" s="2" t="s">
        <v>454</v>
      </c>
      <c r="I173" s="17">
        <v>2</v>
      </c>
      <c r="J173" s="3">
        <v>330</v>
      </c>
      <c r="K173" s="3" t="s">
        <v>41</v>
      </c>
      <c r="L173" s="18">
        <v>3878</v>
      </c>
      <c r="M173" s="18">
        <v>2202</v>
      </c>
      <c r="N173" s="18">
        <v>5308</v>
      </c>
      <c r="O173" s="18">
        <v>3767</v>
      </c>
      <c r="P173" s="18">
        <v>6618</v>
      </c>
      <c r="Q173" s="18">
        <v>6070</v>
      </c>
      <c r="R173" s="18">
        <v>0</v>
      </c>
      <c r="S173" s="18">
        <v>5437</v>
      </c>
      <c r="T173" s="18">
        <v>3825</v>
      </c>
      <c r="U173" s="18">
        <v>3575</v>
      </c>
      <c r="V173" s="18">
        <v>3950</v>
      </c>
      <c r="W173" s="18">
        <v>3144</v>
      </c>
      <c r="X173" s="18">
        <v>2874</v>
      </c>
      <c r="Y173" s="18">
        <v>3054</v>
      </c>
      <c r="Z173" s="18">
        <v>3030</v>
      </c>
      <c r="AA173" s="18">
        <f>SUMIF([1]SA007!$C:$C,'SA007 2025.01-2026.05 '!$D173,[1]SA007!P:P)</f>
        <v>3120</v>
      </c>
      <c r="AB173" s="18">
        <f>SUMIF([1]SA007!$C:$C,'SA007 2025.01-2026.05 '!$D173,[1]SA007!Q:Q)</f>
        <v>2137</v>
      </c>
      <c r="AC173" s="19">
        <f t="shared" si="7"/>
        <v>61989</v>
      </c>
      <c r="AD173" s="19">
        <f t="shared" si="8"/>
        <v>3646.4117647058824</v>
      </c>
      <c r="AE173" s="20" t="s">
        <v>455</v>
      </c>
      <c r="AG173" s="21">
        <f>SUMIF([1]SO003!$H:$H,'SA007 2025.01-2026.05 '!$D173,[1]SO003!AF:AF)</f>
        <v>4900</v>
      </c>
      <c r="AH173" s="21">
        <f>SUMIF([1]SO003!$H:$H,'SA007 2025.01-2026.05 '!$D173,[1]SO003!AH:AH)</f>
        <v>4074</v>
      </c>
      <c r="AI173" s="21">
        <f>SUMIF([1]SO003!$H:$H,'SA007 2025.01-2026.05 '!$D173,[1]SO003!AJ:AJ)</f>
        <v>1200</v>
      </c>
    </row>
    <row r="174" spans="1:35" ht="11.45" customHeight="1" x14ac:dyDescent="0.55000000000000004">
      <c r="A174" s="2" t="s">
        <v>456</v>
      </c>
      <c r="B174" s="2" t="s">
        <v>213</v>
      </c>
      <c r="C174" s="2" t="s">
        <v>213</v>
      </c>
      <c r="D174" s="2" t="s">
        <v>457</v>
      </c>
      <c r="E174" s="2" t="s">
        <v>129</v>
      </c>
      <c r="F174" s="2" t="s">
        <v>129</v>
      </c>
      <c r="G174" s="3" t="s">
        <v>47</v>
      </c>
      <c r="H174" s="2" t="s">
        <v>458</v>
      </c>
      <c r="I174" s="17">
        <v>3</v>
      </c>
      <c r="J174" s="3">
        <v>1219</v>
      </c>
      <c r="K174" s="3">
        <v>70</v>
      </c>
      <c r="L174" s="18">
        <v>361</v>
      </c>
      <c r="M174" s="18">
        <v>281</v>
      </c>
      <c r="N174" s="18">
        <v>296</v>
      </c>
      <c r="O174" s="18">
        <v>936</v>
      </c>
      <c r="P174" s="18">
        <v>0</v>
      </c>
      <c r="Q174" s="18">
        <v>0</v>
      </c>
      <c r="R174" s="18">
        <v>0</v>
      </c>
      <c r="S174" s="18">
        <v>990</v>
      </c>
      <c r="T174" s="18">
        <v>2007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f>SUMIF([1]SA007!$C:$C,'SA007 2025.01-2026.05 '!$D174,[1]SA007!P:P)</f>
        <v>0</v>
      </c>
      <c r="AB174" s="18">
        <f>SUMIF([1]SA007!$C:$C,'SA007 2025.01-2026.05 '!$D174,[1]SA007!Q:Q)</f>
        <v>0</v>
      </c>
      <c r="AC174" s="19">
        <f t="shared" si="7"/>
        <v>4871</v>
      </c>
      <c r="AD174" s="19">
        <f t="shared" si="8"/>
        <v>286.52941176470586</v>
      </c>
      <c r="AE174" s="20" t="s">
        <v>459</v>
      </c>
      <c r="AG174" s="21">
        <f>SUMIF([1]SO003!$H:$H,'SA007 2025.01-2026.05 '!$D174,[1]SO003!AF:AF)</f>
        <v>0</v>
      </c>
      <c r="AH174" s="21">
        <f>SUMIF([1]SO003!$H:$H,'SA007 2025.01-2026.05 '!$D174,[1]SO003!AH:AH)</f>
        <v>0</v>
      </c>
      <c r="AI174" s="21">
        <f>SUMIF([1]SO003!$H:$H,'SA007 2025.01-2026.05 '!$D174,[1]SO003!AJ:AJ)</f>
        <v>0</v>
      </c>
    </row>
    <row r="175" spans="1:35" ht="11.45" customHeight="1" x14ac:dyDescent="0.55000000000000004">
      <c r="A175" s="2" t="s">
        <v>460</v>
      </c>
      <c r="B175" s="2" t="s">
        <v>213</v>
      </c>
      <c r="C175" s="2" t="s">
        <v>213</v>
      </c>
      <c r="D175" s="2" t="s">
        <v>461</v>
      </c>
      <c r="E175" s="2" t="s">
        <v>129</v>
      </c>
      <c r="F175" s="2" t="s">
        <v>129</v>
      </c>
      <c r="G175" s="3" t="s">
        <v>47</v>
      </c>
      <c r="H175" s="2" t="s">
        <v>462</v>
      </c>
      <c r="I175" s="17">
        <v>3.2</v>
      </c>
      <c r="J175" s="3">
        <v>205</v>
      </c>
      <c r="K175" s="3">
        <v>1219</v>
      </c>
      <c r="L175" s="18">
        <v>623</v>
      </c>
      <c r="M175" s="18">
        <v>0</v>
      </c>
      <c r="N175" s="18">
        <v>0</v>
      </c>
      <c r="O175" s="18">
        <v>0</v>
      </c>
      <c r="P175" s="18">
        <v>0</v>
      </c>
      <c r="Q175" s="18">
        <v>321</v>
      </c>
      <c r="R175" s="18">
        <v>512</v>
      </c>
      <c r="S175" s="18">
        <v>626</v>
      </c>
      <c r="T175" s="18">
        <v>0</v>
      </c>
      <c r="U175" s="18">
        <v>1066</v>
      </c>
      <c r="V175" s="18">
        <v>0</v>
      </c>
      <c r="W175" s="18">
        <v>507</v>
      </c>
      <c r="X175" s="18">
        <v>317</v>
      </c>
      <c r="Y175" s="18">
        <v>644</v>
      </c>
      <c r="Z175" s="18">
        <v>0</v>
      </c>
      <c r="AA175" s="18">
        <f>SUMIF([1]SA007!$C:$C,'SA007 2025.01-2026.05 '!$D175,[1]SA007!P:P)</f>
        <v>0</v>
      </c>
      <c r="AB175" s="18">
        <f>SUMIF([1]SA007!$C:$C,'SA007 2025.01-2026.05 '!$D175,[1]SA007!Q:Q)</f>
        <v>503</v>
      </c>
      <c r="AC175" s="19">
        <f t="shared" si="7"/>
        <v>5119</v>
      </c>
      <c r="AD175" s="19">
        <f t="shared" si="8"/>
        <v>301.11764705882354</v>
      </c>
      <c r="AE175" s="20" t="s">
        <v>463</v>
      </c>
      <c r="AG175" s="21">
        <f>SUMIF([1]SO003!$H:$H,'SA007 2025.01-2026.05 '!$D175,[1]SO003!AF:AF)</f>
        <v>0</v>
      </c>
      <c r="AH175" s="21">
        <f>SUMIF([1]SO003!$H:$H,'SA007 2025.01-2026.05 '!$D175,[1]SO003!AH:AH)</f>
        <v>0</v>
      </c>
      <c r="AI175" s="21">
        <f>SUMIF([1]SO003!$H:$H,'SA007 2025.01-2026.05 '!$D175,[1]SO003!AJ:AJ)</f>
        <v>0</v>
      </c>
    </row>
    <row r="176" spans="1:35" ht="11.45" customHeight="1" x14ac:dyDescent="0.55000000000000004">
      <c r="A176" s="2" t="s">
        <v>464</v>
      </c>
      <c r="B176" s="2" t="s">
        <v>213</v>
      </c>
      <c r="C176" s="2" t="s">
        <v>213</v>
      </c>
      <c r="D176" s="2" t="s">
        <v>465</v>
      </c>
      <c r="E176" s="2" t="s">
        <v>129</v>
      </c>
      <c r="F176" s="2" t="s">
        <v>129</v>
      </c>
      <c r="G176" s="3" t="s">
        <v>47</v>
      </c>
      <c r="H176" s="2" t="s">
        <v>458</v>
      </c>
      <c r="I176" s="17">
        <v>3.5</v>
      </c>
      <c r="J176" s="3">
        <v>123</v>
      </c>
      <c r="K176" s="3">
        <v>1219</v>
      </c>
      <c r="L176" s="18">
        <v>1435</v>
      </c>
      <c r="M176" s="18">
        <v>1029</v>
      </c>
      <c r="N176" s="18">
        <v>1026</v>
      </c>
      <c r="O176" s="18">
        <v>2633</v>
      </c>
      <c r="P176" s="18">
        <v>0</v>
      </c>
      <c r="Q176" s="18">
        <v>0</v>
      </c>
      <c r="R176" s="18">
        <v>2050</v>
      </c>
      <c r="S176" s="18">
        <v>2151</v>
      </c>
      <c r="T176" s="18">
        <v>7001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f>SUMIF([1]SA007!$C:$C,'SA007 2025.01-2026.05 '!$D176,[1]SA007!P:P)</f>
        <v>0</v>
      </c>
      <c r="AB176" s="18">
        <f>SUMIF([1]SA007!$C:$C,'SA007 2025.01-2026.05 '!$D176,[1]SA007!Q:Q)</f>
        <v>0</v>
      </c>
      <c r="AC176" s="19">
        <f t="shared" si="7"/>
        <v>17325</v>
      </c>
      <c r="AD176" s="19">
        <f t="shared" si="8"/>
        <v>1019.1176470588235</v>
      </c>
      <c r="AE176" s="20" t="s">
        <v>466</v>
      </c>
      <c r="AG176" s="21">
        <f>SUMIF([1]SO003!$H:$H,'SA007 2025.01-2026.05 '!$D176,[1]SO003!AF:AF)</f>
        <v>0</v>
      </c>
      <c r="AH176" s="21">
        <f>SUMIF([1]SO003!$H:$H,'SA007 2025.01-2026.05 '!$D176,[1]SO003!AH:AH)</f>
        <v>0</v>
      </c>
      <c r="AI176" s="21">
        <f>SUMIF([1]SO003!$H:$H,'SA007 2025.01-2026.05 '!$D176,[1]SO003!AJ:AJ)</f>
        <v>0</v>
      </c>
    </row>
    <row r="177" spans="1:35" ht="11.45" customHeight="1" x14ac:dyDescent="0.55000000000000004">
      <c r="A177" s="2" t="s">
        <v>467</v>
      </c>
      <c r="B177" s="2" t="s">
        <v>365</v>
      </c>
      <c r="C177" s="2" t="s">
        <v>365</v>
      </c>
      <c r="D177" s="2" t="s">
        <v>468</v>
      </c>
      <c r="E177" s="2" t="s">
        <v>129</v>
      </c>
      <c r="F177" s="2" t="s">
        <v>129</v>
      </c>
      <c r="G177" s="3" t="s">
        <v>47</v>
      </c>
      <c r="H177" s="2" t="s">
        <v>469</v>
      </c>
      <c r="I177" s="17">
        <v>4</v>
      </c>
      <c r="J177" s="3">
        <v>176</v>
      </c>
      <c r="K177" s="3">
        <v>1219</v>
      </c>
      <c r="L177" s="18">
        <v>0</v>
      </c>
      <c r="M177" s="18">
        <v>543</v>
      </c>
      <c r="N177" s="18">
        <v>0</v>
      </c>
      <c r="O177" s="18">
        <v>955</v>
      </c>
      <c r="P177" s="18">
        <v>0</v>
      </c>
      <c r="Q177" s="18">
        <v>0</v>
      </c>
      <c r="R177" s="18">
        <v>946</v>
      </c>
      <c r="S177" s="18">
        <v>0</v>
      </c>
      <c r="T177" s="18">
        <v>0</v>
      </c>
      <c r="U177" s="18">
        <v>1026</v>
      </c>
      <c r="V177" s="18">
        <v>949</v>
      </c>
      <c r="W177" s="18">
        <v>0</v>
      </c>
      <c r="X177" s="18">
        <v>0</v>
      </c>
      <c r="Y177" s="18">
        <v>0</v>
      </c>
      <c r="Z177" s="18">
        <v>797</v>
      </c>
      <c r="AA177" s="18">
        <f>SUMIF([1]SA007!$C:$C,'SA007 2025.01-2026.05 '!$D177,[1]SA007!P:P)</f>
        <v>0</v>
      </c>
      <c r="AB177" s="18">
        <f>SUMIF([1]SA007!$C:$C,'SA007 2025.01-2026.05 '!$D177,[1]SA007!Q:Q)</f>
        <v>0</v>
      </c>
      <c r="AC177" s="19">
        <f t="shared" si="7"/>
        <v>5216</v>
      </c>
      <c r="AD177" s="19">
        <f t="shared" si="8"/>
        <v>306.8235294117647</v>
      </c>
      <c r="AE177" s="20" t="s">
        <v>470</v>
      </c>
      <c r="AG177" s="21">
        <f>SUMIF([1]SO003!$H:$H,'SA007 2025.01-2026.05 '!$D177,[1]SO003!AF:AF)</f>
        <v>1125.0258271999999</v>
      </c>
      <c r="AH177" s="21">
        <f>SUMIF([1]SO003!$H:$H,'SA007 2025.01-2026.05 '!$D177,[1]SO003!AH:AH)</f>
        <v>1125.0258271999999</v>
      </c>
      <c r="AI177" s="21">
        <f>SUMIF([1]SO003!$H:$H,'SA007 2025.01-2026.05 '!$D177,[1]SO003!AJ:AJ)</f>
        <v>0</v>
      </c>
    </row>
    <row r="178" spans="1:35" ht="11.45" customHeight="1" x14ac:dyDescent="0.55000000000000004">
      <c r="A178" s="2" t="s">
        <v>467</v>
      </c>
      <c r="B178" s="2" t="s">
        <v>471</v>
      </c>
      <c r="C178" s="2" t="s">
        <v>471</v>
      </c>
      <c r="D178" s="2" t="s">
        <v>472</v>
      </c>
      <c r="E178" s="2" t="s">
        <v>473</v>
      </c>
      <c r="F178" s="2" t="s">
        <v>473</v>
      </c>
      <c r="G178" s="3" t="s">
        <v>47</v>
      </c>
      <c r="H178" s="31" t="s">
        <v>471</v>
      </c>
      <c r="I178" s="17">
        <v>4</v>
      </c>
      <c r="J178" s="3">
        <v>1200</v>
      </c>
      <c r="K178" s="3">
        <v>2438</v>
      </c>
      <c r="L178" s="18">
        <v>0</v>
      </c>
      <c r="M178" s="18">
        <v>1380</v>
      </c>
      <c r="N178" s="18">
        <v>0</v>
      </c>
      <c r="O178" s="18">
        <v>1380</v>
      </c>
      <c r="P178" s="18">
        <v>1194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f>SUMIF([1]SA007!$C:$C,'SA007 2025.01-2026.05 '!$D178,[1]SA007!P:P)</f>
        <v>0</v>
      </c>
      <c r="AB178" s="18">
        <f>SUMIF([1]SA007!$C:$C,'SA007 2025.01-2026.05 '!$D178,[1]SA007!Q:Q)</f>
        <v>0</v>
      </c>
      <c r="AC178" s="19">
        <f t="shared" si="7"/>
        <v>3954</v>
      </c>
      <c r="AD178" s="19">
        <f t="shared" si="8"/>
        <v>232.58823529411765</v>
      </c>
      <c r="AE178" s="20" t="s">
        <v>474</v>
      </c>
      <c r="AG178" s="21">
        <f>SUMIF([1]SO003!$H:$H,'SA007 2025.01-2026.05 '!$D178,[1]SO003!AF:AF)</f>
        <v>0</v>
      </c>
      <c r="AH178" s="21">
        <f>SUMIF([1]SO003!$H:$H,'SA007 2025.01-2026.05 '!$D178,[1]SO003!AH:AH)</f>
        <v>0</v>
      </c>
      <c r="AI178" s="21">
        <f>SUMIF([1]SO003!$H:$H,'SA007 2025.01-2026.05 '!$D178,[1]SO003!AJ:AJ)</f>
        <v>0</v>
      </c>
    </row>
    <row r="179" spans="1:35" ht="11.45" customHeight="1" x14ac:dyDescent="0.55000000000000004">
      <c r="A179" s="2" t="s">
        <v>475</v>
      </c>
      <c r="B179" s="2" t="s">
        <v>213</v>
      </c>
      <c r="C179" s="2" t="s">
        <v>213</v>
      </c>
      <c r="D179" s="2" t="s">
        <v>476</v>
      </c>
      <c r="E179" s="2" t="s">
        <v>106</v>
      </c>
      <c r="F179" s="2" t="s">
        <v>106</v>
      </c>
      <c r="G179" s="3" t="s">
        <v>47</v>
      </c>
      <c r="H179" s="2" t="s">
        <v>477</v>
      </c>
      <c r="I179" s="17">
        <v>4</v>
      </c>
      <c r="J179" s="3">
        <v>150</v>
      </c>
      <c r="K179" s="3" t="s">
        <v>41</v>
      </c>
      <c r="L179" s="18">
        <v>0</v>
      </c>
      <c r="M179" s="18">
        <v>0</v>
      </c>
      <c r="N179" s="18">
        <v>2060</v>
      </c>
      <c r="O179" s="18">
        <v>0</v>
      </c>
      <c r="P179" s="18">
        <v>0</v>
      </c>
      <c r="Q179" s="18">
        <v>1818</v>
      </c>
      <c r="R179" s="18">
        <v>1816</v>
      </c>
      <c r="S179" s="18">
        <v>3892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f>SUMIF([1]SA007!$C:$C,'SA007 2025.01-2026.05 '!$D179,[1]SA007!P:P)</f>
        <v>0</v>
      </c>
      <c r="AB179" s="18">
        <f>SUMIF([1]SA007!$C:$C,'SA007 2025.01-2026.05 '!$D179,[1]SA007!Q:Q)</f>
        <v>0</v>
      </c>
      <c r="AC179" s="19">
        <f t="shared" si="7"/>
        <v>9586</v>
      </c>
      <c r="AD179" s="19">
        <f t="shared" si="8"/>
        <v>563.88235294117646</v>
      </c>
      <c r="AE179" s="20" t="s">
        <v>116</v>
      </c>
      <c r="AG179" s="21">
        <f>SUMIF([1]SO003!$H:$H,'SA007 2025.01-2026.05 '!$D179,[1]SO003!AF:AF)</f>
        <v>0</v>
      </c>
      <c r="AH179" s="21">
        <f>SUMIF([1]SO003!$H:$H,'SA007 2025.01-2026.05 '!$D179,[1]SO003!AH:AH)</f>
        <v>0</v>
      </c>
      <c r="AI179" s="21">
        <f>SUMIF([1]SO003!$H:$H,'SA007 2025.01-2026.05 '!$D179,[1]SO003!AJ:AJ)</f>
        <v>0</v>
      </c>
    </row>
    <row r="180" spans="1:35" ht="11.45" customHeight="1" x14ac:dyDescent="0.55000000000000004">
      <c r="A180" s="2" t="s">
        <v>478</v>
      </c>
      <c r="B180" s="2" t="s">
        <v>44</v>
      </c>
      <c r="C180" s="2" t="s">
        <v>44</v>
      </c>
      <c r="D180" s="2" t="s">
        <v>479</v>
      </c>
      <c r="E180" s="2" t="s">
        <v>444</v>
      </c>
      <c r="F180" s="2" t="s">
        <v>444</v>
      </c>
      <c r="G180" s="3" t="s">
        <v>47</v>
      </c>
      <c r="H180" s="2" t="s">
        <v>44</v>
      </c>
      <c r="I180" s="17">
        <v>4.5</v>
      </c>
      <c r="J180" s="3">
        <v>112</v>
      </c>
      <c r="K180" s="3">
        <v>1219</v>
      </c>
      <c r="L180" s="18">
        <v>0</v>
      </c>
      <c r="M180" s="18">
        <v>2050</v>
      </c>
      <c r="N180" s="18">
        <v>938</v>
      </c>
      <c r="O180" s="18">
        <v>1938</v>
      </c>
      <c r="P180" s="18">
        <v>2276</v>
      </c>
      <c r="Q180" s="18">
        <v>1567</v>
      </c>
      <c r="R180" s="18">
        <v>2598</v>
      </c>
      <c r="S180" s="18">
        <v>1996</v>
      </c>
      <c r="T180" s="18">
        <v>2001</v>
      </c>
      <c r="U180" s="18">
        <v>1576</v>
      </c>
      <c r="V180" s="18">
        <v>1526</v>
      </c>
      <c r="W180" s="18">
        <v>1096</v>
      </c>
      <c r="X180" s="18">
        <v>2002</v>
      </c>
      <c r="Y180" s="18">
        <v>1062</v>
      </c>
      <c r="Z180" s="18">
        <v>1700</v>
      </c>
      <c r="AA180" s="18">
        <f>SUMIF([1]SA007!$C:$C,'SA007 2025.01-2026.05 '!$D180,[1]SA007!P:P)</f>
        <v>1506</v>
      </c>
      <c r="AB180" s="18">
        <f>SUMIF([1]SA007!$C:$C,'SA007 2025.01-2026.05 '!$D180,[1]SA007!Q:Q)</f>
        <v>1377</v>
      </c>
      <c r="AC180" s="19">
        <f t="shared" si="7"/>
        <v>27209</v>
      </c>
      <c r="AD180" s="19">
        <f t="shared" si="8"/>
        <v>1600.5294117647059</v>
      </c>
      <c r="AE180" s="20" t="s">
        <v>480</v>
      </c>
      <c r="AG180" s="21">
        <f>SUMIF([1]SO003!$H:$H,'SA007 2025.01-2026.05 '!$D180,[1]SO003!AF:AF)</f>
        <v>0</v>
      </c>
      <c r="AH180" s="21">
        <f>SUMIF([1]SO003!$H:$H,'SA007 2025.01-2026.05 '!$D180,[1]SO003!AH:AH)</f>
        <v>0</v>
      </c>
      <c r="AI180" s="21">
        <f>SUMIF([1]SO003!$H:$H,'SA007 2025.01-2026.05 '!$D180,[1]SO003!AJ:AJ)</f>
        <v>0</v>
      </c>
    </row>
    <row r="181" spans="1:35" ht="11.45" customHeight="1" x14ac:dyDescent="0.55000000000000004">
      <c r="A181" s="2" t="s">
        <v>361</v>
      </c>
      <c r="B181" s="2" t="s">
        <v>213</v>
      </c>
      <c r="C181" s="2" t="s">
        <v>213</v>
      </c>
      <c r="D181" s="2" t="s">
        <v>481</v>
      </c>
      <c r="E181" s="2" t="s">
        <v>363</v>
      </c>
      <c r="F181" s="2" t="s">
        <v>363</v>
      </c>
      <c r="G181" s="3" t="s">
        <v>47</v>
      </c>
      <c r="H181" s="2" t="s">
        <v>402</v>
      </c>
      <c r="I181" s="17">
        <v>4.5</v>
      </c>
      <c r="J181" s="3">
        <v>63</v>
      </c>
      <c r="K181" s="3">
        <v>1220</v>
      </c>
      <c r="L181" s="18">
        <v>0</v>
      </c>
      <c r="M181" s="18">
        <v>1076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f>SUMIF([1]SA007!$C:$C,'SA007 2025.01-2026.05 '!$D181,[1]SA007!P:P)</f>
        <v>0</v>
      </c>
      <c r="AB181" s="18">
        <f>SUMIF([1]SA007!$C:$C,'SA007 2025.01-2026.05 '!$D181,[1]SA007!Q:Q)</f>
        <v>404</v>
      </c>
      <c r="AC181" s="19">
        <f t="shared" si="7"/>
        <v>1480</v>
      </c>
      <c r="AD181" s="19">
        <f t="shared" si="8"/>
        <v>87.058823529411768</v>
      </c>
      <c r="AE181" s="20" t="s">
        <v>116</v>
      </c>
      <c r="AG181" s="21">
        <f>SUMIF([1]SO003!$H:$H,'SA007 2025.01-2026.05 '!$D181,[1]SO003!AF:AF)</f>
        <v>678.76987499999996</v>
      </c>
      <c r="AH181" s="21">
        <f>SUMIF([1]SO003!$H:$H,'SA007 2025.01-2026.05 '!$D181,[1]SO003!AH:AH)</f>
        <v>765.65241900000001</v>
      </c>
      <c r="AI181" s="21">
        <f>SUMIF([1]SO003!$H:$H,'SA007 2025.01-2026.05 '!$D181,[1]SO003!AJ:AJ)</f>
        <v>0</v>
      </c>
    </row>
    <row r="182" spans="1:35" ht="11.45" customHeight="1" x14ac:dyDescent="0.55000000000000004">
      <c r="A182" s="2" t="s">
        <v>361</v>
      </c>
      <c r="B182" s="2" t="s">
        <v>213</v>
      </c>
      <c r="C182" s="2" t="s">
        <v>213</v>
      </c>
      <c r="D182" s="2" t="s">
        <v>482</v>
      </c>
      <c r="E182" s="2" t="s">
        <v>363</v>
      </c>
      <c r="F182" s="2" t="s">
        <v>363</v>
      </c>
      <c r="G182" s="3" t="s">
        <v>47</v>
      </c>
      <c r="H182" s="2" t="s">
        <v>402</v>
      </c>
      <c r="I182" s="17">
        <v>4.5</v>
      </c>
      <c r="J182" s="3">
        <v>67</v>
      </c>
      <c r="K182" s="3">
        <v>1220</v>
      </c>
      <c r="L182" s="18">
        <v>0</v>
      </c>
      <c r="M182" s="18">
        <v>722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1022</v>
      </c>
      <c r="Z182" s="18">
        <v>427</v>
      </c>
      <c r="AA182" s="18">
        <f>SUMIF([1]SA007!$C:$C,'SA007 2025.01-2026.05 '!$D182,[1]SA007!P:P)</f>
        <v>1842</v>
      </c>
      <c r="AB182" s="18">
        <f>SUMIF([1]SA007!$C:$C,'SA007 2025.01-2026.05 '!$D182,[1]SA007!Q:Q)</f>
        <v>0</v>
      </c>
      <c r="AC182" s="19">
        <f t="shared" si="7"/>
        <v>4013</v>
      </c>
      <c r="AD182" s="19">
        <f t="shared" si="8"/>
        <v>236.05882352941177</v>
      </c>
      <c r="AE182" s="20" t="s">
        <v>116</v>
      </c>
      <c r="AG182" s="21">
        <f>SUMIF([1]SO003!$H:$H,'SA007 2025.01-2026.05 '!$D182,[1]SO003!AF:AF)</f>
        <v>1732.4792999999995</v>
      </c>
      <c r="AH182" s="21">
        <f>SUMIF([1]SO003!$H:$H,'SA007 2025.01-2026.05 '!$D182,[1]SO003!AH:AH)</f>
        <v>1732.4792999999995</v>
      </c>
      <c r="AI182" s="21">
        <f>SUMIF([1]SO003!$H:$H,'SA007 2025.01-2026.05 '!$D182,[1]SO003!AJ:AJ)</f>
        <v>0</v>
      </c>
    </row>
    <row r="183" spans="1:35" ht="11.45" customHeight="1" x14ac:dyDescent="0.55000000000000004">
      <c r="A183" s="2" t="s">
        <v>361</v>
      </c>
      <c r="B183" s="2" t="s">
        <v>213</v>
      </c>
      <c r="C183" s="2" t="s">
        <v>213</v>
      </c>
      <c r="D183" s="2" t="s">
        <v>483</v>
      </c>
      <c r="E183" s="2" t="s">
        <v>363</v>
      </c>
      <c r="F183" s="2" t="s">
        <v>363</v>
      </c>
      <c r="G183" s="3" t="s">
        <v>47</v>
      </c>
      <c r="H183" s="2" t="s">
        <v>213</v>
      </c>
      <c r="I183" s="17">
        <v>4.5</v>
      </c>
      <c r="J183" s="3">
        <v>68</v>
      </c>
      <c r="K183" s="3">
        <v>1220</v>
      </c>
      <c r="L183" s="18">
        <v>0</v>
      </c>
      <c r="M183" s="18">
        <v>876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292</v>
      </c>
      <c r="AA183" s="18">
        <f>SUMIF([1]SA007!$C:$C,'SA007 2025.01-2026.05 '!$D183,[1]SA007!P:P)</f>
        <v>1451</v>
      </c>
      <c r="AB183" s="18">
        <f>SUMIF([1]SA007!$C:$C,'SA007 2025.01-2026.05 '!$D183,[1]SA007!Q:Q)</f>
        <v>0</v>
      </c>
      <c r="AC183" s="19">
        <f t="shared" si="7"/>
        <v>2619</v>
      </c>
      <c r="AD183" s="19">
        <f t="shared" si="8"/>
        <v>154.05882352941177</v>
      </c>
      <c r="AE183" s="20" t="s">
        <v>116</v>
      </c>
      <c r="AG183" s="21">
        <f>SUMIF([1]SO003!$H:$H,'SA007 2025.01-2026.05 '!$D183,[1]SO003!AF:AF)</f>
        <v>1172.2248</v>
      </c>
      <c r="AH183" s="21">
        <f>SUMIF([1]SO003!$H:$H,'SA007 2025.01-2026.05 '!$D183,[1]SO003!AH:AH)</f>
        <v>1172.2248</v>
      </c>
      <c r="AI183" s="21">
        <f>SUMIF([1]SO003!$H:$H,'SA007 2025.01-2026.05 '!$D183,[1]SO003!AJ:AJ)</f>
        <v>0</v>
      </c>
    </row>
    <row r="184" spans="1:35" ht="11.45" customHeight="1" x14ac:dyDescent="0.55000000000000004">
      <c r="A184" s="2" t="s">
        <v>484</v>
      </c>
      <c r="B184" s="2" t="s">
        <v>44</v>
      </c>
      <c r="C184" s="2" t="s">
        <v>44</v>
      </c>
      <c r="D184" s="2" t="s">
        <v>485</v>
      </c>
      <c r="E184" s="2" t="s">
        <v>46</v>
      </c>
      <c r="F184" s="2" t="s">
        <v>46</v>
      </c>
      <c r="G184" s="3" t="s">
        <v>47</v>
      </c>
      <c r="H184" s="2" t="s">
        <v>50</v>
      </c>
      <c r="I184" s="17">
        <v>3</v>
      </c>
      <c r="J184" s="3">
        <v>170</v>
      </c>
      <c r="K184" s="3">
        <v>1220</v>
      </c>
      <c r="L184" s="18">
        <v>0</v>
      </c>
      <c r="M184" s="18">
        <v>527</v>
      </c>
      <c r="N184" s="18">
        <v>478</v>
      </c>
      <c r="O184" s="18">
        <v>622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f>SUMIF([1]SA007!$C:$C,'SA007 2025.01-2026.05 '!$D184,[1]SA007!P:P)</f>
        <v>0</v>
      </c>
      <c r="AB184" s="18">
        <f>SUMIF([1]SA007!$C:$C,'SA007 2025.01-2026.05 '!$D184,[1]SA007!Q:Q)</f>
        <v>0</v>
      </c>
      <c r="AC184" s="19">
        <f t="shared" si="7"/>
        <v>1627</v>
      </c>
      <c r="AD184" s="19">
        <f t="shared" si="8"/>
        <v>95.705882352941174</v>
      </c>
      <c r="AE184" s="20" t="s">
        <v>51</v>
      </c>
      <c r="AG184" s="21">
        <f>SUMIF([1]SO003!$H:$H,'SA007 2025.01-2026.05 '!$D184,[1]SO003!AF:AF)</f>
        <v>0</v>
      </c>
      <c r="AH184" s="21">
        <f>SUMIF([1]SO003!$H:$H,'SA007 2025.01-2026.05 '!$D184,[1]SO003!AH:AH)</f>
        <v>0</v>
      </c>
      <c r="AI184" s="21">
        <f>SUMIF([1]SO003!$H:$H,'SA007 2025.01-2026.05 '!$D184,[1]SO003!AJ:AJ)</f>
        <v>0</v>
      </c>
    </row>
    <row r="185" spans="1:35" ht="11.45" customHeight="1" x14ac:dyDescent="0.55000000000000004">
      <c r="A185" s="2" t="s">
        <v>212</v>
      </c>
      <c r="D185" s="22" t="s">
        <v>486</v>
      </c>
      <c r="E185" s="2" t="s">
        <v>116</v>
      </c>
      <c r="F185" s="2" t="s">
        <v>116</v>
      </c>
      <c r="G185" s="3" t="s">
        <v>47</v>
      </c>
      <c r="H185" s="2" t="s">
        <v>321</v>
      </c>
      <c r="I185" s="17">
        <v>1.6</v>
      </c>
      <c r="J185" s="3">
        <v>62</v>
      </c>
      <c r="K185" s="3">
        <v>1219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f>SUMIF([1]SA007!$C:$C,'SA007 2025.01-2026.05 '!$D185,[1]SA007!P:P)</f>
        <v>0</v>
      </c>
      <c r="AB185" s="18">
        <f>SUMIF([1]SA007!$C:$C,'SA007 2025.01-2026.05 '!$D185,[1]SA007!Q:Q)</f>
        <v>0</v>
      </c>
      <c r="AC185" s="19">
        <f t="shared" si="7"/>
        <v>0</v>
      </c>
      <c r="AD185" s="19">
        <f t="shared" si="8"/>
        <v>0</v>
      </c>
      <c r="AG185" s="21">
        <f>SUMIF([1]SO003!$H:$H,'SA007 2025.01-2026.05 '!$D185,[1]SO003!AF:AF)</f>
        <v>0</v>
      </c>
      <c r="AH185" s="21">
        <f>SUMIF([1]SO003!$H:$H,'SA007 2025.01-2026.05 '!$D185,[1]SO003!AH:AH)</f>
        <v>0</v>
      </c>
      <c r="AI185" s="21">
        <f>SUMIF([1]SO003!$H:$H,'SA007 2025.01-2026.05 '!$D185,[1]SO003!AJ:AJ)</f>
        <v>0</v>
      </c>
    </row>
    <row r="186" spans="1:35" ht="11.45" customHeight="1" x14ac:dyDescent="0.55000000000000004">
      <c r="A186" s="2" t="s">
        <v>433</v>
      </c>
      <c r="B186" s="2" t="s">
        <v>213</v>
      </c>
      <c r="C186" s="2" t="s">
        <v>213</v>
      </c>
      <c r="D186" s="2" t="s">
        <v>487</v>
      </c>
      <c r="E186" s="2" t="s">
        <v>363</v>
      </c>
      <c r="F186" s="2" t="s">
        <v>363</v>
      </c>
      <c r="G186" s="3" t="s">
        <v>47</v>
      </c>
      <c r="H186" s="2" t="s">
        <v>402</v>
      </c>
      <c r="I186" s="17">
        <v>2.6</v>
      </c>
      <c r="J186" s="3">
        <v>120</v>
      </c>
      <c r="K186" s="3">
        <v>1220</v>
      </c>
      <c r="L186" s="18">
        <v>0</v>
      </c>
      <c r="M186" s="18">
        <v>332</v>
      </c>
      <c r="N186" s="18">
        <v>0</v>
      </c>
      <c r="O186" s="18">
        <v>0</v>
      </c>
      <c r="P186" s="18">
        <v>1347</v>
      </c>
      <c r="Q186" s="18">
        <v>0</v>
      </c>
      <c r="R186" s="18">
        <v>0</v>
      </c>
      <c r="S186" s="18">
        <v>0</v>
      </c>
      <c r="T186" s="18">
        <v>588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f>SUMIF([1]SA007!$C:$C,'SA007 2025.01-2026.05 '!$D186,[1]SA007!P:P)</f>
        <v>0</v>
      </c>
      <c r="AB186" s="18">
        <f>SUMIF([1]SA007!$C:$C,'SA007 2025.01-2026.05 '!$D186,[1]SA007!Q:Q)</f>
        <v>0</v>
      </c>
      <c r="AC186" s="19">
        <f t="shared" si="7"/>
        <v>2267</v>
      </c>
      <c r="AD186" s="19">
        <f t="shared" si="8"/>
        <v>133.35294117647058</v>
      </c>
      <c r="AE186" s="20" t="s">
        <v>116</v>
      </c>
      <c r="AG186" s="21">
        <f>SUMIF([1]SO003!$H:$H,'SA007 2025.01-2026.05 '!$D186,[1]SO003!AF:AF)</f>
        <v>0</v>
      </c>
      <c r="AH186" s="21">
        <f>SUMIF([1]SO003!$H:$H,'SA007 2025.01-2026.05 '!$D186,[1]SO003!AH:AH)</f>
        <v>0</v>
      </c>
      <c r="AI186" s="21">
        <f>SUMIF([1]SO003!$H:$H,'SA007 2025.01-2026.05 '!$D186,[1]SO003!AJ:AJ)</f>
        <v>0</v>
      </c>
    </row>
    <row r="187" spans="1:35" ht="11.45" customHeight="1" x14ac:dyDescent="0.55000000000000004">
      <c r="A187" s="2" t="s">
        <v>433</v>
      </c>
      <c r="B187" s="2" t="s">
        <v>213</v>
      </c>
      <c r="C187" s="2" t="s">
        <v>213</v>
      </c>
      <c r="D187" s="2" t="s">
        <v>488</v>
      </c>
      <c r="E187" s="2" t="s">
        <v>363</v>
      </c>
      <c r="F187" s="2" t="s">
        <v>363</v>
      </c>
      <c r="G187" s="3" t="s">
        <v>47</v>
      </c>
      <c r="H187" s="2" t="s">
        <v>402</v>
      </c>
      <c r="I187" s="17">
        <v>2.6</v>
      </c>
      <c r="J187" s="3">
        <v>120</v>
      </c>
      <c r="K187" s="3">
        <v>1220</v>
      </c>
      <c r="L187" s="18">
        <v>0</v>
      </c>
      <c r="M187" s="18">
        <v>448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f>SUMIF([1]SA007!$C:$C,'SA007 2025.01-2026.05 '!$D187,[1]SA007!P:P)</f>
        <v>0</v>
      </c>
      <c r="AB187" s="18">
        <f>SUMIF([1]SA007!$C:$C,'SA007 2025.01-2026.05 '!$D187,[1]SA007!Q:Q)</f>
        <v>0</v>
      </c>
      <c r="AC187" s="19">
        <f t="shared" si="7"/>
        <v>448</v>
      </c>
      <c r="AD187" s="19">
        <f t="shared" si="8"/>
        <v>26.352941176470587</v>
      </c>
      <c r="AE187" s="20" t="s">
        <v>116</v>
      </c>
      <c r="AG187" s="21">
        <f>SUMIF([1]SO003!$H:$H,'SA007 2025.01-2026.05 '!$D187,[1]SO003!AF:AF)</f>
        <v>0</v>
      </c>
      <c r="AH187" s="21">
        <f>SUMIF([1]SO003!$H:$H,'SA007 2025.01-2026.05 '!$D187,[1]SO003!AH:AH)</f>
        <v>0</v>
      </c>
      <c r="AI187" s="21">
        <f>SUMIF([1]SO003!$H:$H,'SA007 2025.01-2026.05 '!$D187,[1]SO003!AJ:AJ)</f>
        <v>0</v>
      </c>
    </row>
    <row r="188" spans="1:35" ht="11.45" customHeight="1" x14ac:dyDescent="0.55000000000000004">
      <c r="A188" s="2" t="s">
        <v>489</v>
      </c>
      <c r="B188" s="2" t="s">
        <v>213</v>
      </c>
      <c r="C188" s="2" t="s">
        <v>213</v>
      </c>
      <c r="D188" s="2" t="s">
        <v>490</v>
      </c>
      <c r="E188" s="2" t="s">
        <v>363</v>
      </c>
      <c r="F188" s="2" t="s">
        <v>363</v>
      </c>
      <c r="G188" s="3" t="s">
        <v>47</v>
      </c>
      <c r="H188" s="2" t="s">
        <v>402</v>
      </c>
      <c r="I188" s="17">
        <v>2.2999999999999998</v>
      </c>
      <c r="J188" s="3">
        <v>105</v>
      </c>
      <c r="K188" s="3">
        <v>1220</v>
      </c>
      <c r="L188" s="18">
        <v>0</v>
      </c>
      <c r="M188" s="18">
        <v>0</v>
      </c>
      <c r="N188" s="18">
        <v>0</v>
      </c>
      <c r="O188" s="18">
        <v>461</v>
      </c>
      <c r="P188" s="18">
        <v>0</v>
      </c>
      <c r="Q188" s="18">
        <v>0</v>
      </c>
      <c r="R188" s="18">
        <v>0</v>
      </c>
      <c r="S188" s="18">
        <v>0</v>
      </c>
      <c r="T188" s="18">
        <v>700</v>
      </c>
      <c r="U188" s="18">
        <v>934</v>
      </c>
      <c r="V188" s="18">
        <v>458</v>
      </c>
      <c r="W188" s="18">
        <v>0</v>
      </c>
      <c r="X188" s="18">
        <v>0</v>
      </c>
      <c r="Y188" s="18">
        <v>1487</v>
      </c>
      <c r="Z188" s="18">
        <v>0</v>
      </c>
      <c r="AA188" s="18">
        <f>SUMIF([1]SA007!$C:$C,'SA007 2025.01-2026.05 '!$D188,[1]SA007!P:P)</f>
        <v>228</v>
      </c>
      <c r="AB188" s="18">
        <f>SUMIF([1]SA007!$C:$C,'SA007 2025.01-2026.05 '!$D188,[1]SA007!Q:Q)</f>
        <v>693</v>
      </c>
      <c r="AC188" s="19">
        <f t="shared" si="7"/>
        <v>4961</v>
      </c>
      <c r="AD188" s="19">
        <f t="shared" si="8"/>
        <v>291.8235294117647</v>
      </c>
      <c r="AE188" s="20" t="s">
        <v>116</v>
      </c>
      <c r="AG188" s="21">
        <f>SUMIF([1]SO003!$H:$H,'SA007 2025.01-2026.05 '!$D188,[1]SO003!AF:AF)</f>
        <v>693.85364999999979</v>
      </c>
      <c r="AH188" s="21">
        <f>SUMIF([1]SO003!$H:$H,'SA007 2025.01-2026.05 '!$D188,[1]SO003!AH:AH)</f>
        <v>698.47934099999986</v>
      </c>
      <c r="AI188" s="21">
        <f>SUMIF([1]SO003!$H:$H,'SA007 2025.01-2026.05 '!$D188,[1]SO003!AJ:AJ)</f>
        <v>0</v>
      </c>
    </row>
    <row r="189" spans="1:35" ht="11.45" customHeight="1" x14ac:dyDescent="0.55000000000000004">
      <c r="A189" s="2" t="s">
        <v>491</v>
      </c>
      <c r="B189" s="2" t="s">
        <v>44</v>
      </c>
      <c r="C189" s="2" t="s">
        <v>44</v>
      </c>
      <c r="D189" s="2" t="s">
        <v>492</v>
      </c>
      <c r="E189" s="2" t="s">
        <v>227</v>
      </c>
      <c r="F189" s="2" t="s">
        <v>227</v>
      </c>
      <c r="G189" s="3" t="s">
        <v>47</v>
      </c>
      <c r="H189" s="2" t="s">
        <v>44</v>
      </c>
      <c r="I189" s="17">
        <v>5</v>
      </c>
      <c r="J189" s="3">
        <v>136</v>
      </c>
      <c r="K189" s="3">
        <v>1220</v>
      </c>
      <c r="L189" s="18">
        <v>0</v>
      </c>
      <c r="M189" s="18">
        <v>3260</v>
      </c>
      <c r="N189" s="18">
        <v>0</v>
      </c>
      <c r="O189" s="18">
        <v>0</v>
      </c>
      <c r="P189" s="18">
        <v>3266</v>
      </c>
      <c r="Q189" s="18">
        <v>0</v>
      </c>
      <c r="R189" s="18">
        <v>3220</v>
      </c>
      <c r="S189" s="18">
        <v>6421</v>
      </c>
      <c r="T189" s="18">
        <v>0</v>
      </c>
      <c r="U189" s="18">
        <v>0</v>
      </c>
      <c r="V189" s="18">
        <v>3953</v>
      </c>
      <c r="W189" s="18">
        <v>3295</v>
      </c>
      <c r="X189" s="18">
        <v>3285</v>
      </c>
      <c r="Y189" s="18">
        <v>0</v>
      </c>
      <c r="Z189" s="18">
        <v>3522</v>
      </c>
      <c r="AA189" s="18">
        <f>SUMIF([1]SA007!$C:$C,'SA007 2025.01-2026.05 '!$D189,[1]SA007!P:P)</f>
        <v>2672</v>
      </c>
      <c r="AB189" s="18">
        <f>SUMIF([1]SA007!$C:$C,'SA007 2025.01-2026.05 '!$D189,[1]SA007!Q:Q)</f>
        <v>1839</v>
      </c>
      <c r="AC189" s="19">
        <f t="shared" si="7"/>
        <v>34733</v>
      </c>
      <c r="AD189" s="19">
        <f t="shared" si="8"/>
        <v>2043.1176470588234</v>
      </c>
      <c r="AE189" s="20" t="s">
        <v>493</v>
      </c>
      <c r="AG189" s="21">
        <f>SUMIF([1]SO003!$H:$H,'SA007 2025.01-2026.05 '!$D189,[1]SO003!AF:AF)</f>
        <v>0</v>
      </c>
      <c r="AH189" s="21">
        <f>SUMIF([1]SO003!$H:$H,'SA007 2025.01-2026.05 '!$D189,[1]SO003!AH:AH)</f>
        <v>0</v>
      </c>
      <c r="AI189" s="21">
        <f>SUMIF([1]SO003!$H:$H,'SA007 2025.01-2026.05 '!$D189,[1]SO003!AJ:AJ)</f>
        <v>0</v>
      </c>
    </row>
    <row r="190" spans="1:35" ht="11.45" customHeight="1" x14ac:dyDescent="0.55000000000000004">
      <c r="A190" s="2" t="s">
        <v>494</v>
      </c>
      <c r="B190" s="2" t="s">
        <v>44</v>
      </c>
      <c r="C190" s="2" t="s">
        <v>44</v>
      </c>
      <c r="D190" s="2" t="s">
        <v>495</v>
      </c>
      <c r="E190" s="2" t="s">
        <v>46</v>
      </c>
      <c r="F190" s="2" t="s">
        <v>46</v>
      </c>
      <c r="G190" s="3" t="s">
        <v>47</v>
      </c>
      <c r="H190" s="2" t="s">
        <v>50</v>
      </c>
      <c r="I190" s="17">
        <v>2.5</v>
      </c>
      <c r="J190" s="3">
        <v>120</v>
      </c>
      <c r="K190" s="3">
        <v>1220</v>
      </c>
      <c r="L190" s="18">
        <v>0</v>
      </c>
      <c r="M190" s="18">
        <v>286</v>
      </c>
      <c r="N190" s="18">
        <v>284</v>
      </c>
      <c r="O190" s="18">
        <v>289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f>SUMIF([1]SA007!$C:$C,'SA007 2025.01-2026.05 '!$D190,[1]SA007!P:P)</f>
        <v>0</v>
      </c>
      <c r="AB190" s="18">
        <f>SUMIF([1]SA007!$C:$C,'SA007 2025.01-2026.05 '!$D190,[1]SA007!Q:Q)</f>
        <v>0</v>
      </c>
      <c r="AC190" s="19">
        <f t="shared" si="7"/>
        <v>859</v>
      </c>
      <c r="AD190" s="19">
        <f t="shared" si="8"/>
        <v>50.529411764705884</v>
      </c>
      <c r="AE190" s="20" t="s">
        <v>51</v>
      </c>
      <c r="AG190" s="21">
        <f>SUMIF([1]SO003!$H:$H,'SA007 2025.01-2026.05 '!$D190,[1]SO003!AF:AF)</f>
        <v>0</v>
      </c>
      <c r="AH190" s="21">
        <f>SUMIF([1]SO003!$H:$H,'SA007 2025.01-2026.05 '!$D190,[1]SO003!AH:AH)</f>
        <v>0</v>
      </c>
      <c r="AI190" s="21">
        <f>SUMIF([1]SO003!$H:$H,'SA007 2025.01-2026.05 '!$D190,[1]SO003!AJ:AJ)</f>
        <v>0</v>
      </c>
    </row>
    <row r="191" spans="1:35" ht="11.45" customHeight="1" x14ac:dyDescent="0.55000000000000004">
      <c r="A191" s="2" t="s">
        <v>494</v>
      </c>
      <c r="B191" s="2" t="s">
        <v>44</v>
      </c>
      <c r="C191" s="2" t="s">
        <v>44</v>
      </c>
      <c r="D191" s="2" t="s">
        <v>496</v>
      </c>
      <c r="E191" s="2" t="s">
        <v>46</v>
      </c>
      <c r="F191" s="2" t="s">
        <v>46</v>
      </c>
      <c r="G191" s="3" t="s">
        <v>47</v>
      </c>
      <c r="H191" s="2" t="s">
        <v>50</v>
      </c>
      <c r="I191" s="17">
        <v>2.5</v>
      </c>
      <c r="J191" s="3">
        <v>130</v>
      </c>
      <c r="K191" s="3">
        <v>1220</v>
      </c>
      <c r="L191" s="18">
        <v>0</v>
      </c>
      <c r="M191" s="18">
        <v>312</v>
      </c>
      <c r="N191" s="18">
        <v>307</v>
      </c>
      <c r="O191" s="18">
        <v>313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f>SUMIF([1]SA007!$C:$C,'SA007 2025.01-2026.05 '!$D191,[1]SA007!P:P)</f>
        <v>0</v>
      </c>
      <c r="AB191" s="18">
        <f>SUMIF([1]SA007!$C:$C,'SA007 2025.01-2026.05 '!$D191,[1]SA007!Q:Q)</f>
        <v>0</v>
      </c>
      <c r="AC191" s="19">
        <f t="shared" si="7"/>
        <v>932</v>
      </c>
      <c r="AD191" s="19">
        <f t="shared" si="8"/>
        <v>54.823529411764703</v>
      </c>
      <c r="AE191" s="20" t="s">
        <v>51</v>
      </c>
      <c r="AG191" s="21">
        <f>SUMIF([1]SO003!$H:$H,'SA007 2025.01-2026.05 '!$D191,[1]SO003!AF:AF)</f>
        <v>0</v>
      </c>
      <c r="AH191" s="21">
        <f>SUMIF([1]SO003!$H:$H,'SA007 2025.01-2026.05 '!$D191,[1]SO003!AH:AH)</f>
        <v>0</v>
      </c>
      <c r="AI191" s="21">
        <f>SUMIF([1]SO003!$H:$H,'SA007 2025.01-2026.05 '!$D191,[1]SO003!AJ:AJ)</f>
        <v>0</v>
      </c>
    </row>
    <row r="192" spans="1:35" ht="11.45" customHeight="1" x14ac:dyDescent="0.55000000000000004">
      <c r="A192" s="2" t="s">
        <v>494</v>
      </c>
      <c r="B192" s="2" t="s">
        <v>44</v>
      </c>
      <c r="C192" s="2" t="s">
        <v>44</v>
      </c>
      <c r="D192" s="2" t="s">
        <v>497</v>
      </c>
      <c r="E192" s="2" t="s">
        <v>46</v>
      </c>
      <c r="F192" s="2" t="s">
        <v>46</v>
      </c>
      <c r="G192" s="3" t="s">
        <v>47</v>
      </c>
      <c r="H192" s="2" t="s">
        <v>50</v>
      </c>
      <c r="I192" s="17">
        <v>2.5</v>
      </c>
      <c r="J192" s="3">
        <v>130</v>
      </c>
      <c r="K192" s="3">
        <v>1220</v>
      </c>
      <c r="L192" s="18">
        <v>0</v>
      </c>
      <c r="M192" s="18">
        <v>312</v>
      </c>
      <c r="N192" s="18">
        <v>308</v>
      </c>
      <c r="O192" s="18">
        <v>313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f>SUMIF([1]SA007!$C:$C,'SA007 2025.01-2026.05 '!$D192,[1]SA007!P:P)</f>
        <v>0</v>
      </c>
      <c r="AB192" s="18">
        <f>SUMIF([1]SA007!$C:$C,'SA007 2025.01-2026.05 '!$D192,[1]SA007!Q:Q)</f>
        <v>0</v>
      </c>
      <c r="AC192" s="19">
        <f t="shared" si="7"/>
        <v>933</v>
      </c>
      <c r="AD192" s="19">
        <f t="shared" si="8"/>
        <v>54.882352941176471</v>
      </c>
      <c r="AE192" s="20" t="s">
        <v>51</v>
      </c>
      <c r="AG192" s="21">
        <f>SUMIF([1]SO003!$H:$H,'SA007 2025.01-2026.05 '!$D192,[1]SO003!AF:AF)</f>
        <v>0</v>
      </c>
      <c r="AH192" s="21">
        <f>SUMIF([1]SO003!$H:$H,'SA007 2025.01-2026.05 '!$D192,[1]SO003!AH:AH)</f>
        <v>0</v>
      </c>
      <c r="AI192" s="21">
        <f>SUMIF([1]SO003!$H:$H,'SA007 2025.01-2026.05 '!$D192,[1]SO003!AJ:AJ)</f>
        <v>0</v>
      </c>
    </row>
    <row r="193" spans="1:35" ht="11.45" customHeight="1" x14ac:dyDescent="0.55000000000000004">
      <c r="A193" s="2" t="s">
        <v>491</v>
      </c>
      <c r="B193" s="2" t="s">
        <v>44</v>
      </c>
      <c r="C193" s="2" t="s">
        <v>44</v>
      </c>
      <c r="D193" s="2" t="s">
        <v>498</v>
      </c>
      <c r="E193" s="2" t="s">
        <v>227</v>
      </c>
      <c r="F193" s="2" t="s">
        <v>227</v>
      </c>
      <c r="G193" s="3" t="s">
        <v>47</v>
      </c>
      <c r="H193" s="2" t="s">
        <v>44</v>
      </c>
      <c r="I193" s="17">
        <v>5</v>
      </c>
      <c r="J193" s="3">
        <v>130</v>
      </c>
      <c r="K193" s="3">
        <v>1220</v>
      </c>
      <c r="L193" s="18">
        <v>0</v>
      </c>
      <c r="M193" s="18">
        <v>3173</v>
      </c>
      <c r="N193" s="18">
        <v>0</v>
      </c>
      <c r="O193" s="18">
        <v>0</v>
      </c>
      <c r="P193" s="18">
        <v>3195</v>
      </c>
      <c r="Q193" s="18">
        <v>3144</v>
      </c>
      <c r="R193" s="18">
        <v>3721</v>
      </c>
      <c r="S193" s="18">
        <v>6207</v>
      </c>
      <c r="T193" s="18">
        <v>0</v>
      </c>
      <c r="U193" s="18">
        <v>0</v>
      </c>
      <c r="V193" s="18">
        <v>1863</v>
      </c>
      <c r="W193" s="18">
        <v>0</v>
      </c>
      <c r="X193" s="18">
        <v>3083</v>
      </c>
      <c r="Y193" s="18">
        <v>0</v>
      </c>
      <c r="Z193" s="18">
        <v>4565</v>
      </c>
      <c r="AA193" s="18">
        <f>SUMIF([1]SA007!$C:$C,'SA007 2025.01-2026.05 '!$D193,[1]SA007!P:P)</f>
        <v>1867</v>
      </c>
      <c r="AB193" s="18">
        <f>SUMIF([1]SA007!$C:$C,'SA007 2025.01-2026.05 '!$D193,[1]SA007!Q:Q)</f>
        <v>3738</v>
      </c>
      <c r="AC193" s="19">
        <f t="shared" si="7"/>
        <v>34556</v>
      </c>
      <c r="AD193" s="19">
        <f t="shared" si="8"/>
        <v>2032.7058823529412</v>
      </c>
      <c r="AE193" s="20" t="s">
        <v>499</v>
      </c>
      <c r="AG193" s="21">
        <f>SUMIF([1]SO003!$H:$H,'SA007 2025.01-2026.05 '!$D193,[1]SO003!AF:AF)</f>
        <v>0</v>
      </c>
      <c r="AH193" s="21">
        <f>SUMIF([1]SO003!$H:$H,'SA007 2025.01-2026.05 '!$D193,[1]SO003!AH:AH)</f>
        <v>0</v>
      </c>
      <c r="AI193" s="21">
        <f>SUMIF([1]SO003!$H:$H,'SA007 2025.01-2026.05 '!$D193,[1]SO003!AJ:AJ)</f>
        <v>0</v>
      </c>
    </row>
    <row r="194" spans="1:35" ht="11.45" customHeight="1" x14ac:dyDescent="0.55000000000000004">
      <c r="A194" s="2" t="s">
        <v>500</v>
      </c>
      <c r="B194" s="2" t="s">
        <v>501</v>
      </c>
      <c r="C194" s="2" t="s">
        <v>502</v>
      </c>
      <c r="D194" s="2" t="s">
        <v>503</v>
      </c>
      <c r="E194" s="2" t="s">
        <v>129</v>
      </c>
      <c r="F194" s="2" t="s">
        <v>129</v>
      </c>
      <c r="G194" s="3" t="s">
        <v>47</v>
      </c>
      <c r="H194" s="2" t="s">
        <v>504</v>
      </c>
      <c r="I194" s="17">
        <v>6</v>
      </c>
      <c r="J194" s="3">
        <v>135</v>
      </c>
      <c r="K194" s="3">
        <v>1048</v>
      </c>
      <c r="L194" s="18">
        <v>1288</v>
      </c>
      <c r="M194" s="18">
        <v>47</v>
      </c>
      <c r="N194" s="18">
        <v>1737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1769</v>
      </c>
      <c r="AA194" s="18">
        <f>SUMIF([1]SA007!$C:$C,'SA007 2025.01-2026.05 '!$D194,[1]SA007!P:P)</f>
        <v>0</v>
      </c>
      <c r="AB194" s="18">
        <f>SUMIF([1]SA007!$C:$C,'SA007 2025.01-2026.05 '!$D194,[1]SA007!Q:Q)</f>
        <v>2675</v>
      </c>
      <c r="AC194" s="19">
        <f t="shared" si="7"/>
        <v>7516</v>
      </c>
      <c r="AD194" s="19">
        <f t="shared" si="8"/>
        <v>442.11764705882354</v>
      </c>
      <c r="AE194" s="20" t="s">
        <v>505</v>
      </c>
      <c r="AG194" s="21">
        <f>SUMIF([1]SO003!$H:$H,'SA007 2025.01-2026.05 '!$D194,[1]SO003!AF:AF)</f>
        <v>2665.4831999999997</v>
      </c>
      <c r="AH194" s="21">
        <f>SUMIF([1]SO003!$H:$H,'SA007 2025.01-2026.05 '!$D194,[1]SO003!AH:AH)</f>
        <v>2665.4831999999997</v>
      </c>
      <c r="AI194" s="21">
        <f>SUMIF([1]SO003!$H:$H,'SA007 2025.01-2026.05 '!$D194,[1]SO003!AJ:AJ)</f>
        <v>0</v>
      </c>
    </row>
    <row r="195" spans="1:35" ht="11.45" customHeight="1" x14ac:dyDescent="0.55000000000000004">
      <c r="A195" s="2" t="s">
        <v>500</v>
      </c>
      <c r="B195" s="2" t="s">
        <v>501</v>
      </c>
      <c r="C195" s="2" t="s">
        <v>502</v>
      </c>
      <c r="D195" s="2" t="s">
        <v>506</v>
      </c>
      <c r="E195" s="2" t="s">
        <v>129</v>
      </c>
      <c r="F195" s="2" t="s">
        <v>129</v>
      </c>
      <c r="G195" s="3" t="s">
        <v>47</v>
      </c>
      <c r="H195" s="2" t="s">
        <v>502</v>
      </c>
      <c r="I195" s="17">
        <v>6</v>
      </c>
      <c r="J195" s="3">
        <v>135</v>
      </c>
      <c r="K195" s="3">
        <v>1048</v>
      </c>
      <c r="L195" s="18">
        <v>2086</v>
      </c>
      <c r="M195" s="18">
        <v>0</v>
      </c>
      <c r="N195" s="18">
        <v>0</v>
      </c>
      <c r="O195" s="18">
        <v>0</v>
      </c>
      <c r="P195" s="18">
        <v>2337</v>
      </c>
      <c r="Q195" s="18">
        <v>1334</v>
      </c>
      <c r="R195" s="18">
        <v>0</v>
      </c>
      <c r="S195" s="18">
        <v>1996</v>
      </c>
      <c r="T195" s="18">
        <v>1989</v>
      </c>
      <c r="U195" s="18">
        <v>2071</v>
      </c>
      <c r="V195" s="18">
        <v>2471</v>
      </c>
      <c r="W195" s="18">
        <v>1671</v>
      </c>
      <c r="X195" s="18">
        <v>2362</v>
      </c>
      <c r="Y195" s="18">
        <v>0</v>
      </c>
      <c r="Z195" s="18">
        <v>518</v>
      </c>
      <c r="AA195" s="18">
        <f>SUMIF([1]SA007!$C:$C,'SA007 2025.01-2026.05 '!$D195,[1]SA007!P:P)</f>
        <v>0</v>
      </c>
      <c r="AB195" s="18">
        <f>SUMIF([1]SA007!$C:$C,'SA007 2025.01-2026.05 '!$D195,[1]SA007!Q:Q)</f>
        <v>0</v>
      </c>
      <c r="AC195" s="19">
        <f t="shared" si="7"/>
        <v>18835</v>
      </c>
      <c r="AD195" s="19">
        <f t="shared" si="8"/>
        <v>1107.9411764705883</v>
      </c>
      <c r="AE195" s="20" t="s">
        <v>505</v>
      </c>
      <c r="AG195" s="21">
        <f>SUMIF([1]SO003!$H:$H,'SA007 2025.01-2026.05 '!$D195,[1]SO003!AF:AF)</f>
        <v>0</v>
      </c>
      <c r="AH195" s="21">
        <f>SUMIF([1]SO003!$H:$H,'SA007 2025.01-2026.05 '!$D195,[1]SO003!AH:AH)</f>
        <v>0</v>
      </c>
      <c r="AI195" s="21">
        <f>SUMIF([1]SO003!$H:$H,'SA007 2025.01-2026.05 '!$D195,[1]SO003!AJ:AJ)</f>
        <v>0</v>
      </c>
    </row>
    <row r="196" spans="1:35" ht="11.45" customHeight="1" x14ac:dyDescent="0.55000000000000004">
      <c r="A196" s="2" t="s">
        <v>507</v>
      </c>
      <c r="B196" s="2" t="s">
        <v>213</v>
      </c>
      <c r="C196" s="2" t="s">
        <v>213</v>
      </c>
      <c r="D196" s="2" t="s">
        <v>508</v>
      </c>
      <c r="E196" s="2" t="s">
        <v>363</v>
      </c>
      <c r="F196" s="2" t="s">
        <v>363</v>
      </c>
      <c r="G196" s="3" t="s">
        <v>47</v>
      </c>
      <c r="H196" s="2" t="s">
        <v>402</v>
      </c>
      <c r="I196" s="17">
        <v>6</v>
      </c>
      <c r="J196" s="3">
        <v>75</v>
      </c>
      <c r="K196" s="3">
        <v>1220</v>
      </c>
      <c r="L196" s="18">
        <v>0</v>
      </c>
      <c r="M196" s="18">
        <v>5650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3877</v>
      </c>
      <c r="W196" s="18">
        <v>0</v>
      </c>
      <c r="X196" s="18">
        <v>0</v>
      </c>
      <c r="Y196" s="18">
        <v>3492</v>
      </c>
      <c r="Z196" s="18">
        <v>0</v>
      </c>
      <c r="AA196" s="18">
        <f>SUMIF([1]SA007!$C:$C,'SA007 2025.01-2026.05 '!$D196,[1]SA007!P:P)</f>
        <v>1712</v>
      </c>
      <c r="AB196" s="18">
        <f>SUMIF([1]SA007!$C:$C,'SA007 2025.01-2026.05 '!$D196,[1]SA007!Q:Q)</f>
        <v>6293</v>
      </c>
      <c r="AC196" s="19">
        <f t="shared" si="7"/>
        <v>21024</v>
      </c>
      <c r="AD196" s="19">
        <f t="shared" si="8"/>
        <v>1236.7058823529412</v>
      </c>
      <c r="AE196" s="20" t="s">
        <v>116</v>
      </c>
      <c r="AG196" s="21">
        <f>SUMIF([1]SO003!$H:$H,'SA007 2025.01-2026.05 '!$D196,[1]SO003!AF:AF)</f>
        <v>0</v>
      </c>
      <c r="AH196" s="21">
        <f>SUMIF([1]SO003!$H:$H,'SA007 2025.01-2026.05 '!$D196,[1]SO003!AH:AH)</f>
        <v>0</v>
      </c>
      <c r="AI196" s="21">
        <f>SUMIF([1]SO003!$H:$H,'SA007 2025.01-2026.05 '!$D196,[1]SO003!AJ:AJ)</f>
        <v>0</v>
      </c>
    </row>
    <row r="197" spans="1:35" ht="11.45" customHeight="1" x14ac:dyDescent="0.55000000000000004">
      <c r="A197" s="2" t="s">
        <v>509</v>
      </c>
      <c r="B197" s="2" t="s">
        <v>510</v>
      </c>
      <c r="C197" s="2" t="s">
        <v>510</v>
      </c>
      <c r="D197" s="2" t="s">
        <v>511</v>
      </c>
      <c r="E197" s="2" t="s">
        <v>129</v>
      </c>
      <c r="F197" s="2" t="s">
        <v>129</v>
      </c>
      <c r="G197" s="3" t="s">
        <v>47</v>
      </c>
      <c r="H197" s="2" t="s">
        <v>512</v>
      </c>
      <c r="I197" s="17">
        <v>6.4</v>
      </c>
      <c r="J197" s="3">
        <v>164</v>
      </c>
      <c r="K197" s="3">
        <v>920</v>
      </c>
      <c r="L197" s="18">
        <v>1758</v>
      </c>
      <c r="M197" s="18">
        <v>1216</v>
      </c>
      <c r="N197" s="18">
        <v>0</v>
      </c>
      <c r="O197" s="18">
        <v>1948</v>
      </c>
      <c r="P197" s="18">
        <v>0</v>
      </c>
      <c r="Q197" s="18">
        <v>1692</v>
      </c>
      <c r="R197" s="18">
        <v>1748</v>
      </c>
      <c r="S197" s="18">
        <v>591</v>
      </c>
      <c r="T197" s="18">
        <v>0</v>
      </c>
      <c r="U197" s="18">
        <v>1244</v>
      </c>
      <c r="V197" s="18">
        <v>1229</v>
      </c>
      <c r="W197" s="18">
        <v>1140</v>
      </c>
      <c r="X197" s="18">
        <v>1440</v>
      </c>
      <c r="Y197" s="18">
        <v>2385</v>
      </c>
      <c r="Z197" s="18">
        <v>0</v>
      </c>
      <c r="AA197" s="18">
        <f>SUMIF([1]SA007!$C:$C,'SA007 2025.01-2026.05 '!$D197,[1]SA007!P:P)</f>
        <v>0</v>
      </c>
      <c r="AB197" s="18">
        <f>SUMIF([1]SA007!$C:$C,'SA007 2025.01-2026.05 '!$D197,[1]SA007!Q:Q)</f>
        <v>0</v>
      </c>
      <c r="AC197" s="19">
        <f t="shared" si="7"/>
        <v>16391</v>
      </c>
      <c r="AD197" s="19">
        <f t="shared" si="8"/>
        <v>964.17647058823525</v>
      </c>
      <c r="AE197" s="20" t="s">
        <v>513</v>
      </c>
      <c r="AG197" s="21">
        <f>SUMIF([1]SO003!$H:$H,'SA007 2025.01-2026.05 '!$D197,[1]SO003!AF:AF)</f>
        <v>0</v>
      </c>
      <c r="AH197" s="21">
        <f>SUMIF([1]SO003!$H:$H,'SA007 2025.01-2026.05 '!$D197,[1]SO003!AH:AH)</f>
        <v>0</v>
      </c>
      <c r="AI197" s="21">
        <f>SUMIF([1]SO003!$H:$H,'SA007 2025.01-2026.05 '!$D197,[1]SO003!AJ:AJ)</f>
        <v>0</v>
      </c>
    </row>
    <row r="198" spans="1:35" x14ac:dyDescent="0.55000000000000004">
      <c r="A198" s="2" t="s">
        <v>514</v>
      </c>
      <c r="B198" s="2" t="s">
        <v>510</v>
      </c>
      <c r="C198" s="2" t="s">
        <v>510</v>
      </c>
      <c r="D198" s="2" t="s">
        <v>515</v>
      </c>
      <c r="E198" s="2" t="s">
        <v>129</v>
      </c>
      <c r="F198" s="2" t="s">
        <v>129</v>
      </c>
      <c r="G198" s="3" t="s">
        <v>47</v>
      </c>
      <c r="H198" s="2" t="s">
        <v>516</v>
      </c>
      <c r="I198" s="17">
        <v>7</v>
      </c>
      <c r="J198" s="3">
        <v>116</v>
      </c>
      <c r="K198" s="3">
        <v>1198</v>
      </c>
      <c r="L198" s="18">
        <v>76</v>
      </c>
      <c r="M198" s="18">
        <v>0</v>
      </c>
      <c r="N198" s="18">
        <v>382</v>
      </c>
      <c r="O198" s="18">
        <v>0</v>
      </c>
      <c r="P198" s="18">
        <v>0</v>
      </c>
      <c r="Q198" s="18">
        <v>0</v>
      </c>
      <c r="R198" s="18">
        <v>0</v>
      </c>
      <c r="S198" s="18">
        <v>688</v>
      </c>
      <c r="T198" s="18">
        <v>0</v>
      </c>
      <c r="U198" s="18">
        <v>761</v>
      </c>
      <c r="V198" s="18">
        <v>956</v>
      </c>
      <c r="W198" s="18">
        <v>381</v>
      </c>
      <c r="X198" s="18">
        <v>0</v>
      </c>
      <c r="Y198" s="18">
        <v>0</v>
      </c>
      <c r="Z198" s="18">
        <v>381</v>
      </c>
      <c r="AA198" s="18">
        <f>SUMIF([1]SA007!$C:$C,'SA007 2025.01-2026.05 '!$D198,[1]SA007!P:P)</f>
        <v>381</v>
      </c>
      <c r="AB198" s="18">
        <f>SUMIF([1]SA007!$C:$C,'SA007 2025.01-2026.05 '!$D198,[1]SA007!Q:Q)</f>
        <v>0</v>
      </c>
      <c r="AC198" s="19">
        <f t="shared" ref="AC198:AC261" si="9">SUM(L198:AB198)</f>
        <v>4006</v>
      </c>
      <c r="AD198" s="19">
        <f t="shared" ref="AD198:AD261" si="10">AVERAGE(L198:AB198)</f>
        <v>235.64705882352942</v>
      </c>
      <c r="AE198" s="20" t="s">
        <v>517</v>
      </c>
      <c r="AG198" s="21">
        <f>SUMIF([1]SO003!$H:$H,'SA007 2025.01-2026.05 '!$D198,[1]SO003!AF:AF)</f>
        <v>0</v>
      </c>
      <c r="AH198" s="21">
        <f>SUMIF([1]SO003!$H:$H,'SA007 2025.01-2026.05 '!$D198,[1]SO003!AH:AH)</f>
        <v>0</v>
      </c>
      <c r="AI198" s="21">
        <f>SUMIF([1]SO003!$H:$H,'SA007 2025.01-2026.05 '!$D198,[1]SO003!AJ:AJ)</f>
        <v>0</v>
      </c>
    </row>
    <row r="199" spans="1:35" ht="11.45" customHeight="1" x14ac:dyDescent="0.55000000000000004">
      <c r="A199" s="2" t="s">
        <v>514</v>
      </c>
      <c r="B199" s="2" t="s">
        <v>510</v>
      </c>
      <c r="C199" s="2" t="s">
        <v>510</v>
      </c>
      <c r="D199" s="2" t="s">
        <v>518</v>
      </c>
      <c r="E199" s="2" t="s">
        <v>129</v>
      </c>
      <c r="F199" s="2" t="s">
        <v>129</v>
      </c>
      <c r="G199" s="3" t="s">
        <v>47</v>
      </c>
      <c r="H199" s="2" t="s">
        <v>516</v>
      </c>
      <c r="I199" s="17">
        <v>7</v>
      </c>
      <c r="J199" s="3">
        <v>130</v>
      </c>
      <c r="K199" s="3">
        <v>986</v>
      </c>
      <c r="L199" s="18">
        <v>3381</v>
      </c>
      <c r="M199" s="18">
        <v>71</v>
      </c>
      <c r="N199" s="18">
        <v>1805</v>
      </c>
      <c r="O199" s="18">
        <v>0</v>
      </c>
      <c r="P199" s="18">
        <v>2685</v>
      </c>
      <c r="Q199" s="18">
        <v>3162</v>
      </c>
      <c r="R199" s="18">
        <v>2849</v>
      </c>
      <c r="S199" s="18">
        <v>0</v>
      </c>
      <c r="T199" s="18">
        <v>3520</v>
      </c>
      <c r="U199" s="18">
        <v>3535</v>
      </c>
      <c r="V199" s="18">
        <v>2648</v>
      </c>
      <c r="W199" s="18">
        <v>1767</v>
      </c>
      <c r="X199" s="18">
        <v>2644</v>
      </c>
      <c r="Y199" s="18">
        <v>3540</v>
      </c>
      <c r="Z199" s="18">
        <v>2824</v>
      </c>
      <c r="AA199" s="18">
        <f>SUMIF([1]SA007!$C:$C,'SA007 2025.01-2026.05 '!$D199,[1]SA007!P:P)</f>
        <v>2816</v>
      </c>
      <c r="AB199" s="18">
        <f>SUMIF([1]SA007!$C:$C,'SA007 2025.01-2026.05 '!$D199,[1]SA007!Q:Q)</f>
        <v>3150</v>
      </c>
      <c r="AC199" s="19">
        <f t="shared" si="9"/>
        <v>40397</v>
      </c>
      <c r="AD199" s="19">
        <f t="shared" si="10"/>
        <v>2376.294117647059</v>
      </c>
      <c r="AE199" s="20" t="s">
        <v>519</v>
      </c>
      <c r="AG199" s="21">
        <f>SUMIF([1]SO003!$H:$H,'SA007 2025.01-2026.05 '!$D199,[1]SO003!AF:AF)</f>
        <v>31695.709499999997</v>
      </c>
      <c r="AH199" s="21">
        <f>SUMIF([1]SO003!$H:$H,'SA007 2025.01-2026.05 '!$D199,[1]SO003!AH:AH)</f>
        <v>3169.5709499999998</v>
      </c>
      <c r="AI199" s="21">
        <f>SUMIF([1]SO003!$H:$H,'SA007 2025.01-2026.05 '!$D199,[1]SO003!AJ:AJ)</f>
        <v>0</v>
      </c>
    </row>
    <row r="200" spans="1:35" ht="11.45" customHeight="1" x14ac:dyDescent="0.55000000000000004">
      <c r="A200" s="2" t="s">
        <v>520</v>
      </c>
      <c r="B200" s="2" t="s">
        <v>521</v>
      </c>
      <c r="C200" s="2" t="s">
        <v>521</v>
      </c>
      <c r="D200" s="2" t="s">
        <v>522</v>
      </c>
      <c r="E200" s="2" t="s">
        <v>444</v>
      </c>
      <c r="F200" s="2" t="s">
        <v>444</v>
      </c>
      <c r="G200" s="3" t="s">
        <v>47</v>
      </c>
      <c r="H200" s="2" t="s">
        <v>523</v>
      </c>
      <c r="I200" s="17">
        <v>7.25</v>
      </c>
      <c r="J200" s="3">
        <v>104</v>
      </c>
      <c r="K200" s="3">
        <v>1219</v>
      </c>
      <c r="L200" s="18">
        <v>23600</v>
      </c>
      <c r="M200" s="18">
        <v>15153</v>
      </c>
      <c r="N200" s="18">
        <v>15184</v>
      </c>
      <c r="O200" s="18">
        <v>15346</v>
      </c>
      <c r="P200" s="18">
        <v>27036</v>
      </c>
      <c r="Q200" s="18">
        <v>27236</v>
      </c>
      <c r="R200" s="18">
        <v>27392</v>
      </c>
      <c r="S200" s="18">
        <v>20496</v>
      </c>
      <c r="T200" s="18">
        <v>21604</v>
      </c>
      <c r="U200" s="18">
        <v>22604</v>
      </c>
      <c r="V200" s="18">
        <v>21865</v>
      </c>
      <c r="W200" s="18">
        <v>15523</v>
      </c>
      <c r="X200" s="18">
        <v>18510</v>
      </c>
      <c r="Y200" s="18">
        <v>18451</v>
      </c>
      <c r="Z200" s="18">
        <v>17231</v>
      </c>
      <c r="AA200" s="18">
        <f>SUMIF([1]SA007!$C:$C,'SA007 2025.01-2026.05 '!$D200,[1]SA007!P:P)</f>
        <v>18985</v>
      </c>
      <c r="AB200" s="18">
        <f>SUMIF([1]SA007!$C:$C,'SA007 2025.01-2026.05 '!$D200,[1]SA007!Q:Q)</f>
        <v>24058</v>
      </c>
      <c r="AC200" s="19">
        <f t="shared" si="9"/>
        <v>350274</v>
      </c>
      <c r="AD200" s="19">
        <f t="shared" si="10"/>
        <v>20604.352941176472</v>
      </c>
      <c r="AE200" s="20" t="s">
        <v>524</v>
      </c>
      <c r="AG200" s="21">
        <f>SUMIF([1]SO003!$H:$H,'SA007 2025.01-2026.05 '!$D200,[1]SO003!AF:AF)</f>
        <v>0</v>
      </c>
      <c r="AH200" s="21">
        <f>SUMIF([1]SO003!$H:$H,'SA007 2025.01-2026.05 '!$D200,[1]SO003!AH:AH)</f>
        <v>0</v>
      </c>
      <c r="AI200" s="21">
        <f>SUMIF([1]SO003!$H:$H,'SA007 2025.01-2026.05 '!$D200,[1]SO003!AJ:AJ)</f>
        <v>0</v>
      </c>
    </row>
    <row r="201" spans="1:35" ht="11.45" customHeight="1" x14ac:dyDescent="0.55000000000000004">
      <c r="A201" s="2" t="s">
        <v>525</v>
      </c>
      <c r="B201" s="2" t="s">
        <v>501</v>
      </c>
      <c r="C201" s="2" t="s">
        <v>502</v>
      </c>
      <c r="D201" s="2" t="s">
        <v>526</v>
      </c>
      <c r="E201" s="2" t="s">
        <v>129</v>
      </c>
      <c r="F201" s="2" t="s">
        <v>129</v>
      </c>
      <c r="G201" s="3" t="s">
        <v>47</v>
      </c>
      <c r="H201" s="2" t="s">
        <v>502</v>
      </c>
      <c r="I201" s="17">
        <v>9</v>
      </c>
      <c r="J201" s="3">
        <v>160</v>
      </c>
      <c r="K201" s="3">
        <v>771</v>
      </c>
      <c r="L201" s="18">
        <v>6142</v>
      </c>
      <c r="M201" s="18">
        <v>0</v>
      </c>
      <c r="N201" s="18">
        <v>2765</v>
      </c>
      <c r="O201" s="18">
        <v>0</v>
      </c>
      <c r="P201" s="18">
        <v>0</v>
      </c>
      <c r="Q201" s="18">
        <v>2578</v>
      </c>
      <c r="R201" s="18">
        <v>0</v>
      </c>
      <c r="S201" s="18">
        <v>2619</v>
      </c>
      <c r="T201" s="18">
        <v>3512</v>
      </c>
      <c r="U201" s="18">
        <v>5268</v>
      </c>
      <c r="V201" s="18">
        <v>2793</v>
      </c>
      <c r="W201" s="18">
        <v>6470</v>
      </c>
      <c r="X201" s="18">
        <v>2616</v>
      </c>
      <c r="Y201" s="18">
        <v>0</v>
      </c>
      <c r="Z201" s="18">
        <v>0</v>
      </c>
      <c r="AA201" s="18">
        <f>SUMIF([1]SA007!$C:$C,'SA007 2025.01-2026.05 '!$D201,[1]SA007!P:P)</f>
        <v>2613</v>
      </c>
      <c r="AB201" s="18">
        <f>SUMIF([1]SA007!$C:$C,'SA007 2025.01-2026.05 '!$D201,[1]SA007!Q:Q)</f>
        <v>3089</v>
      </c>
      <c r="AC201" s="19">
        <f t="shared" si="9"/>
        <v>40465</v>
      </c>
      <c r="AD201" s="19">
        <f t="shared" si="10"/>
        <v>2380.294117647059</v>
      </c>
      <c r="AE201" s="20" t="s">
        <v>505</v>
      </c>
      <c r="AG201" s="21">
        <f>SUMIF([1]SO003!$H:$H,'SA007 2025.01-2026.05 '!$D201,[1]SO003!AF:AF)</f>
        <v>3050.3843999999995</v>
      </c>
      <c r="AH201" s="21">
        <f>SUMIF([1]SO003!$H:$H,'SA007 2025.01-2026.05 '!$D201,[1]SO003!AH:AH)</f>
        <v>3050.3843999999995</v>
      </c>
      <c r="AI201" s="21">
        <f>SUMIF([1]SO003!$H:$H,'SA007 2025.01-2026.05 '!$D201,[1]SO003!AJ:AJ)</f>
        <v>0</v>
      </c>
    </row>
    <row r="202" spans="1:35" ht="11.45" customHeight="1" x14ac:dyDescent="0.55000000000000004">
      <c r="A202" s="2" t="s">
        <v>99</v>
      </c>
      <c r="B202" s="2" t="s">
        <v>61</v>
      </c>
      <c r="C202" s="2" t="s">
        <v>61</v>
      </c>
      <c r="D202" s="2" t="s">
        <v>527</v>
      </c>
      <c r="E202" s="2" t="s">
        <v>151</v>
      </c>
      <c r="F202" s="2" t="s">
        <v>151</v>
      </c>
      <c r="G202" s="3" t="s">
        <v>63</v>
      </c>
      <c r="H202" s="2" t="s">
        <v>61</v>
      </c>
      <c r="I202" s="17">
        <v>0.5</v>
      </c>
      <c r="J202" s="3">
        <v>63</v>
      </c>
      <c r="K202" s="3" t="s">
        <v>41</v>
      </c>
      <c r="L202" s="18">
        <v>237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230</v>
      </c>
      <c r="X202" s="18">
        <v>0</v>
      </c>
      <c r="Y202" s="18">
        <v>0</v>
      </c>
      <c r="Z202" s="18">
        <v>0</v>
      </c>
      <c r="AA202" s="18">
        <f>SUMIF([1]SA007!$C:$C,'SA007 2025.01-2026.05 '!$D202,[1]SA007!P:P)</f>
        <v>0</v>
      </c>
      <c r="AB202" s="18">
        <f>SUMIF([1]SA007!$C:$C,'SA007 2025.01-2026.05 '!$D202,[1]SA007!Q:Q)</f>
        <v>0</v>
      </c>
      <c r="AC202" s="19">
        <f t="shared" si="9"/>
        <v>467</v>
      </c>
      <c r="AD202" s="19">
        <f t="shared" si="10"/>
        <v>27.470588235294116</v>
      </c>
      <c r="AE202" s="20" t="s">
        <v>116</v>
      </c>
      <c r="AG202" s="21">
        <f>SUMIF([1]SO003!$H:$H,'SA007 2025.01-2026.05 '!$D202,[1]SO003!AF:AF)</f>
        <v>0</v>
      </c>
      <c r="AH202" s="21">
        <f>SUMIF([1]SO003!$H:$H,'SA007 2025.01-2026.05 '!$D202,[1]SO003!AH:AH)</f>
        <v>0</v>
      </c>
      <c r="AI202" s="21">
        <f>SUMIF([1]SO003!$H:$H,'SA007 2025.01-2026.05 '!$D202,[1]SO003!AJ:AJ)</f>
        <v>0</v>
      </c>
    </row>
    <row r="203" spans="1:35" ht="11.45" customHeight="1" x14ac:dyDescent="0.55000000000000004">
      <c r="A203" s="2" t="s">
        <v>433</v>
      </c>
      <c r="B203" s="2" t="s">
        <v>213</v>
      </c>
      <c r="C203" s="2" t="s">
        <v>213</v>
      </c>
      <c r="D203" s="2" t="s">
        <v>528</v>
      </c>
      <c r="E203" s="2" t="s">
        <v>182</v>
      </c>
      <c r="F203" s="2" t="s">
        <v>182</v>
      </c>
      <c r="G203" s="3" t="s">
        <v>47</v>
      </c>
      <c r="H203" s="2" t="s">
        <v>213</v>
      </c>
      <c r="I203" s="17">
        <v>2.6</v>
      </c>
      <c r="J203" s="3">
        <v>100</v>
      </c>
      <c r="K203" s="3">
        <v>1220</v>
      </c>
      <c r="L203" s="18">
        <v>121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88</v>
      </c>
      <c r="X203" s="18">
        <v>0</v>
      </c>
      <c r="Y203" s="18">
        <v>0</v>
      </c>
      <c r="Z203" s="18">
        <v>0</v>
      </c>
      <c r="AA203" s="18">
        <f>SUMIF([1]SA007!$C:$C,'SA007 2025.01-2026.05 '!$D203,[1]SA007!P:P)</f>
        <v>0</v>
      </c>
      <c r="AB203" s="18">
        <f>SUMIF([1]SA007!$C:$C,'SA007 2025.01-2026.05 '!$D203,[1]SA007!Q:Q)</f>
        <v>0</v>
      </c>
      <c r="AC203" s="19">
        <f t="shared" si="9"/>
        <v>209</v>
      </c>
      <c r="AD203" s="19">
        <f t="shared" si="10"/>
        <v>12.294117647058824</v>
      </c>
      <c r="AE203" s="20" t="e">
        <v>#N/A</v>
      </c>
      <c r="AG203" s="21">
        <f>SUMIF([1]SO003!$H:$H,'SA007 2025.01-2026.05 '!$D203,[1]SO003!AF:AF)</f>
        <v>0</v>
      </c>
      <c r="AH203" s="21">
        <f>SUMIF([1]SO003!$H:$H,'SA007 2025.01-2026.05 '!$D203,[1]SO003!AH:AH)</f>
        <v>0</v>
      </c>
      <c r="AI203" s="21">
        <f>SUMIF([1]SO003!$H:$H,'SA007 2025.01-2026.05 '!$D203,[1]SO003!AJ:AJ)</f>
        <v>0</v>
      </c>
    </row>
    <row r="204" spans="1:35" ht="11.45" customHeight="1" x14ac:dyDescent="0.55000000000000004">
      <c r="A204" s="2" t="s">
        <v>389</v>
      </c>
      <c r="B204" s="2" t="s">
        <v>213</v>
      </c>
      <c r="C204" s="2" t="s">
        <v>213</v>
      </c>
      <c r="D204" s="2" t="s">
        <v>529</v>
      </c>
      <c r="E204" s="2" t="s">
        <v>182</v>
      </c>
      <c r="F204" s="2" t="s">
        <v>182</v>
      </c>
      <c r="G204" s="3" t="s">
        <v>47</v>
      </c>
      <c r="H204" s="2" t="s">
        <v>402</v>
      </c>
      <c r="I204" s="17">
        <v>2</v>
      </c>
      <c r="J204" s="3">
        <v>65</v>
      </c>
      <c r="K204" s="3" t="s">
        <v>41</v>
      </c>
      <c r="L204" s="18">
        <v>125</v>
      </c>
      <c r="M204" s="18">
        <v>251</v>
      </c>
      <c r="N204" s="18">
        <v>0</v>
      </c>
      <c r="O204" s="18">
        <v>440</v>
      </c>
      <c r="P204" s="18">
        <v>0</v>
      </c>
      <c r="Q204" s="18">
        <v>0</v>
      </c>
      <c r="R204" s="18">
        <v>0</v>
      </c>
      <c r="S204" s="18">
        <v>245</v>
      </c>
      <c r="T204" s="18">
        <v>0</v>
      </c>
      <c r="U204" s="18">
        <v>245</v>
      </c>
      <c r="V204" s="18">
        <v>0</v>
      </c>
      <c r="W204" s="18">
        <v>0</v>
      </c>
      <c r="X204" s="18">
        <v>378</v>
      </c>
      <c r="Y204" s="18">
        <v>298</v>
      </c>
      <c r="Z204" s="18">
        <v>0</v>
      </c>
      <c r="AA204" s="18">
        <f>SUMIF([1]SA007!$C:$C,'SA007 2025.01-2026.05 '!$D204,[1]SA007!P:P)</f>
        <v>0</v>
      </c>
      <c r="AB204" s="18">
        <f>SUMIF([1]SA007!$C:$C,'SA007 2025.01-2026.05 '!$D204,[1]SA007!Q:Q)</f>
        <v>0</v>
      </c>
      <c r="AC204" s="19">
        <f t="shared" si="9"/>
        <v>1982</v>
      </c>
      <c r="AD204" s="19">
        <f t="shared" si="10"/>
        <v>116.58823529411765</v>
      </c>
      <c r="AE204" s="20" t="s">
        <v>530</v>
      </c>
      <c r="AG204" s="21">
        <f>SUMIF([1]SO003!$H:$H,'SA007 2025.01-2026.05 '!$D204,[1]SO003!AF:AF)</f>
        <v>0</v>
      </c>
      <c r="AH204" s="21">
        <f>SUMIF([1]SO003!$H:$H,'SA007 2025.01-2026.05 '!$D204,[1]SO003!AH:AH)</f>
        <v>0</v>
      </c>
      <c r="AI204" s="21">
        <f>SUMIF([1]SO003!$H:$H,'SA007 2025.01-2026.05 '!$D204,[1]SO003!AJ:AJ)</f>
        <v>0</v>
      </c>
    </row>
    <row r="205" spans="1:35" ht="11.45" customHeight="1" x14ac:dyDescent="0.55000000000000004">
      <c r="A205" s="2" t="s">
        <v>433</v>
      </c>
      <c r="B205" s="2" t="s">
        <v>213</v>
      </c>
      <c r="C205" s="2" t="s">
        <v>213</v>
      </c>
      <c r="D205" s="2" t="s">
        <v>531</v>
      </c>
      <c r="E205" s="2" t="s">
        <v>182</v>
      </c>
      <c r="F205" s="2" t="s">
        <v>182</v>
      </c>
      <c r="G205" s="3" t="s">
        <v>47</v>
      </c>
      <c r="H205" s="2" t="s">
        <v>402</v>
      </c>
      <c r="I205" s="17">
        <v>2.6</v>
      </c>
      <c r="J205" s="3">
        <v>139</v>
      </c>
      <c r="K205" s="3">
        <v>1220</v>
      </c>
      <c r="L205" s="18">
        <v>625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f>SUMIF([1]SA007!$C:$C,'SA007 2025.01-2026.05 '!$D205,[1]SA007!P:P)</f>
        <v>0</v>
      </c>
      <c r="AB205" s="18">
        <f>SUMIF([1]SA007!$C:$C,'SA007 2025.01-2026.05 '!$D205,[1]SA007!Q:Q)</f>
        <v>0</v>
      </c>
      <c r="AC205" s="19">
        <f t="shared" si="9"/>
        <v>625</v>
      </c>
      <c r="AD205" s="19">
        <f t="shared" si="10"/>
        <v>36.764705882352942</v>
      </c>
      <c r="AE205" s="20" t="s">
        <v>166</v>
      </c>
      <c r="AG205" s="21">
        <f>SUMIF([1]SO003!$H:$H,'SA007 2025.01-2026.05 '!$D205,[1]SO003!AF:AF)</f>
        <v>0</v>
      </c>
      <c r="AH205" s="21">
        <f>SUMIF([1]SO003!$H:$H,'SA007 2025.01-2026.05 '!$D205,[1]SO003!AH:AH)</f>
        <v>0</v>
      </c>
      <c r="AI205" s="21">
        <f>SUMIF([1]SO003!$H:$H,'SA007 2025.01-2026.05 '!$D205,[1]SO003!AJ:AJ)</f>
        <v>0</v>
      </c>
    </row>
    <row r="206" spans="1:35" ht="11.45" customHeight="1" x14ac:dyDescent="0.55000000000000004">
      <c r="A206" s="2" t="s">
        <v>433</v>
      </c>
      <c r="B206" s="2" t="s">
        <v>213</v>
      </c>
      <c r="C206" s="2" t="s">
        <v>213</v>
      </c>
      <c r="D206" s="2" t="s">
        <v>532</v>
      </c>
      <c r="E206" s="2" t="s">
        <v>182</v>
      </c>
      <c r="F206" s="2" t="s">
        <v>182</v>
      </c>
      <c r="G206" s="3" t="s">
        <v>47</v>
      </c>
      <c r="H206" s="2" t="s">
        <v>402</v>
      </c>
      <c r="I206" s="17">
        <v>2.6</v>
      </c>
      <c r="J206" s="3">
        <v>139</v>
      </c>
      <c r="K206" s="3">
        <v>1220</v>
      </c>
      <c r="L206" s="18">
        <v>0</v>
      </c>
      <c r="M206" s="18">
        <v>606</v>
      </c>
      <c r="N206" s="18">
        <v>872</v>
      </c>
      <c r="O206" s="18">
        <v>1207</v>
      </c>
      <c r="P206" s="18">
        <v>0</v>
      </c>
      <c r="Q206" s="18">
        <v>1192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692</v>
      </c>
      <c r="Y206" s="18">
        <v>742</v>
      </c>
      <c r="Z206" s="18">
        <v>363</v>
      </c>
      <c r="AA206" s="18">
        <f>SUMIF([1]SA007!$C:$C,'SA007 2025.01-2026.05 '!$D206,[1]SA007!P:P)</f>
        <v>490</v>
      </c>
      <c r="AB206" s="18">
        <f>SUMIF([1]SA007!$C:$C,'SA007 2025.01-2026.05 '!$D206,[1]SA007!Q:Q)</f>
        <v>0</v>
      </c>
      <c r="AC206" s="19">
        <f t="shared" si="9"/>
        <v>6164</v>
      </c>
      <c r="AD206" s="19">
        <f t="shared" si="10"/>
        <v>362.58823529411762</v>
      </c>
      <c r="AE206" s="20" t="s">
        <v>533</v>
      </c>
      <c r="AG206" s="21">
        <f>SUMIF([1]SO003!$H:$H,'SA007 2025.01-2026.05 '!$D206,[1]SO003!AF:AF)</f>
        <v>0</v>
      </c>
      <c r="AH206" s="21">
        <f>SUMIF([1]SO003!$H:$H,'SA007 2025.01-2026.05 '!$D206,[1]SO003!AH:AH)</f>
        <v>0</v>
      </c>
      <c r="AI206" s="21">
        <f>SUMIF([1]SO003!$H:$H,'SA007 2025.01-2026.05 '!$D206,[1]SO003!AJ:AJ)</f>
        <v>0</v>
      </c>
    </row>
    <row r="207" spans="1:35" ht="11.45" customHeight="1" x14ac:dyDescent="0.55000000000000004">
      <c r="A207" s="2" t="s">
        <v>164</v>
      </c>
      <c r="C207" s="2" t="s">
        <v>334</v>
      </c>
      <c r="D207" s="2" t="s">
        <v>534</v>
      </c>
      <c r="E207" s="2" t="s">
        <v>101</v>
      </c>
      <c r="G207" s="3" t="s">
        <v>57</v>
      </c>
      <c r="H207" s="2" t="s">
        <v>334</v>
      </c>
      <c r="I207" s="17">
        <v>0.6</v>
      </c>
      <c r="J207" s="3">
        <v>294.2</v>
      </c>
      <c r="K207" s="3">
        <v>1563.5</v>
      </c>
      <c r="L207" s="18">
        <v>0</v>
      </c>
      <c r="M207" s="18">
        <v>0</v>
      </c>
      <c r="N207" s="18">
        <v>0</v>
      </c>
      <c r="O207" s="18">
        <v>0</v>
      </c>
      <c r="P207" s="18">
        <v>1091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f>SUMIF([1]SA007!$C:$C,'SA007 2025.01-2026.05 '!$D207,[1]SA007!P:P)</f>
        <v>0</v>
      </c>
      <c r="AB207" s="18">
        <f>SUMIF([1]SA007!$C:$C,'SA007 2025.01-2026.05 '!$D207,[1]SA007!Q:Q)</f>
        <v>0</v>
      </c>
      <c r="AC207" s="19">
        <f t="shared" si="9"/>
        <v>1091</v>
      </c>
      <c r="AD207" s="19">
        <f t="shared" si="10"/>
        <v>64.17647058823529</v>
      </c>
      <c r="AE207" s="20" t="e">
        <v>#N/A</v>
      </c>
      <c r="AG207" s="21">
        <f>SUMIF([1]SO003!$H:$H,'SA007 2025.01-2026.05 '!$D207,[1]SO003!AF:AF)</f>
        <v>0</v>
      </c>
      <c r="AH207" s="21">
        <f>SUMIF([1]SO003!$H:$H,'SA007 2025.01-2026.05 '!$D207,[1]SO003!AH:AH)</f>
        <v>0</v>
      </c>
      <c r="AI207" s="21">
        <f>SUMIF([1]SO003!$H:$H,'SA007 2025.01-2026.05 '!$D207,[1]SO003!AJ:AJ)</f>
        <v>0</v>
      </c>
    </row>
    <row r="208" spans="1:35" ht="11.45" customHeight="1" x14ac:dyDescent="0.55000000000000004">
      <c r="A208" s="2" t="s">
        <v>178</v>
      </c>
      <c r="B208" s="2" t="s">
        <v>67</v>
      </c>
      <c r="C208" s="2" t="s">
        <v>67</v>
      </c>
      <c r="D208" s="2" t="s">
        <v>535</v>
      </c>
      <c r="E208" s="2" t="s">
        <v>38</v>
      </c>
      <c r="F208" s="2" t="s">
        <v>38</v>
      </c>
      <c r="G208" s="3" t="s">
        <v>57</v>
      </c>
      <c r="H208" s="2" t="s">
        <v>67</v>
      </c>
      <c r="I208" s="17">
        <v>1</v>
      </c>
      <c r="J208" s="3">
        <v>126</v>
      </c>
      <c r="K208" s="3" t="s">
        <v>41</v>
      </c>
      <c r="L208" s="18">
        <v>0</v>
      </c>
      <c r="M208" s="18">
        <v>0</v>
      </c>
      <c r="N208" s="18">
        <v>4914</v>
      </c>
      <c r="O208" s="18">
        <v>5267</v>
      </c>
      <c r="P208" s="18">
        <v>0</v>
      </c>
      <c r="Q208" s="18">
        <v>1194</v>
      </c>
      <c r="R208" s="18">
        <v>0</v>
      </c>
      <c r="S208" s="18">
        <v>2363</v>
      </c>
      <c r="T208" s="18">
        <v>0</v>
      </c>
      <c r="U208" s="18">
        <v>4764</v>
      </c>
      <c r="V208" s="18">
        <v>1337</v>
      </c>
      <c r="W208" s="18">
        <v>1305</v>
      </c>
      <c r="X208" s="18">
        <v>0</v>
      </c>
      <c r="Y208" s="18">
        <v>0</v>
      </c>
      <c r="Z208" s="18">
        <v>0</v>
      </c>
      <c r="AA208" s="18">
        <f>SUMIF([1]SA007!$C:$C,'SA007 2025.01-2026.05 '!$D208,[1]SA007!P:P)</f>
        <v>0</v>
      </c>
      <c r="AB208" s="18">
        <f>SUMIF([1]SA007!$C:$C,'SA007 2025.01-2026.05 '!$D208,[1]SA007!Q:Q)</f>
        <v>0</v>
      </c>
      <c r="AC208" s="19">
        <f t="shared" si="9"/>
        <v>21144</v>
      </c>
      <c r="AD208" s="19">
        <f t="shared" si="10"/>
        <v>1243.7647058823529</v>
      </c>
      <c r="AE208" s="20" t="s">
        <v>536</v>
      </c>
      <c r="AG208" s="21">
        <f>SUMIF([1]SO003!$H:$H,'SA007 2025.01-2026.05 '!$D208,[1]SO003!AF:AF)</f>
        <v>0</v>
      </c>
      <c r="AH208" s="21">
        <f>SUMIF([1]SO003!$H:$H,'SA007 2025.01-2026.05 '!$D208,[1]SO003!AH:AH)</f>
        <v>0</v>
      </c>
      <c r="AI208" s="21">
        <f>SUMIF([1]SO003!$H:$H,'SA007 2025.01-2026.05 '!$D208,[1]SO003!AJ:AJ)</f>
        <v>0</v>
      </c>
    </row>
    <row r="209" spans="1:35" ht="11.45" customHeight="1" x14ac:dyDescent="0.55000000000000004">
      <c r="A209" s="2" t="s">
        <v>178</v>
      </c>
      <c r="B209" s="2" t="s">
        <v>67</v>
      </c>
      <c r="C209" s="2" t="s">
        <v>67</v>
      </c>
      <c r="D209" s="2" t="s">
        <v>537</v>
      </c>
      <c r="E209" s="2" t="s">
        <v>538</v>
      </c>
      <c r="F209" s="2" t="s">
        <v>538</v>
      </c>
      <c r="G209" s="3" t="s">
        <v>57</v>
      </c>
      <c r="H209" s="2" t="s">
        <v>67</v>
      </c>
      <c r="I209" s="17">
        <v>1</v>
      </c>
      <c r="J209" s="3">
        <v>160</v>
      </c>
      <c r="K209" s="3" t="s">
        <v>41</v>
      </c>
      <c r="L209" s="18">
        <v>614</v>
      </c>
      <c r="M209" s="18">
        <v>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f>SUMIF([1]SA007!$C:$C,'SA007 2025.01-2026.05 '!$D209,[1]SA007!P:P)</f>
        <v>0</v>
      </c>
      <c r="AB209" s="18">
        <f>SUMIF([1]SA007!$C:$C,'SA007 2025.01-2026.05 '!$D209,[1]SA007!Q:Q)</f>
        <v>0</v>
      </c>
      <c r="AC209" s="19">
        <f t="shared" si="9"/>
        <v>614</v>
      </c>
      <c r="AD209" s="19">
        <f t="shared" si="10"/>
        <v>36.117647058823529</v>
      </c>
      <c r="AE209" s="20" t="s">
        <v>539</v>
      </c>
      <c r="AG209" s="21">
        <f>SUMIF([1]SO003!$H:$H,'SA007 2025.01-2026.05 '!$D209,[1]SO003!AF:AF)</f>
        <v>0</v>
      </c>
      <c r="AH209" s="21">
        <f>SUMIF([1]SO003!$H:$H,'SA007 2025.01-2026.05 '!$D209,[1]SO003!AH:AH)</f>
        <v>0</v>
      </c>
      <c r="AI209" s="21">
        <f>SUMIF([1]SO003!$H:$H,'SA007 2025.01-2026.05 '!$D209,[1]SO003!AJ:AJ)</f>
        <v>0</v>
      </c>
    </row>
    <row r="210" spans="1:35" ht="11.45" customHeight="1" x14ac:dyDescent="0.55000000000000004">
      <c r="A210" s="2" t="s">
        <v>99</v>
      </c>
      <c r="B210" s="2" t="s">
        <v>61</v>
      </c>
      <c r="C210" s="2" t="s">
        <v>61</v>
      </c>
      <c r="D210" s="2" t="s">
        <v>540</v>
      </c>
      <c r="E210" s="2" t="s">
        <v>182</v>
      </c>
      <c r="F210" s="2" t="s">
        <v>182</v>
      </c>
      <c r="G210" s="3" t="s">
        <v>63</v>
      </c>
      <c r="H210" s="2" t="s">
        <v>541</v>
      </c>
      <c r="I210" s="17">
        <v>0.5</v>
      </c>
      <c r="J210" s="3">
        <v>60</v>
      </c>
      <c r="K210" s="3" t="s">
        <v>41</v>
      </c>
      <c r="L210" s="18">
        <v>0</v>
      </c>
      <c r="M210" s="18">
        <v>101</v>
      </c>
      <c r="N210" s="18">
        <v>0</v>
      </c>
      <c r="O210" s="18">
        <v>98</v>
      </c>
      <c r="P210" s="18">
        <v>0</v>
      </c>
      <c r="Q210" s="18">
        <v>92</v>
      </c>
      <c r="R210" s="18">
        <v>82</v>
      </c>
      <c r="S210" s="18">
        <v>40</v>
      </c>
      <c r="T210" s="18">
        <v>0</v>
      </c>
      <c r="U210" s="18">
        <v>0</v>
      </c>
      <c r="V210" s="18">
        <v>320</v>
      </c>
      <c r="W210" s="18">
        <v>0</v>
      </c>
      <c r="X210" s="18">
        <v>0</v>
      </c>
      <c r="Y210" s="18">
        <v>132</v>
      </c>
      <c r="Z210" s="18">
        <v>0</v>
      </c>
      <c r="AA210" s="18">
        <f>SUMIF([1]SA007!$C:$C,'SA007 2025.01-2026.05 '!$D210,[1]SA007!P:P)</f>
        <v>0</v>
      </c>
      <c r="AB210" s="18">
        <f>SUMIF([1]SA007!$C:$C,'SA007 2025.01-2026.05 '!$D210,[1]SA007!Q:Q)</f>
        <v>0</v>
      </c>
      <c r="AC210" s="19">
        <f t="shared" si="9"/>
        <v>865</v>
      </c>
      <c r="AD210" s="19">
        <f t="shared" si="10"/>
        <v>50.882352941176471</v>
      </c>
      <c r="AE210" s="20" t="s">
        <v>542</v>
      </c>
      <c r="AG210" s="21">
        <f>SUMIF([1]SO003!$H:$H,'SA007 2025.01-2026.05 '!$D210,[1]SO003!AF:AF)</f>
        <v>0</v>
      </c>
      <c r="AH210" s="21">
        <f>SUMIF([1]SO003!$H:$H,'SA007 2025.01-2026.05 '!$D210,[1]SO003!AH:AH)</f>
        <v>0</v>
      </c>
      <c r="AI210" s="21">
        <f>SUMIF([1]SO003!$H:$H,'SA007 2025.01-2026.05 '!$D210,[1]SO003!AJ:AJ)</f>
        <v>0</v>
      </c>
    </row>
    <row r="211" spans="1:35" ht="11.45" customHeight="1" x14ac:dyDescent="0.55000000000000004">
      <c r="A211" s="2" t="s">
        <v>433</v>
      </c>
      <c r="B211" s="2" t="s">
        <v>213</v>
      </c>
      <c r="C211" s="2" t="s">
        <v>213</v>
      </c>
      <c r="D211" s="2" t="s">
        <v>543</v>
      </c>
      <c r="E211" s="2" t="s">
        <v>182</v>
      </c>
      <c r="F211" s="2" t="s">
        <v>182</v>
      </c>
      <c r="G211" s="3" t="s">
        <v>47</v>
      </c>
      <c r="H211" s="2" t="s">
        <v>402</v>
      </c>
      <c r="I211" s="17">
        <v>2.6</v>
      </c>
      <c r="J211" s="3">
        <v>139</v>
      </c>
      <c r="K211" s="3">
        <v>1220</v>
      </c>
      <c r="L211" s="18">
        <v>0</v>
      </c>
      <c r="M211" s="18">
        <v>143</v>
      </c>
      <c r="N211" s="18">
        <v>345</v>
      </c>
      <c r="O211" s="18">
        <v>0</v>
      </c>
      <c r="P211" s="18">
        <v>0</v>
      </c>
      <c r="Q211" s="18">
        <v>174</v>
      </c>
      <c r="R211" s="18">
        <v>427</v>
      </c>
      <c r="S211" s="18">
        <v>559</v>
      </c>
      <c r="T211" s="18">
        <v>408</v>
      </c>
      <c r="U211" s="18">
        <v>0</v>
      </c>
      <c r="V211" s="18">
        <v>242</v>
      </c>
      <c r="W211" s="18">
        <v>0</v>
      </c>
      <c r="X211" s="18">
        <v>559</v>
      </c>
      <c r="Y211" s="18">
        <v>244</v>
      </c>
      <c r="Z211" s="18">
        <v>0</v>
      </c>
      <c r="AA211" s="18">
        <f>SUMIF([1]SA007!$C:$C,'SA007 2025.01-2026.05 '!$D211,[1]SA007!P:P)</f>
        <v>0</v>
      </c>
      <c r="AB211" s="18">
        <f>SUMIF([1]SA007!$C:$C,'SA007 2025.01-2026.05 '!$D211,[1]SA007!Q:Q)</f>
        <v>0</v>
      </c>
      <c r="AC211" s="19">
        <f t="shared" si="9"/>
        <v>3101</v>
      </c>
      <c r="AD211" s="19">
        <f t="shared" si="10"/>
        <v>182.41176470588235</v>
      </c>
      <c r="AE211" s="20" t="s">
        <v>544</v>
      </c>
      <c r="AG211" s="21">
        <f>SUMIF([1]SO003!$H:$H,'SA007 2025.01-2026.05 '!$D211,[1]SO003!AF:AF)</f>
        <v>0</v>
      </c>
      <c r="AH211" s="21">
        <f>SUMIF([1]SO003!$H:$H,'SA007 2025.01-2026.05 '!$D211,[1]SO003!AH:AH)</f>
        <v>0</v>
      </c>
      <c r="AI211" s="21">
        <f>SUMIF([1]SO003!$H:$H,'SA007 2025.01-2026.05 '!$D211,[1]SO003!AJ:AJ)</f>
        <v>0</v>
      </c>
    </row>
    <row r="212" spans="1:35" ht="11.45" customHeight="1" x14ac:dyDescent="0.55000000000000004">
      <c r="A212" s="2" t="s">
        <v>433</v>
      </c>
      <c r="B212" s="2" t="s">
        <v>213</v>
      </c>
      <c r="C212" s="2" t="s">
        <v>213</v>
      </c>
      <c r="D212" s="2" t="s">
        <v>545</v>
      </c>
      <c r="E212" s="2" t="s">
        <v>182</v>
      </c>
      <c r="F212" s="2" t="s">
        <v>182</v>
      </c>
      <c r="G212" s="3" t="s">
        <v>47</v>
      </c>
      <c r="H212" s="2" t="s">
        <v>402</v>
      </c>
      <c r="I212" s="17">
        <v>2.6</v>
      </c>
      <c r="J212" s="3">
        <v>139</v>
      </c>
      <c r="K212" s="3">
        <v>1220</v>
      </c>
      <c r="L212" s="18">
        <v>57</v>
      </c>
      <c r="M212" s="18">
        <v>0</v>
      </c>
      <c r="N212" s="18">
        <v>258</v>
      </c>
      <c r="O212" s="18">
        <v>0</v>
      </c>
      <c r="P212" s="18">
        <v>0</v>
      </c>
      <c r="Q212" s="18">
        <v>149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f>SUMIF([1]SA007!$C:$C,'SA007 2025.01-2026.05 '!$D212,[1]SA007!P:P)</f>
        <v>0</v>
      </c>
      <c r="AB212" s="18">
        <f>SUMIF([1]SA007!$C:$C,'SA007 2025.01-2026.05 '!$D212,[1]SA007!Q:Q)</f>
        <v>0</v>
      </c>
      <c r="AC212" s="19">
        <f t="shared" si="9"/>
        <v>464</v>
      </c>
      <c r="AD212" s="19">
        <f t="shared" si="10"/>
        <v>27.294117647058822</v>
      </c>
      <c r="AE212" s="20" t="s">
        <v>166</v>
      </c>
      <c r="AG212" s="21">
        <f>SUMIF([1]SO003!$H:$H,'SA007 2025.01-2026.05 '!$D212,[1]SO003!AF:AF)</f>
        <v>0</v>
      </c>
      <c r="AH212" s="21">
        <f>SUMIF([1]SO003!$H:$H,'SA007 2025.01-2026.05 '!$D212,[1]SO003!AH:AH)</f>
        <v>0</v>
      </c>
      <c r="AI212" s="21">
        <f>SUMIF([1]SO003!$H:$H,'SA007 2025.01-2026.05 '!$D212,[1]SO003!AJ:AJ)</f>
        <v>0</v>
      </c>
    </row>
    <row r="213" spans="1:35" ht="11.45" customHeight="1" x14ac:dyDescent="0.55000000000000004">
      <c r="A213" s="23" t="s">
        <v>219</v>
      </c>
      <c r="B213" s="2" t="s">
        <v>67</v>
      </c>
      <c r="C213" s="2" t="s">
        <v>67</v>
      </c>
      <c r="D213" s="2" t="s">
        <v>546</v>
      </c>
      <c r="E213" s="2" t="s">
        <v>38</v>
      </c>
      <c r="F213" s="2" t="s">
        <v>38</v>
      </c>
      <c r="G213" s="3" t="s">
        <v>57</v>
      </c>
      <c r="H213" s="2" t="s">
        <v>67</v>
      </c>
      <c r="I213" s="17">
        <v>1.2</v>
      </c>
      <c r="J213" s="3">
        <v>144</v>
      </c>
      <c r="K213" s="3" t="s">
        <v>41</v>
      </c>
      <c r="L213" s="18">
        <v>0</v>
      </c>
      <c r="M213" s="18">
        <v>0</v>
      </c>
      <c r="N213" s="18">
        <v>1586</v>
      </c>
      <c r="O213" s="18">
        <v>0</v>
      </c>
      <c r="P213" s="18">
        <v>3730</v>
      </c>
      <c r="Q213" s="18">
        <v>0</v>
      </c>
      <c r="R213" s="18">
        <v>0</v>
      </c>
      <c r="S213" s="18">
        <v>2716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f>SUMIF([1]SA007!$C:$C,'SA007 2025.01-2026.05 '!$D213,[1]SA007!P:P)</f>
        <v>0</v>
      </c>
      <c r="AB213" s="18">
        <f>SUMIF([1]SA007!$C:$C,'SA007 2025.01-2026.05 '!$D213,[1]SA007!Q:Q)</f>
        <v>0</v>
      </c>
      <c r="AC213" s="19">
        <f t="shared" si="9"/>
        <v>8032</v>
      </c>
      <c r="AD213" s="19">
        <f t="shared" si="10"/>
        <v>472.47058823529414</v>
      </c>
      <c r="AE213" s="20" t="s">
        <v>547</v>
      </c>
      <c r="AG213" s="21">
        <f>SUMIF([1]SO003!$H:$H,'SA007 2025.01-2026.05 '!$D213,[1]SO003!AF:AF)</f>
        <v>0</v>
      </c>
      <c r="AH213" s="21">
        <f>SUMIF([1]SO003!$H:$H,'SA007 2025.01-2026.05 '!$D213,[1]SO003!AH:AH)</f>
        <v>0</v>
      </c>
      <c r="AI213" s="21">
        <f>SUMIF([1]SO003!$H:$H,'SA007 2025.01-2026.05 '!$D213,[1]SO003!AJ:AJ)</f>
        <v>0</v>
      </c>
    </row>
    <row r="214" spans="1:35" ht="11.45" customHeight="1" x14ac:dyDescent="0.55000000000000004">
      <c r="A214" s="23" t="s">
        <v>219</v>
      </c>
      <c r="B214" s="2" t="s">
        <v>67</v>
      </c>
      <c r="C214" s="2" t="s">
        <v>67</v>
      </c>
      <c r="D214" s="2" t="s">
        <v>548</v>
      </c>
      <c r="E214" s="2" t="s">
        <v>38</v>
      </c>
      <c r="F214" s="2" t="s">
        <v>38</v>
      </c>
      <c r="G214" s="3" t="s">
        <v>57</v>
      </c>
      <c r="H214" s="2" t="s">
        <v>67</v>
      </c>
      <c r="I214" s="17">
        <v>1.2</v>
      </c>
      <c r="J214" s="3">
        <v>290.8</v>
      </c>
      <c r="K214" s="3" t="s">
        <v>41</v>
      </c>
      <c r="L214" s="18">
        <v>0</v>
      </c>
      <c r="M214" s="18">
        <v>0</v>
      </c>
      <c r="N214" s="18">
        <v>1038</v>
      </c>
      <c r="O214" s="18">
        <v>0</v>
      </c>
      <c r="P214" s="18">
        <v>0</v>
      </c>
      <c r="Q214" s="18">
        <v>2292</v>
      </c>
      <c r="R214" s="18">
        <v>10228</v>
      </c>
      <c r="S214" s="18">
        <v>0</v>
      </c>
      <c r="T214" s="18">
        <v>2941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f>SUMIF([1]SA007!$C:$C,'SA007 2025.01-2026.05 '!$D214,[1]SA007!P:P)</f>
        <v>0</v>
      </c>
      <c r="AB214" s="18">
        <f>SUMIF([1]SA007!$C:$C,'SA007 2025.01-2026.05 '!$D214,[1]SA007!Q:Q)</f>
        <v>0</v>
      </c>
      <c r="AC214" s="19">
        <f t="shared" si="9"/>
        <v>16499</v>
      </c>
      <c r="AD214" s="19">
        <f t="shared" si="10"/>
        <v>970.52941176470586</v>
      </c>
      <c r="AE214" s="20" t="s">
        <v>549</v>
      </c>
      <c r="AG214" s="21">
        <f>SUMIF([1]SO003!$H:$H,'SA007 2025.01-2026.05 '!$D214,[1]SO003!AF:AF)</f>
        <v>0</v>
      </c>
      <c r="AH214" s="21">
        <f>SUMIF([1]SO003!$H:$H,'SA007 2025.01-2026.05 '!$D214,[1]SO003!AH:AH)</f>
        <v>0</v>
      </c>
      <c r="AI214" s="21">
        <f>SUMIF([1]SO003!$H:$H,'SA007 2025.01-2026.05 '!$D214,[1]SO003!AJ:AJ)</f>
        <v>0</v>
      </c>
    </row>
    <row r="215" spans="1:35" ht="11.45" customHeight="1" x14ac:dyDescent="0.55000000000000004">
      <c r="A215" s="2" t="s">
        <v>212</v>
      </c>
      <c r="D215" s="22" t="s">
        <v>550</v>
      </c>
      <c r="E215" s="2" t="s">
        <v>116</v>
      </c>
      <c r="F215" s="2" t="s">
        <v>116</v>
      </c>
      <c r="G215" s="3" t="s">
        <v>47</v>
      </c>
      <c r="H215" s="2" t="s">
        <v>321</v>
      </c>
      <c r="I215" s="17">
        <v>1.6</v>
      </c>
      <c r="J215" s="3">
        <v>94</v>
      </c>
      <c r="K215" s="3">
        <v>1219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f>SUMIF([1]SA007!$C:$C,'SA007 2025.01-2026.05 '!$D215,[1]SA007!P:P)</f>
        <v>0</v>
      </c>
      <c r="AB215" s="18">
        <f>SUMIF([1]SA007!$C:$C,'SA007 2025.01-2026.05 '!$D215,[1]SA007!Q:Q)</f>
        <v>0</v>
      </c>
      <c r="AC215" s="19">
        <f t="shared" si="9"/>
        <v>0</v>
      </c>
      <c r="AD215" s="19">
        <f t="shared" si="10"/>
        <v>0</v>
      </c>
      <c r="AG215" s="21">
        <f>SUMIF([1]SO003!$H:$H,'SA007 2025.01-2026.05 '!$D215,[1]SO003!AF:AF)</f>
        <v>0</v>
      </c>
      <c r="AH215" s="21">
        <f>SUMIF([1]SO003!$H:$H,'SA007 2025.01-2026.05 '!$D215,[1]SO003!AH:AH)</f>
        <v>0</v>
      </c>
      <c r="AI215" s="21">
        <f>SUMIF([1]SO003!$H:$H,'SA007 2025.01-2026.05 '!$D215,[1]SO003!AJ:AJ)</f>
        <v>0</v>
      </c>
    </row>
    <row r="216" spans="1:35" ht="11.45" customHeight="1" x14ac:dyDescent="0.55000000000000004">
      <c r="A216" s="2" t="s">
        <v>364</v>
      </c>
      <c r="B216" s="2" t="s">
        <v>365</v>
      </c>
      <c r="C216" s="2" t="s">
        <v>365</v>
      </c>
      <c r="D216" s="2" t="s">
        <v>551</v>
      </c>
      <c r="E216" s="2" t="s">
        <v>182</v>
      </c>
      <c r="F216" s="2" t="s">
        <v>182</v>
      </c>
      <c r="G216" s="3" t="s">
        <v>47</v>
      </c>
      <c r="H216" s="2" t="s">
        <v>469</v>
      </c>
      <c r="I216" s="17">
        <v>2</v>
      </c>
      <c r="J216" s="3">
        <v>85</v>
      </c>
      <c r="K216" s="3" t="s">
        <v>41</v>
      </c>
      <c r="L216" s="18">
        <v>430</v>
      </c>
      <c r="M216" s="18">
        <v>0</v>
      </c>
      <c r="N216" s="18">
        <v>205</v>
      </c>
      <c r="O216" s="18">
        <v>666</v>
      </c>
      <c r="P216" s="18">
        <v>0</v>
      </c>
      <c r="Q216" s="18">
        <v>924</v>
      </c>
      <c r="R216" s="18">
        <v>0</v>
      </c>
      <c r="S216" s="18">
        <v>1117</v>
      </c>
      <c r="T216" s="18">
        <v>0</v>
      </c>
      <c r="U216" s="18">
        <v>0</v>
      </c>
      <c r="V216" s="18">
        <v>0</v>
      </c>
      <c r="W216" s="18">
        <v>320</v>
      </c>
      <c r="X216" s="18">
        <v>0</v>
      </c>
      <c r="Y216" s="18">
        <v>728</v>
      </c>
      <c r="Z216" s="18">
        <v>0</v>
      </c>
      <c r="AA216" s="18">
        <f>SUMIF([1]SA007!$C:$C,'SA007 2025.01-2026.05 '!$D216,[1]SA007!P:P)</f>
        <v>0</v>
      </c>
      <c r="AB216" s="18">
        <f>SUMIF([1]SA007!$C:$C,'SA007 2025.01-2026.05 '!$D216,[1]SA007!Q:Q)</f>
        <v>145</v>
      </c>
      <c r="AC216" s="19">
        <f t="shared" si="9"/>
        <v>4535</v>
      </c>
      <c r="AD216" s="19">
        <f t="shared" si="10"/>
        <v>266.76470588235293</v>
      </c>
      <c r="AE216" s="20" t="s">
        <v>552</v>
      </c>
      <c r="AG216" s="21">
        <f>SUMIF([1]SO003!$H:$H,'SA007 2025.01-2026.05 '!$D216,[1]SO003!AF:AF)</f>
        <v>696</v>
      </c>
      <c r="AH216" s="21">
        <f>SUMIF([1]SO003!$H:$H,'SA007 2025.01-2026.05 '!$D216,[1]SO003!AH:AH)</f>
        <v>580</v>
      </c>
      <c r="AI216" s="21">
        <f>SUMIF([1]SO003!$H:$H,'SA007 2025.01-2026.05 '!$D216,[1]SO003!AJ:AJ)</f>
        <v>228</v>
      </c>
    </row>
    <row r="217" spans="1:35" ht="11.45" customHeight="1" x14ac:dyDescent="0.55000000000000004">
      <c r="A217" s="2" t="s">
        <v>460</v>
      </c>
      <c r="B217" s="2" t="s">
        <v>213</v>
      </c>
      <c r="C217" s="2" t="s">
        <v>213</v>
      </c>
      <c r="D217" s="2" t="s">
        <v>553</v>
      </c>
      <c r="E217" s="2" t="s">
        <v>182</v>
      </c>
      <c r="F217" s="2" t="s">
        <v>182</v>
      </c>
      <c r="G217" s="3" t="s">
        <v>47</v>
      </c>
      <c r="H217" s="2" t="s">
        <v>402</v>
      </c>
      <c r="I217" s="17">
        <v>3.2</v>
      </c>
      <c r="J217" s="3">
        <v>132</v>
      </c>
      <c r="K217" s="3">
        <v>1220</v>
      </c>
      <c r="L217" s="18">
        <v>650</v>
      </c>
      <c r="M217" s="18">
        <v>2200</v>
      </c>
      <c r="N217" s="18">
        <v>2310</v>
      </c>
      <c r="O217" s="18">
        <v>1472</v>
      </c>
      <c r="P217" s="18">
        <v>4574</v>
      </c>
      <c r="Q217" s="18">
        <v>4439</v>
      </c>
      <c r="R217" s="18">
        <v>1574</v>
      </c>
      <c r="S217" s="18">
        <v>3627</v>
      </c>
      <c r="T217" s="18">
        <v>2875</v>
      </c>
      <c r="U217" s="18">
        <v>2992</v>
      </c>
      <c r="V217" s="18">
        <v>5226</v>
      </c>
      <c r="W217" s="18">
        <v>3789</v>
      </c>
      <c r="X217" s="18">
        <v>3828</v>
      </c>
      <c r="Y217" s="18">
        <v>0</v>
      </c>
      <c r="Z217" s="18">
        <v>0</v>
      </c>
      <c r="AA217" s="18">
        <f>SUMIF([1]SA007!$C:$C,'SA007 2025.01-2026.05 '!$D217,[1]SA007!P:P)</f>
        <v>0</v>
      </c>
      <c r="AB217" s="18">
        <f>SUMIF([1]SA007!$C:$C,'SA007 2025.01-2026.05 '!$D217,[1]SA007!Q:Q)</f>
        <v>0</v>
      </c>
      <c r="AC217" s="19">
        <f t="shared" si="9"/>
        <v>39556</v>
      </c>
      <c r="AD217" s="19">
        <f t="shared" si="10"/>
        <v>2326.8235294117649</v>
      </c>
      <c r="AE217" s="20" t="s">
        <v>554</v>
      </c>
      <c r="AG217" s="21">
        <f>SUMIF([1]SO003!$H:$H,'SA007 2025.01-2026.05 '!$D217,[1]SO003!AF:AF)</f>
        <v>0</v>
      </c>
      <c r="AH217" s="21">
        <f>SUMIF([1]SO003!$H:$H,'SA007 2025.01-2026.05 '!$D217,[1]SO003!AH:AH)</f>
        <v>0</v>
      </c>
      <c r="AI217" s="21">
        <f>SUMIF([1]SO003!$H:$H,'SA007 2025.01-2026.05 '!$D217,[1]SO003!AJ:AJ)</f>
        <v>0</v>
      </c>
    </row>
    <row r="218" spans="1:35" ht="11.45" customHeight="1" x14ac:dyDescent="0.55000000000000004">
      <c r="A218" s="2" t="s">
        <v>212</v>
      </c>
      <c r="D218" s="22">
        <v>77004844</v>
      </c>
      <c r="E218" s="2" t="s">
        <v>555</v>
      </c>
      <c r="F218" s="2" t="s">
        <v>556</v>
      </c>
      <c r="G218" s="3" t="s">
        <v>47</v>
      </c>
      <c r="H218" s="2" t="s">
        <v>321</v>
      </c>
      <c r="I218" s="17">
        <v>1.6</v>
      </c>
      <c r="J218" s="3">
        <v>110</v>
      </c>
      <c r="K218" s="3">
        <v>1219</v>
      </c>
      <c r="L218" s="18">
        <v>0</v>
      </c>
      <c r="M218" s="18">
        <v>33</v>
      </c>
      <c r="N218" s="18">
        <v>50</v>
      </c>
      <c r="O218" s="18">
        <v>69</v>
      </c>
      <c r="P218" s="18">
        <v>0</v>
      </c>
      <c r="Q218" s="18">
        <v>36</v>
      </c>
      <c r="R218" s="18">
        <v>102</v>
      </c>
      <c r="S218" s="18">
        <v>0</v>
      </c>
      <c r="T218" s="18">
        <v>0</v>
      </c>
      <c r="U218" s="18">
        <v>0</v>
      </c>
      <c r="V218" s="18">
        <v>53</v>
      </c>
      <c r="W218" s="18">
        <v>0</v>
      </c>
      <c r="X218" s="18">
        <v>50</v>
      </c>
      <c r="Y218" s="18">
        <v>0</v>
      </c>
      <c r="Z218" s="18">
        <v>0</v>
      </c>
      <c r="AA218" s="18">
        <f>SUMIF([1]SA007!$C:$C,'SA007 2025.01-2026.05 '!$D218,[1]SA007!P:P)</f>
        <v>0</v>
      </c>
      <c r="AB218" s="18">
        <f>SUMIF([1]SA007!$C:$C,'SA007 2025.01-2026.05 '!$D218,[1]SA007!Q:Q)</f>
        <v>32</v>
      </c>
      <c r="AC218" s="19">
        <f t="shared" si="9"/>
        <v>425</v>
      </c>
      <c r="AD218" s="19">
        <f t="shared" si="10"/>
        <v>25</v>
      </c>
      <c r="AG218" s="21">
        <f>SUMIF([1]SO003!$H:$H,'SA007 2025.01-2026.05 '!$D218,[1]SO003!AF:AF)</f>
        <v>50.525112000000007</v>
      </c>
      <c r="AH218" s="21">
        <f>SUMIF([1]SO003!$H:$H,'SA007 2025.01-2026.05 '!$D218,[1]SO003!AH:AH)</f>
        <v>50.525112000000007</v>
      </c>
      <c r="AI218" s="21">
        <f>SUMIF([1]SO003!$H:$H,'SA007 2025.01-2026.05 '!$D218,[1]SO003!AJ:AJ)</f>
        <v>0</v>
      </c>
    </row>
    <row r="219" spans="1:35" ht="11.45" customHeight="1" x14ac:dyDescent="0.55000000000000004">
      <c r="A219" s="2" t="s">
        <v>433</v>
      </c>
      <c r="B219" s="2" t="s">
        <v>213</v>
      </c>
      <c r="C219" s="2" t="s">
        <v>213</v>
      </c>
      <c r="D219" s="2" t="s">
        <v>557</v>
      </c>
      <c r="E219" s="2" t="s">
        <v>182</v>
      </c>
      <c r="F219" s="2" t="s">
        <v>182</v>
      </c>
      <c r="G219" s="3" t="s">
        <v>47</v>
      </c>
      <c r="H219" s="2" t="s">
        <v>402</v>
      </c>
      <c r="I219" s="17">
        <v>2.6</v>
      </c>
      <c r="J219" s="3">
        <v>139</v>
      </c>
      <c r="K219" s="3">
        <v>1220</v>
      </c>
      <c r="L219" s="18">
        <v>500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250</v>
      </c>
      <c r="T219" s="18">
        <v>931</v>
      </c>
      <c r="U219" s="18">
        <v>342</v>
      </c>
      <c r="V219" s="18">
        <v>0</v>
      </c>
      <c r="W219" s="18">
        <v>0</v>
      </c>
      <c r="X219" s="18">
        <v>688</v>
      </c>
      <c r="Y219" s="18">
        <v>0</v>
      </c>
      <c r="Z219" s="18">
        <v>0</v>
      </c>
      <c r="AA219" s="18">
        <f>SUMIF([1]SA007!$C:$C,'SA007 2025.01-2026.05 '!$D219,[1]SA007!P:P)</f>
        <v>0</v>
      </c>
      <c r="AB219" s="18">
        <f>SUMIF([1]SA007!$C:$C,'SA007 2025.01-2026.05 '!$D219,[1]SA007!Q:Q)</f>
        <v>0</v>
      </c>
      <c r="AC219" s="19">
        <f t="shared" si="9"/>
        <v>2711</v>
      </c>
      <c r="AD219" s="19">
        <f t="shared" si="10"/>
        <v>159.47058823529412</v>
      </c>
      <c r="AE219" s="20" t="e">
        <v>#N/A</v>
      </c>
      <c r="AG219" s="21">
        <f>SUMIF([1]SO003!$H:$H,'SA007 2025.01-2026.05 '!$D219,[1]SO003!AF:AF)</f>
        <v>0</v>
      </c>
      <c r="AH219" s="21">
        <f>SUMIF([1]SO003!$H:$H,'SA007 2025.01-2026.05 '!$D219,[1]SO003!AH:AH)</f>
        <v>0</v>
      </c>
      <c r="AI219" s="21">
        <f>SUMIF([1]SO003!$H:$H,'SA007 2025.01-2026.05 '!$D219,[1]SO003!AJ:AJ)</f>
        <v>0</v>
      </c>
    </row>
    <row r="220" spans="1:35" ht="11.45" customHeight="1" x14ac:dyDescent="0.55000000000000004">
      <c r="A220" s="2" t="s">
        <v>66</v>
      </c>
      <c r="B220" s="2" t="s">
        <v>54</v>
      </c>
      <c r="C220" s="2" t="s">
        <v>54</v>
      </c>
      <c r="D220" s="2" t="s">
        <v>558</v>
      </c>
      <c r="E220" s="2" t="s">
        <v>69</v>
      </c>
      <c r="F220" s="2" t="s">
        <v>69</v>
      </c>
      <c r="G220" s="3" t="s">
        <v>57</v>
      </c>
      <c r="H220" s="2" t="s">
        <v>54</v>
      </c>
      <c r="I220" s="17">
        <v>0.8</v>
      </c>
      <c r="J220" s="3">
        <v>459.8</v>
      </c>
      <c r="K220" s="3">
        <v>881.6</v>
      </c>
      <c r="L220" s="18">
        <v>0</v>
      </c>
      <c r="M220" s="18">
        <v>271</v>
      </c>
      <c r="N220" s="18">
        <v>1254</v>
      </c>
      <c r="O220" s="18">
        <v>490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756</v>
      </c>
      <c r="Z220" s="18">
        <v>235</v>
      </c>
      <c r="AA220" s="18">
        <f>SUMIF([1]SA007!$C:$C,'SA007 2025.01-2026.05 '!$D220,[1]SA007!P:P)</f>
        <v>376</v>
      </c>
      <c r="AB220" s="18">
        <f>SUMIF([1]SA007!$C:$C,'SA007 2025.01-2026.05 '!$D220,[1]SA007!Q:Q)</f>
        <v>0</v>
      </c>
      <c r="AC220" s="19">
        <f t="shared" si="9"/>
        <v>3382</v>
      </c>
      <c r="AD220" s="19">
        <f t="shared" si="10"/>
        <v>198.94117647058823</v>
      </c>
      <c r="AE220" s="20" t="s">
        <v>559</v>
      </c>
      <c r="AG220" s="21">
        <f>SUMIF([1]SO003!$H:$H,'SA007 2025.01-2026.05 '!$D220,[1]SO003!AF:AF)</f>
        <v>0</v>
      </c>
      <c r="AH220" s="21">
        <f>SUMIF([1]SO003!$H:$H,'SA007 2025.01-2026.05 '!$D220,[1]SO003!AH:AH)</f>
        <v>0</v>
      </c>
      <c r="AI220" s="21">
        <f>SUMIF([1]SO003!$H:$H,'SA007 2025.01-2026.05 '!$D220,[1]SO003!AJ:AJ)</f>
        <v>0</v>
      </c>
    </row>
    <row r="221" spans="1:35" ht="11.45" customHeight="1" x14ac:dyDescent="0.55000000000000004">
      <c r="A221" s="2" t="s">
        <v>212</v>
      </c>
      <c r="D221" s="22">
        <v>30049872.199999999</v>
      </c>
      <c r="E221" s="2" t="s">
        <v>116</v>
      </c>
      <c r="F221" s="2" t="s">
        <v>116</v>
      </c>
      <c r="G221" s="3" t="s">
        <v>47</v>
      </c>
      <c r="H221" s="2" t="s">
        <v>321</v>
      </c>
      <c r="I221" s="17">
        <v>1.6</v>
      </c>
      <c r="J221" s="3">
        <v>90</v>
      </c>
      <c r="K221" s="3">
        <v>1219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f>SUMIF([1]SA007!$C:$C,'SA007 2025.01-2026.05 '!$D221,[1]SA007!P:P)</f>
        <v>0</v>
      </c>
      <c r="AB221" s="18">
        <f>SUMIF([1]SA007!$C:$C,'SA007 2025.01-2026.05 '!$D221,[1]SA007!Q:Q)</f>
        <v>0</v>
      </c>
      <c r="AC221" s="19">
        <f t="shared" si="9"/>
        <v>0</v>
      </c>
      <c r="AD221" s="19">
        <f t="shared" si="10"/>
        <v>0</v>
      </c>
      <c r="AG221" s="21">
        <f>SUMIF([1]SO003!$H:$H,'SA007 2025.01-2026.05 '!$D221,[1]SO003!AF:AF)</f>
        <v>0</v>
      </c>
      <c r="AH221" s="21">
        <f>SUMIF([1]SO003!$H:$H,'SA007 2025.01-2026.05 '!$D221,[1]SO003!AH:AH)</f>
        <v>0</v>
      </c>
      <c r="AI221" s="21">
        <f>SUMIF([1]SO003!$H:$H,'SA007 2025.01-2026.05 '!$D221,[1]SO003!AJ:AJ)</f>
        <v>0</v>
      </c>
    </row>
    <row r="222" spans="1:35" ht="11.45" customHeight="1" x14ac:dyDescent="0.55000000000000004">
      <c r="A222" s="2" t="s">
        <v>66</v>
      </c>
      <c r="B222" s="2" t="s">
        <v>54</v>
      </c>
      <c r="C222" s="2" t="s">
        <v>54</v>
      </c>
      <c r="D222" s="2" t="s">
        <v>560</v>
      </c>
      <c r="E222" s="2" t="s">
        <v>69</v>
      </c>
      <c r="F222" s="2" t="s">
        <v>69</v>
      </c>
      <c r="G222" s="3" t="s">
        <v>57</v>
      </c>
      <c r="H222" s="2" t="s">
        <v>54</v>
      </c>
      <c r="I222" s="17">
        <v>0.8</v>
      </c>
      <c r="J222" s="3">
        <v>80</v>
      </c>
      <c r="K222" s="3">
        <v>290.39999999999998</v>
      </c>
      <c r="L222" s="18">
        <v>0</v>
      </c>
      <c r="M222" s="18">
        <v>72</v>
      </c>
      <c r="N222" s="18">
        <v>227</v>
      </c>
      <c r="O222" s="18">
        <v>0</v>
      </c>
      <c r="P222" s="18">
        <v>0</v>
      </c>
      <c r="Q222" s="18">
        <v>144</v>
      </c>
      <c r="R222" s="18">
        <v>0</v>
      </c>
      <c r="S222" s="18">
        <v>152</v>
      </c>
      <c r="T222" s="18">
        <v>232</v>
      </c>
      <c r="U222" s="18">
        <v>144</v>
      </c>
      <c r="V222" s="18">
        <v>0</v>
      </c>
      <c r="W222" s="18">
        <v>0</v>
      </c>
      <c r="X222" s="18">
        <v>0</v>
      </c>
      <c r="Y222" s="18">
        <v>144</v>
      </c>
      <c r="Z222" s="18">
        <v>146</v>
      </c>
      <c r="AA222" s="18">
        <f>SUMIF([1]SA007!$C:$C,'SA007 2025.01-2026.05 '!$D222,[1]SA007!P:P)</f>
        <v>0</v>
      </c>
      <c r="AB222" s="18">
        <f>SUMIF([1]SA007!$C:$C,'SA007 2025.01-2026.05 '!$D222,[1]SA007!Q:Q)</f>
        <v>0</v>
      </c>
      <c r="AC222" s="19">
        <f t="shared" si="9"/>
        <v>1261</v>
      </c>
      <c r="AD222" s="19">
        <f t="shared" si="10"/>
        <v>74.17647058823529</v>
      </c>
      <c r="AE222" s="20" t="s">
        <v>561</v>
      </c>
      <c r="AG222" s="21">
        <f>SUMIF([1]SO003!$H:$H,'SA007 2025.01-2026.05 '!$D222,[1]SO003!AF:AF)</f>
        <v>0</v>
      </c>
      <c r="AH222" s="21">
        <f>SUMIF([1]SO003!$H:$H,'SA007 2025.01-2026.05 '!$D222,[1]SO003!AH:AH)</f>
        <v>0</v>
      </c>
      <c r="AI222" s="21">
        <f>SUMIF([1]SO003!$H:$H,'SA007 2025.01-2026.05 '!$D222,[1]SO003!AJ:AJ)</f>
        <v>0</v>
      </c>
    </row>
    <row r="223" spans="1:35" ht="11.45" customHeight="1" x14ac:dyDescent="0.55000000000000004">
      <c r="A223" s="2" t="s">
        <v>460</v>
      </c>
      <c r="B223" s="2" t="s">
        <v>213</v>
      </c>
      <c r="C223" s="2" t="s">
        <v>213</v>
      </c>
      <c r="D223" s="2" t="s">
        <v>562</v>
      </c>
      <c r="E223" s="2" t="s">
        <v>182</v>
      </c>
      <c r="F223" s="2" t="s">
        <v>182</v>
      </c>
      <c r="G223" s="3" t="s">
        <v>47</v>
      </c>
      <c r="H223" s="2" t="s">
        <v>563</v>
      </c>
      <c r="I223" s="17">
        <v>3.2</v>
      </c>
      <c r="J223" s="3">
        <v>116</v>
      </c>
      <c r="K223" s="3">
        <v>1220</v>
      </c>
      <c r="L223" s="18">
        <v>0</v>
      </c>
      <c r="M223" s="18">
        <v>449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910</v>
      </c>
      <c r="U223" s="18">
        <v>0</v>
      </c>
      <c r="V223" s="18">
        <v>0</v>
      </c>
      <c r="W223" s="18">
        <v>0</v>
      </c>
      <c r="X223" s="18">
        <v>541</v>
      </c>
      <c r="Y223" s="18">
        <v>0</v>
      </c>
      <c r="Z223" s="18">
        <v>0</v>
      </c>
      <c r="AA223" s="18">
        <f>SUMIF([1]SA007!$C:$C,'SA007 2025.01-2026.05 '!$D223,[1]SA007!P:P)</f>
        <v>0</v>
      </c>
      <c r="AB223" s="18">
        <f>SUMIF([1]SA007!$C:$C,'SA007 2025.01-2026.05 '!$D223,[1]SA007!Q:Q)</f>
        <v>0</v>
      </c>
      <c r="AC223" s="19">
        <f t="shared" si="9"/>
        <v>1900</v>
      </c>
      <c r="AD223" s="19">
        <f t="shared" si="10"/>
        <v>111.76470588235294</v>
      </c>
      <c r="AE223" s="20" t="s">
        <v>564</v>
      </c>
      <c r="AG223" s="21">
        <f>SUMIF([1]SO003!$H:$H,'SA007 2025.01-2026.05 '!$D223,[1]SO003!AF:AF)</f>
        <v>0</v>
      </c>
      <c r="AH223" s="21">
        <f>SUMIF([1]SO003!$H:$H,'SA007 2025.01-2026.05 '!$D223,[1]SO003!AH:AH)</f>
        <v>0</v>
      </c>
      <c r="AI223" s="21">
        <f>SUMIF([1]SO003!$H:$H,'SA007 2025.01-2026.05 '!$D223,[1]SO003!AJ:AJ)</f>
        <v>0</v>
      </c>
    </row>
    <row r="224" spans="1:35" ht="11.45" customHeight="1" x14ac:dyDescent="0.55000000000000004">
      <c r="A224" s="2" t="s">
        <v>157</v>
      </c>
      <c r="B224" s="2" t="s">
        <v>67</v>
      </c>
      <c r="C224" s="2" t="s">
        <v>54</v>
      </c>
      <c r="D224" s="2" t="s">
        <v>565</v>
      </c>
      <c r="E224" s="2" t="s">
        <v>240</v>
      </c>
      <c r="G224" s="3" t="s">
        <v>57</v>
      </c>
      <c r="H224" s="2" t="s">
        <v>54</v>
      </c>
      <c r="I224" s="17">
        <v>0.8</v>
      </c>
      <c r="J224" s="3">
        <v>265</v>
      </c>
      <c r="K224" s="3" t="s">
        <v>41</v>
      </c>
      <c r="L224" s="18">
        <v>0</v>
      </c>
      <c r="M224" s="18">
        <v>0</v>
      </c>
      <c r="N224" s="18">
        <v>0</v>
      </c>
      <c r="O224" s="18">
        <v>882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1062</v>
      </c>
      <c r="W224" s="18">
        <v>0</v>
      </c>
      <c r="X224" s="18">
        <v>0</v>
      </c>
      <c r="Y224" s="18">
        <v>718</v>
      </c>
      <c r="Z224" s="18">
        <v>0</v>
      </c>
      <c r="AA224" s="18">
        <f>SUMIF([1]SA007!$C:$C,'SA007 2025.01-2026.05 '!$D224,[1]SA007!P:P)</f>
        <v>0</v>
      </c>
      <c r="AB224" s="18">
        <f>SUMIF([1]SA007!$C:$C,'SA007 2025.01-2026.05 '!$D224,[1]SA007!Q:Q)</f>
        <v>0</v>
      </c>
      <c r="AC224" s="19">
        <f t="shared" si="9"/>
        <v>2662</v>
      </c>
      <c r="AD224" s="19">
        <f t="shared" si="10"/>
        <v>156.58823529411765</v>
      </c>
      <c r="AE224" s="20" t="s">
        <v>242</v>
      </c>
      <c r="AG224" s="21">
        <f>SUMIF([1]SO003!$H:$H,'SA007 2025.01-2026.05 '!$D224,[1]SO003!AF:AF)</f>
        <v>0</v>
      </c>
      <c r="AH224" s="21">
        <f>SUMIF([1]SO003!$H:$H,'SA007 2025.01-2026.05 '!$D224,[1]SO003!AH:AH)</f>
        <v>0</v>
      </c>
      <c r="AI224" s="21">
        <f>SUMIF([1]SO003!$H:$H,'SA007 2025.01-2026.05 '!$D224,[1]SO003!AJ:AJ)</f>
        <v>0</v>
      </c>
    </row>
    <row r="225" spans="1:35" ht="11.45" customHeight="1" x14ac:dyDescent="0.55000000000000004">
      <c r="A225" s="2" t="s">
        <v>157</v>
      </c>
      <c r="B225" s="2" t="s">
        <v>67</v>
      </c>
      <c r="C225" s="2" t="s">
        <v>67</v>
      </c>
      <c r="D225" s="2" t="s">
        <v>566</v>
      </c>
      <c r="E225" s="2" t="s">
        <v>185</v>
      </c>
      <c r="F225" s="2" t="s">
        <v>185</v>
      </c>
      <c r="G225" s="3" t="s">
        <v>57</v>
      </c>
      <c r="H225" s="2" t="s">
        <v>67</v>
      </c>
      <c r="I225" s="17">
        <v>0.8</v>
      </c>
      <c r="J225" s="3">
        <v>250</v>
      </c>
      <c r="K225" s="3">
        <v>1219</v>
      </c>
      <c r="L225" s="18">
        <v>1142</v>
      </c>
      <c r="M225" s="18">
        <v>746</v>
      </c>
      <c r="N225" s="18">
        <v>253</v>
      </c>
      <c r="O225" s="18">
        <v>0</v>
      </c>
      <c r="P225" s="18">
        <v>1116</v>
      </c>
      <c r="Q225" s="18">
        <v>0</v>
      </c>
      <c r="R225" s="18">
        <v>0</v>
      </c>
      <c r="S225" s="18">
        <v>990</v>
      </c>
      <c r="T225" s="18">
        <v>0</v>
      </c>
      <c r="U225" s="18">
        <v>795</v>
      </c>
      <c r="V225" s="18">
        <v>0</v>
      </c>
      <c r="W225" s="18">
        <v>980</v>
      </c>
      <c r="X225" s="18">
        <v>0</v>
      </c>
      <c r="Y225" s="18">
        <v>0</v>
      </c>
      <c r="Z225" s="18">
        <v>0</v>
      </c>
      <c r="AA225" s="18">
        <f>SUMIF([1]SA007!$C:$C,'SA007 2025.01-2026.05 '!$D225,[1]SA007!P:P)</f>
        <v>0</v>
      </c>
      <c r="AB225" s="18">
        <f>SUMIF([1]SA007!$C:$C,'SA007 2025.01-2026.05 '!$D225,[1]SA007!Q:Q)</f>
        <v>0</v>
      </c>
      <c r="AC225" s="19">
        <f t="shared" si="9"/>
        <v>6022</v>
      </c>
      <c r="AD225" s="19">
        <f t="shared" si="10"/>
        <v>354.23529411764707</v>
      </c>
      <c r="AE225" s="20" t="s">
        <v>567</v>
      </c>
      <c r="AG225" s="21">
        <f>SUMIF([1]SO003!$H:$H,'SA007 2025.01-2026.05 '!$D225,[1]SO003!AF:AF)</f>
        <v>0</v>
      </c>
      <c r="AH225" s="21">
        <f>SUMIF([1]SO003!$H:$H,'SA007 2025.01-2026.05 '!$D225,[1]SO003!AH:AH)</f>
        <v>0</v>
      </c>
      <c r="AI225" s="21">
        <f>SUMIF([1]SO003!$H:$H,'SA007 2025.01-2026.05 '!$D225,[1]SO003!AJ:AJ)</f>
        <v>0</v>
      </c>
    </row>
    <row r="226" spans="1:35" ht="11.45" customHeight="1" x14ac:dyDescent="0.55000000000000004">
      <c r="A226" s="2" t="s">
        <v>145</v>
      </c>
      <c r="B226" s="2" t="s">
        <v>61</v>
      </c>
      <c r="C226" s="2" t="s">
        <v>61</v>
      </c>
      <c r="D226" s="2" t="s">
        <v>568</v>
      </c>
      <c r="E226" s="2" t="s">
        <v>569</v>
      </c>
      <c r="F226" s="2" t="s">
        <v>569</v>
      </c>
      <c r="G226" s="3" t="s">
        <v>63</v>
      </c>
      <c r="H226" s="2" t="s">
        <v>64</v>
      </c>
      <c r="I226" s="17">
        <v>0.8</v>
      </c>
      <c r="J226" s="3">
        <v>360</v>
      </c>
      <c r="K226" s="3">
        <v>546</v>
      </c>
      <c r="L226" s="18">
        <v>283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f>SUMIF([1]SA007!$C:$C,'SA007 2025.01-2026.05 '!$D226,[1]SA007!P:P)</f>
        <v>0</v>
      </c>
      <c r="AB226" s="18">
        <f>SUMIF([1]SA007!$C:$C,'SA007 2025.01-2026.05 '!$D226,[1]SA007!Q:Q)</f>
        <v>0</v>
      </c>
      <c r="AC226" s="19">
        <f t="shared" si="9"/>
        <v>283</v>
      </c>
      <c r="AD226" s="19">
        <f t="shared" si="10"/>
        <v>16.647058823529413</v>
      </c>
      <c r="AE226" s="20" t="s">
        <v>570</v>
      </c>
      <c r="AG226" s="21">
        <f>SUMIF([1]SO003!$H:$H,'SA007 2025.01-2026.05 '!$D226,[1]SO003!AF:AF)</f>
        <v>0</v>
      </c>
      <c r="AH226" s="21">
        <f>SUMIF([1]SO003!$H:$H,'SA007 2025.01-2026.05 '!$D226,[1]SO003!AH:AH)</f>
        <v>0</v>
      </c>
      <c r="AI226" s="21">
        <f>SUMIF([1]SO003!$H:$H,'SA007 2025.01-2026.05 '!$D226,[1]SO003!AJ:AJ)</f>
        <v>0</v>
      </c>
    </row>
    <row r="227" spans="1:35" ht="11.45" customHeight="1" x14ac:dyDescent="0.55000000000000004">
      <c r="A227" s="2" t="s">
        <v>571</v>
      </c>
      <c r="B227" s="2" t="s">
        <v>365</v>
      </c>
      <c r="C227" s="2" t="s">
        <v>365</v>
      </c>
      <c r="D227" s="2" t="s">
        <v>572</v>
      </c>
      <c r="E227" s="2" t="s">
        <v>428</v>
      </c>
      <c r="F227" s="2" t="s">
        <v>428</v>
      </c>
      <c r="G227" s="3" t="s">
        <v>47</v>
      </c>
      <c r="H227" s="2" t="s">
        <v>367</v>
      </c>
      <c r="I227" s="17">
        <v>4.5</v>
      </c>
      <c r="J227" s="3">
        <v>50</v>
      </c>
      <c r="K227" s="3" t="s">
        <v>41</v>
      </c>
      <c r="L227" s="18">
        <v>1204</v>
      </c>
      <c r="M227" s="18">
        <v>1505</v>
      </c>
      <c r="N227" s="18">
        <v>1197</v>
      </c>
      <c r="O227" s="18">
        <v>1072</v>
      </c>
      <c r="P227" s="18">
        <v>3288</v>
      </c>
      <c r="Q227" s="18">
        <v>4188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f>SUMIF([1]SA007!$C:$C,'SA007 2025.01-2026.05 '!$D227,[1]SA007!P:P)</f>
        <v>0</v>
      </c>
      <c r="AB227" s="18">
        <f>SUMIF([1]SA007!$C:$C,'SA007 2025.01-2026.05 '!$D227,[1]SA007!Q:Q)</f>
        <v>0</v>
      </c>
      <c r="AC227" s="19">
        <f t="shared" si="9"/>
        <v>12454</v>
      </c>
      <c r="AD227" s="19">
        <f t="shared" si="10"/>
        <v>732.58823529411768</v>
      </c>
      <c r="AE227" s="20" t="s">
        <v>573</v>
      </c>
      <c r="AG227" s="21">
        <f>SUMIF([1]SO003!$H:$H,'SA007 2025.01-2026.05 '!$D227,[1]SO003!AF:AF)</f>
        <v>0</v>
      </c>
      <c r="AH227" s="21">
        <f>SUMIF([1]SO003!$H:$H,'SA007 2025.01-2026.05 '!$D227,[1]SO003!AH:AH)</f>
        <v>0</v>
      </c>
      <c r="AI227" s="21">
        <f>SUMIF([1]SO003!$H:$H,'SA007 2025.01-2026.05 '!$D227,[1]SO003!AJ:AJ)</f>
        <v>0</v>
      </c>
    </row>
    <row r="228" spans="1:35" ht="11.45" customHeight="1" x14ac:dyDescent="0.55000000000000004">
      <c r="A228" s="2" t="s">
        <v>574</v>
      </c>
      <c r="B228" s="2" t="s">
        <v>575</v>
      </c>
      <c r="C228" s="2" t="s">
        <v>575</v>
      </c>
      <c r="D228" s="2" t="s">
        <v>576</v>
      </c>
      <c r="E228" s="2" t="s">
        <v>46</v>
      </c>
      <c r="F228" s="2" t="s">
        <v>46</v>
      </c>
      <c r="G228" s="3" t="s">
        <v>47</v>
      </c>
      <c r="H228" s="2" t="s">
        <v>577</v>
      </c>
      <c r="I228" s="17">
        <v>5</v>
      </c>
      <c r="J228" s="3">
        <v>200</v>
      </c>
      <c r="K228" s="3">
        <v>1119</v>
      </c>
      <c r="L228" s="18">
        <v>463</v>
      </c>
      <c r="M228" s="18">
        <v>524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f>SUMIF([1]SA007!$C:$C,'SA007 2025.01-2026.05 '!$D228,[1]SA007!P:P)</f>
        <v>0</v>
      </c>
      <c r="AB228" s="18">
        <f>SUMIF([1]SA007!$C:$C,'SA007 2025.01-2026.05 '!$D228,[1]SA007!Q:Q)</f>
        <v>0</v>
      </c>
      <c r="AC228" s="19">
        <f t="shared" si="9"/>
        <v>987</v>
      </c>
      <c r="AD228" s="19">
        <f t="shared" si="10"/>
        <v>58.058823529411768</v>
      </c>
      <c r="AE228" s="20" t="s">
        <v>578</v>
      </c>
      <c r="AG228" s="21">
        <f>SUMIF([1]SO003!$H:$H,'SA007 2025.01-2026.05 '!$D228,[1]SO003!AF:AF)</f>
        <v>0</v>
      </c>
      <c r="AH228" s="21">
        <f>SUMIF([1]SO003!$H:$H,'SA007 2025.01-2026.05 '!$D228,[1]SO003!AH:AH)</f>
        <v>0</v>
      </c>
      <c r="AI228" s="21">
        <f>SUMIF([1]SO003!$H:$H,'SA007 2025.01-2026.05 '!$D228,[1]SO003!AJ:AJ)</f>
        <v>0</v>
      </c>
    </row>
    <row r="229" spans="1:35" ht="11.45" customHeight="1" x14ac:dyDescent="0.55000000000000004">
      <c r="A229" s="2" t="s">
        <v>579</v>
      </c>
      <c r="B229" s="2" t="s">
        <v>580</v>
      </c>
      <c r="C229" s="2" t="s">
        <v>580</v>
      </c>
      <c r="D229" s="2" t="s">
        <v>581</v>
      </c>
      <c r="E229" s="2" t="s">
        <v>46</v>
      </c>
      <c r="F229" s="2" t="s">
        <v>46</v>
      </c>
      <c r="G229" s="3" t="s">
        <v>47</v>
      </c>
      <c r="H229" s="2" t="s">
        <v>580</v>
      </c>
      <c r="I229" s="17">
        <v>3.5</v>
      </c>
      <c r="J229" s="3">
        <v>190</v>
      </c>
      <c r="K229" s="3">
        <v>1220</v>
      </c>
      <c r="L229" s="18">
        <v>0</v>
      </c>
      <c r="M229" s="18">
        <v>378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f>SUMIF([1]SA007!$C:$C,'SA007 2025.01-2026.05 '!$D229,[1]SA007!P:P)</f>
        <v>0</v>
      </c>
      <c r="AB229" s="18">
        <f>SUMIF([1]SA007!$C:$C,'SA007 2025.01-2026.05 '!$D229,[1]SA007!Q:Q)</f>
        <v>0</v>
      </c>
      <c r="AC229" s="19">
        <f t="shared" si="9"/>
        <v>378</v>
      </c>
      <c r="AD229" s="19">
        <f t="shared" si="10"/>
        <v>22.235294117647058</v>
      </c>
      <c r="AE229" s="20" t="s">
        <v>48</v>
      </c>
      <c r="AG229" s="21">
        <f>SUMIF([1]SO003!$H:$H,'SA007 2025.01-2026.05 '!$D229,[1]SO003!AF:AF)</f>
        <v>0</v>
      </c>
      <c r="AH229" s="21">
        <f>SUMIF([1]SO003!$H:$H,'SA007 2025.01-2026.05 '!$D229,[1]SO003!AH:AH)</f>
        <v>0</v>
      </c>
      <c r="AI229" s="21">
        <f>SUMIF([1]SO003!$H:$H,'SA007 2025.01-2026.05 '!$D229,[1]SO003!AJ:AJ)</f>
        <v>0</v>
      </c>
    </row>
    <row r="230" spans="1:35" ht="11.45" customHeight="1" x14ac:dyDescent="0.55000000000000004">
      <c r="A230" s="2" t="s">
        <v>579</v>
      </c>
      <c r="B230" s="2" t="s">
        <v>580</v>
      </c>
      <c r="C230" s="2" t="s">
        <v>580</v>
      </c>
      <c r="D230" s="2" t="s">
        <v>582</v>
      </c>
      <c r="E230" s="2" t="s">
        <v>46</v>
      </c>
      <c r="F230" s="2" t="s">
        <v>46</v>
      </c>
      <c r="G230" s="3" t="s">
        <v>47</v>
      </c>
      <c r="H230" s="2" t="s">
        <v>580</v>
      </c>
      <c r="I230" s="17">
        <v>3.5</v>
      </c>
      <c r="J230" s="3">
        <v>190</v>
      </c>
      <c r="K230" s="3">
        <v>1220</v>
      </c>
      <c r="L230" s="18">
        <v>0</v>
      </c>
      <c r="M230" s="18">
        <v>378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f>SUMIF([1]SA007!$C:$C,'SA007 2025.01-2026.05 '!$D230,[1]SA007!P:P)</f>
        <v>0</v>
      </c>
      <c r="AB230" s="18">
        <f>SUMIF([1]SA007!$C:$C,'SA007 2025.01-2026.05 '!$D230,[1]SA007!Q:Q)</f>
        <v>0</v>
      </c>
      <c r="AC230" s="19">
        <f t="shared" si="9"/>
        <v>378</v>
      </c>
      <c r="AD230" s="19">
        <f t="shared" si="10"/>
        <v>22.235294117647058</v>
      </c>
      <c r="AE230" s="20" t="s">
        <v>48</v>
      </c>
      <c r="AG230" s="21">
        <f>SUMIF([1]SO003!$H:$H,'SA007 2025.01-2026.05 '!$D230,[1]SO003!AF:AF)</f>
        <v>0</v>
      </c>
      <c r="AH230" s="21">
        <f>SUMIF([1]SO003!$H:$H,'SA007 2025.01-2026.05 '!$D230,[1]SO003!AH:AH)</f>
        <v>0</v>
      </c>
      <c r="AI230" s="21">
        <f>SUMIF([1]SO003!$H:$H,'SA007 2025.01-2026.05 '!$D230,[1]SO003!AJ:AJ)</f>
        <v>0</v>
      </c>
    </row>
    <row r="231" spans="1:35" ht="11.45" customHeight="1" x14ac:dyDescent="0.55000000000000004">
      <c r="A231" s="2" t="s">
        <v>583</v>
      </c>
      <c r="B231" s="2" t="s">
        <v>584</v>
      </c>
      <c r="C231" s="2" t="s">
        <v>584</v>
      </c>
      <c r="D231" s="2" t="s">
        <v>585</v>
      </c>
      <c r="E231" s="2" t="s">
        <v>256</v>
      </c>
      <c r="F231" s="2" t="s">
        <v>256</v>
      </c>
      <c r="G231" s="3" t="s">
        <v>47</v>
      </c>
      <c r="H231" s="2" t="s">
        <v>586</v>
      </c>
      <c r="I231" s="17">
        <v>2.5</v>
      </c>
      <c r="J231" s="3">
        <v>197</v>
      </c>
      <c r="K231" s="3" t="s">
        <v>41</v>
      </c>
      <c r="L231" s="18">
        <v>1552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f>SUMIF([1]SA007!$C:$C,'SA007 2025.01-2026.05 '!$D231,[1]SA007!P:P)</f>
        <v>0</v>
      </c>
      <c r="AB231" s="18">
        <f>SUMIF([1]SA007!$C:$C,'SA007 2025.01-2026.05 '!$D231,[1]SA007!Q:Q)</f>
        <v>0</v>
      </c>
      <c r="AC231" s="19">
        <f t="shared" si="9"/>
        <v>1552</v>
      </c>
      <c r="AD231" s="19">
        <f t="shared" si="10"/>
        <v>91.294117647058826</v>
      </c>
      <c r="AE231" s="20" t="s">
        <v>587</v>
      </c>
      <c r="AG231" s="21">
        <f>SUMIF([1]SO003!$H:$H,'SA007 2025.01-2026.05 '!$D231,[1]SO003!AF:AF)</f>
        <v>0</v>
      </c>
      <c r="AH231" s="21">
        <f>SUMIF([1]SO003!$H:$H,'SA007 2025.01-2026.05 '!$D231,[1]SO003!AH:AH)</f>
        <v>0</v>
      </c>
      <c r="AI231" s="21">
        <f>SUMIF([1]SO003!$H:$H,'SA007 2025.01-2026.05 '!$D231,[1]SO003!AJ:AJ)</f>
        <v>0</v>
      </c>
    </row>
    <row r="232" spans="1:35" ht="11.45" customHeight="1" x14ac:dyDescent="0.55000000000000004">
      <c r="A232" s="2" t="s">
        <v>212</v>
      </c>
      <c r="D232" s="22">
        <v>30052583.100000001</v>
      </c>
      <c r="E232" s="2" t="s">
        <v>116</v>
      </c>
      <c r="F232" s="2" t="s">
        <v>116</v>
      </c>
      <c r="G232" s="3" t="s">
        <v>47</v>
      </c>
      <c r="H232" s="2" t="s">
        <v>321</v>
      </c>
      <c r="I232" s="17">
        <v>1.6</v>
      </c>
      <c r="J232" s="3">
        <v>1219</v>
      </c>
      <c r="K232" s="3" t="s">
        <v>588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f>SUMIF([1]SA007!$C:$C,'SA007 2025.01-2026.05 '!$D232,[1]SA007!P:P)</f>
        <v>0</v>
      </c>
      <c r="AB232" s="18">
        <f>SUMIF([1]SA007!$C:$C,'SA007 2025.01-2026.05 '!$D232,[1]SA007!Q:Q)</f>
        <v>0</v>
      </c>
      <c r="AC232" s="19">
        <f t="shared" si="9"/>
        <v>0</v>
      </c>
      <c r="AD232" s="19">
        <f t="shared" si="10"/>
        <v>0</v>
      </c>
      <c r="AG232" s="21">
        <f>SUMIF([1]SO003!$H:$H,'SA007 2025.01-2026.05 '!$D232,[1]SO003!AF:AF)</f>
        <v>0</v>
      </c>
      <c r="AH232" s="21">
        <f>SUMIF([1]SO003!$H:$H,'SA007 2025.01-2026.05 '!$D232,[1]SO003!AH:AH)</f>
        <v>0</v>
      </c>
      <c r="AI232" s="21">
        <f>SUMIF([1]SO003!$H:$H,'SA007 2025.01-2026.05 '!$D232,[1]SO003!AJ:AJ)</f>
        <v>0</v>
      </c>
    </row>
    <row r="233" spans="1:35" ht="11.45" customHeight="1" x14ac:dyDescent="0.55000000000000004">
      <c r="A233" s="2" t="s">
        <v>583</v>
      </c>
      <c r="B233" s="2" t="s">
        <v>584</v>
      </c>
      <c r="C233" s="2" t="s">
        <v>584</v>
      </c>
      <c r="D233" s="2" t="s">
        <v>589</v>
      </c>
      <c r="E233" s="2" t="s">
        <v>256</v>
      </c>
      <c r="F233" s="2" t="s">
        <v>256</v>
      </c>
      <c r="G233" s="3" t="s">
        <v>47</v>
      </c>
      <c r="H233" s="2" t="s">
        <v>586</v>
      </c>
      <c r="I233" s="17">
        <v>2.5</v>
      </c>
      <c r="J233" s="3">
        <v>280</v>
      </c>
      <c r="K233" s="3">
        <v>1219</v>
      </c>
      <c r="L233" s="18">
        <v>1057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f>SUMIF([1]SA007!$C:$C,'SA007 2025.01-2026.05 '!$D233,[1]SA007!P:P)</f>
        <v>0</v>
      </c>
      <c r="AB233" s="18">
        <f>SUMIF([1]SA007!$C:$C,'SA007 2025.01-2026.05 '!$D233,[1]SA007!Q:Q)</f>
        <v>0</v>
      </c>
      <c r="AC233" s="19">
        <f t="shared" si="9"/>
        <v>1057</v>
      </c>
      <c r="AD233" s="19">
        <f t="shared" si="10"/>
        <v>62.176470588235297</v>
      </c>
      <c r="AE233" s="20" t="s">
        <v>48</v>
      </c>
      <c r="AG233" s="21">
        <f>SUMIF([1]SO003!$H:$H,'SA007 2025.01-2026.05 '!$D233,[1]SO003!AF:AF)</f>
        <v>0</v>
      </c>
      <c r="AH233" s="21">
        <f>SUMIF([1]SO003!$H:$H,'SA007 2025.01-2026.05 '!$D233,[1]SO003!AH:AH)</f>
        <v>0</v>
      </c>
      <c r="AI233" s="21">
        <f>SUMIF([1]SO003!$H:$H,'SA007 2025.01-2026.05 '!$D233,[1]SO003!AJ:AJ)</f>
        <v>0</v>
      </c>
    </row>
    <row r="234" spans="1:35" ht="11.45" customHeight="1" x14ac:dyDescent="0.55000000000000004">
      <c r="A234" s="2" t="s">
        <v>364</v>
      </c>
      <c r="B234" s="2" t="s">
        <v>365</v>
      </c>
      <c r="C234" s="2" t="s">
        <v>365</v>
      </c>
      <c r="D234" s="2" t="s">
        <v>590</v>
      </c>
      <c r="E234" s="2" t="s">
        <v>182</v>
      </c>
      <c r="F234" s="2" t="s">
        <v>182</v>
      </c>
      <c r="G234" s="3" t="s">
        <v>47</v>
      </c>
      <c r="H234" s="2" t="s">
        <v>469</v>
      </c>
      <c r="I234" s="17">
        <v>2</v>
      </c>
      <c r="J234" s="3">
        <v>96</v>
      </c>
      <c r="K234" s="3" t="s">
        <v>41</v>
      </c>
      <c r="L234" s="18">
        <v>232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156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f>SUMIF([1]SA007!$C:$C,'SA007 2025.01-2026.05 '!$D234,[1]SA007!P:P)</f>
        <v>0</v>
      </c>
      <c r="AB234" s="18">
        <f>SUMIF([1]SA007!$C:$C,'SA007 2025.01-2026.05 '!$D234,[1]SA007!Q:Q)</f>
        <v>190</v>
      </c>
      <c r="AC234" s="19">
        <f t="shared" si="9"/>
        <v>578</v>
      </c>
      <c r="AD234" s="19">
        <f t="shared" si="10"/>
        <v>34</v>
      </c>
      <c r="AE234" s="20" t="s">
        <v>591</v>
      </c>
      <c r="AG234" s="21">
        <f>SUMIF([1]SO003!$H:$H,'SA007 2025.01-2026.05 '!$D234,[1]SO003!AF:AF)</f>
        <v>0</v>
      </c>
      <c r="AH234" s="21">
        <f>SUMIF([1]SO003!$H:$H,'SA007 2025.01-2026.05 '!$D234,[1]SO003!AH:AH)</f>
        <v>0</v>
      </c>
      <c r="AI234" s="21">
        <f>SUMIF([1]SO003!$H:$H,'SA007 2025.01-2026.05 '!$D234,[1]SO003!AJ:AJ)</f>
        <v>0</v>
      </c>
    </row>
    <row r="235" spans="1:35" ht="11.45" customHeight="1" x14ac:dyDescent="0.55000000000000004">
      <c r="A235" s="2" t="s">
        <v>364</v>
      </c>
      <c r="B235" s="2" t="s">
        <v>365</v>
      </c>
      <c r="C235" s="2" t="s">
        <v>365</v>
      </c>
      <c r="D235" s="2" t="s">
        <v>592</v>
      </c>
      <c r="E235" s="2" t="s">
        <v>182</v>
      </c>
      <c r="F235" s="2" t="s">
        <v>182</v>
      </c>
      <c r="G235" s="3" t="s">
        <v>47</v>
      </c>
      <c r="H235" s="2" t="s">
        <v>469</v>
      </c>
      <c r="I235" s="17">
        <v>2</v>
      </c>
      <c r="J235" s="3">
        <v>80</v>
      </c>
      <c r="K235" s="3" t="s">
        <v>41</v>
      </c>
      <c r="L235" s="18">
        <v>0</v>
      </c>
      <c r="M235" s="18">
        <v>384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f>SUMIF([1]SA007!$C:$C,'SA007 2025.01-2026.05 '!$D235,[1]SA007!P:P)</f>
        <v>0</v>
      </c>
      <c r="AB235" s="18">
        <f>SUMIF([1]SA007!$C:$C,'SA007 2025.01-2026.05 '!$D235,[1]SA007!Q:Q)</f>
        <v>0</v>
      </c>
      <c r="AC235" s="19">
        <f t="shared" si="9"/>
        <v>384</v>
      </c>
      <c r="AD235" s="19">
        <f t="shared" si="10"/>
        <v>22.588235294117649</v>
      </c>
      <c r="AE235" s="20" t="s">
        <v>593</v>
      </c>
      <c r="AG235" s="21">
        <f>SUMIF([1]SO003!$H:$H,'SA007 2025.01-2026.05 '!$D235,[1]SO003!AF:AF)</f>
        <v>0</v>
      </c>
      <c r="AH235" s="21">
        <f>SUMIF([1]SO003!$H:$H,'SA007 2025.01-2026.05 '!$D235,[1]SO003!AH:AH)</f>
        <v>0</v>
      </c>
      <c r="AI235" s="21">
        <f>SUMIF([1]SO003!$H:$H,'SA007 2025.01-2026.05 '!$D235,[1]SO003!AJ:AJ)</f>
        <v>0</v>
      </c>
    </row>
    <row r="236" spans="1:35" ht="11.45" customHeight="1" x14ac:dyDescent="0.55000000000000004">
      <c r="A236" s="2" t="s">
        <v>280</v>
      </c>
      <c r="B236" s="2" t="s">
        <v>77</v>
      </c>
      <c r="C236" s="2" t="s">
        <v>77</v>
      </c>
      <c r="D236" s="2" t="s">
        <v>594</v>
      </c>
      <c r="E236" s="2" t="s">
        <v>182</v>
      </c>
      <c r="F236" s="2" t="s">
        <v>182</v>
      </c>
      <c r="G236" s="3" t="s">
        <v>39</v>
      </c>
      <c r="H236" s="2" t="s">
        <v>595</v>
      </c>
      <c r="I236" s="17">
        <v>1.5</v>
      </c>
      <c r="J236" s="3">
        <v>80</v>
      </c>
      <c r="K236" s="3" t="s">
        <v>41</v>
      </c>
      <c r="L236" s="18">
        <v>115</v>
      </c>
      <c r="M236" s="18">
        <v>95</v>
      </c>
      <c r="N236" s="18">
        <v>0</v>
      </c>
      <c r="O236" s="18">
        <v>107</v>
      </c>
      <c r="P236" s="18">
        <v>309</v>
      </c>
      <c r="Q236" s="18">
        <v>0</v>
      </c>
      <c r="R236" s="18">
        <v>0</v>
      </c>
      <c r="S236" s="18">
        <v>0</v>
      </c>
      <c r="T236" s="18">
        <v>0</v>
      </c>
      <c r="U236" s="18">
        <v>103</v>
      </c>
      <c r="V236" s="18">
        <v>0</v>
      </c>
      <c r="W236" s="18">
        <v>0</v>
      </c>
      <c r="X236" s="18">
        <v>101</v>
      </c>
      <c r="Y236" s="18">
        <v>0</v>
      </c>
      <c r="Z236" s="18">
        <v>0</v>
      </c>
      <c r="AA236" s="18">
        <f>SUMIF([1]SA007!$C:$C,'SA007 2025.01-2026.05 '!$D236,[1]SA007!P:P)</f>
        <v>0</v>
      </c>
      <c r="AB236" s="18">
        <f>SUMIF([1]SA007!$C:$C,'SA007 2025.01-2026.05 '!$D236,[1]SA007!Q:Q)</f>
        <v>120</v>
      </c>
      <c r="AC236" s="19">
        <f t="shared" si="9"/>
        <v>950</v>
      </c>
      <c r="AD236" s="19">
        <f t="shared" si="10"/>
        <v>55.882352941176471</v>
      </c>
      <c r="AE236" s="20" t="s">
        <v>596</v>
      </c>
      <c r="AG236" s="21">
        <f>SUMIF([1]SO003!$H:$H,'SA007 2025.01-2026.05 '!$D236,[1]SO003!AF:AF)</f>
        <v>110</v>
      </c>
      <c r="AH236" s="21">
        <f>SUMIF([1]SO003!$H:$H,'SA007 2025.01-2026.05 '!$D236,[1]SO003!AH:AH)</f>
        <v>117</v>
      </c>
      <c r="AI236" s="21">
        <f>SUMIF([1]SO003!$H:$H,'SA007 2025.01-2026.05 '!$D236,[1]SO003!AJ:AJ)</f>
        <v>0</v>
      </c>
    </row>
    <row r="237" spans="1:35" ht="11.45" customHeight="1" x14ac:dyDescent="0.55000000000000004">
      <c r="A237" s="2" t="s">
        <v>364</v>
      </c>
      <c r="B237" s="2" t="s">
        <v>365</v>
      </c>
      <c r="C237" s="2" t="s">
        <v>365</v>
      </c>
      <c r="D237" s="2" t="s">
        <v>597</v>
      </c>
      <c r="E237" s="2" t="s">
        <v>182</v>
      </c>
      <c r="F237" s="2" t="s">
        <v>182</v>
      </c>
      <c r="G237" s="3" t="s">
        <v>47</v>
      </c>
      <c r="H237" s="2" t="s">
        <v>469</v>
      </c>
      <c r="I237" s="17">
        <v>2</v>
      </c>
      <c r="J237" s="3">
        <v>65</v>
      </c>
      <c r="K237" s="3" t="s">
        <v>41</v>
      </c>
      <c r="L237" s="18">
        <v>0</v>
      </c>
      <c r="M237" s="18">
        <v>0</v>
      </c>
      <c r="N237" s="18">
        <v>310</v>
      </c>
      <c r="O237" s="18">
        <v>205</v>
      </c>
      <c r="P237" s="18">
        <v>103</v>
      </c>
      <c r="Q237" s="18">
        <v>0</v>
      </c>
      <c r="R237" s="18">
        <v>149</v>
      </c>
      <c r="S237" s="18">
        <v>0</v>
      </c>
      <c r="T237" s="18">
        <v>122</v>
      </c>
      <c r="U237" s="18">
        <v>334</v>
      </c>
      <c r="V237" s="18">
        <v>0</v>
      </c>
      <c r="W237" s="18">
        <v>0</v>
      </c>
      <c r="X237" s="18">
        <v>0</v>
      </c>
      <c r="Y237" s="18">
        <v>110</v>
      </c>
      <c r="Z237" s="18">
        <v>260</v>
      </c>
      <c r="AA237" s="18">
        <f>SUMIF([1]SA007!$C:$C,'SA007 2025.01-2026.05 '!$D237,[1]SA007!P:P)</f>
        <v>345</v>
      </c>
      <c r="AB237" s="18">
        <f>SUMIF([1]SA007!$C:$C,'SA007 2025.01-2026.05 '!$D237,[1]SA007!Q:Q)</f>
        <v>0</v>
      </c>
      <c r="AC237" s="19">
        <f t="shared" si="9"/>
        <v>1938</v>
      </c>
      <c r="AD237" s="19">
        <f t="shared" si="10"/>
        <v>114</v>
      </c>
      <c r="AE237" s="20" t="e">
        <v>#N/A</v>
      </c>
      <c r="AG237" s="21">
        <f>SUMIF([1]SO003!$H:$H,'SA007 2025.01-2026.05 '!$D237,[1]SO003!AF:AF)</f>
        <v>0</v>
      </c>
      <c r="AH237" s="21">
        <f>SUMIF([1]SO003!$H:$H,'SA007 2025.01-2026.05 '!$D237,[1]SO003!AH:AH)</f>
        <v>0</v>
      </c>
      <c r="AI237" s="21">
        <f>SUMIF([1]SO003!$H:$H,'SA007 2025.01-2026.05 '!$D237,[1]SO003!AJ:AJ)</f>
        <v>0</v>
      </c>
    </row>
    <row r="238" spans="1:35" ht="11.45" customHeight="1" x14ac:dyDescent="0.55000000000000004">
      <c r="A238" s="2" t="s">
        <v>280</v>
      </c>
      <c r="B238" s="2" t="s">
        <v>77</v>
      </c>
      <c r="C238" s="2" t="s">
        <v>77</v>
      </c>
      <c r="D238" s="2" t="s">
        <v>598</v>
      </c>
      <c r="E238" s="2" t="s">
        <v>182</v>
      </c>
      <c r="F238" s="2" t="s">
        <v>182</v>
      </c>
      <c r="G238" s="3" t="s">
        <v>39</v>
      </c>
      <c r="H238" s="2" t="s">
        <v>599</v>
      </c>
      <c r="I238" s="17">
        <v>1.5</v>
      </c>
      <c r="J238" s="3">
        <v>66.400000000000006</v>
      </c>
      <c r="K238" s="3">
        <v>1220</v>
      </c>
      <c r="L238" s="18">
        <v>0</v>
      </c>
      <c r="M238" s="18">
        <v>0</v>
      </c>
      <c r="N238" s="18">
        <v>58</v>
      </c>
      <c r="O238" s="18">
        <v>0</v>
      </c>
      <c r="P238" s="18">
        <v>0</v>
      </c>
      <c r="Q238" s="18">
        <v>0</v>
      </c>
      <c r="R238" s="18">
        <v>50</v>
      </c>
      <c r="S238" s="18">
        <v>29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f>SUMIF([1]SA007!$C:$C,'SA007 2025.01-2026.05 '!$D238,[1]SA007!P:P)</f>
        <v>0</v>
      </c>
      <c r="AB238" s="18">
        <f>SUMIF([1]SA007!$C:$C,'SA007 2025.01-2026.05 '!$D238,[1]SA007!Q:Q)</f>
        <v>0</v>
      </c>
      <c r="AC238" s="19">
        <f t="shared" si="9"/>
        <v>137</v>
      </c>
      <c r="AD238" s="19">
        <f t="shared" si="10"/>
        <v>8.0588235294117645</v>
      </c>
      <c r="AE238" s="20" t="e">
        <v>#N/A</v>
      </c>
      <c r="AG238" s="21">
        <f>SUMIF([1]SO003!$H:$H,'SA007 2025.01-2026.05 '!$D238,[1]SO003!AF:AF)</f>
        <v>0</v>
      </c>
      <c r="AH238" s="21">
        <f>SUMIF([1]SO003!$H:$H,'SA007 2025.01-2026.05 '!$D238,[1]SO003!AH:AH)</f>
        <v>0</v>
      </c>
      <c r="AI238" s="21">
        <f>SUMIF([1]SO003!$H:$H,'SA007 2025.01-2026.05 '!$D238,[1]SO003!AJ:AJ)</f>
        <v>0</v>
      </c>
    </row>
    <row r="239" spans="1:35" ht="11.45" customHeight="1" x14ac:dyDescent="0.55000000000000004">
      <c r="A239" s="2" t="s">
        <v>280</v>
      </c>
      <c r="B239" s="2" t="s">
        <v>77</v>
      </c>
      <c r="C239" s="2" t="s">
        <v>77</v>
      </c>
      <c r="D239" s="2" t="s">
        <v>600</v>
      </c>
      <c r="E239" s="2" t="s">
        <v>182</v>
      </c>
      <c r="F239" s="2" t="s">
        <v>182</v>
      </c>
      <c r="G239" s="3" t="s">
        <v>39</v>
      </c>
      <c r="H239" s="2" t="s">
        <v>599</v>
      </c>
      <c r="I239" s="17">
        <v>1.5</v>
      </c>
      <c r="J239" s="3">
        <v>276</v>
      </c>
      <c r="K239" s="3">
        <v>445</v>
      </c>
      <c r="L239" s="18">
        <v>0</v>
      </c>
      <c r="M239" s="18">
        <v>0</v>
      </c>
      <c r="N239" s="18">
        <v>294</v>
      </c>
      <c r="O239" s="18">
        <v>0</v>
      </c>
      <c r="P239" s="18">
        <v>1443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f>SUMIF([1]SA007!$C:$C,'SA007 2025.01-2026.05 '!$D239,[1]SA007!P:P)</f>
        <v>0</v>
      </c>
      <c r="AB239" s="18">
        <f>SUMIF([1]SA007!$C:$C,'SA007 2025.01-2026.05 '!$D239,[1]SA007!Q:Q)</f>
        <v>0</v>
      </c>
      <c r="AC239" s="19">
        <f t="shared" si="9"/>
        <v>1737</v>
      </c>
      <c r="AD239" s="19">
        <f t="shared" si="10"/>
        <v>102.17647058823529</v>
      </c>
      <c r="AE239" s="20" t="s">
        <v>48</v>
      </c>
      <c r="AG239" s="21">
        <f>SUMIF([1]SO003!$H:$H,'SA007 2025.01-2026.05 '!$D239,[1]SO003!AF:AF)</f>
        <v>0</v>
      </c>
      <c r="AH239" s="21">
        <f>SUMIF([1]SO003!$H:$H,'SA007 2025.01-2026.05 '!$D239,[1]SO003!AH:AH)</f>
        <v>0</v>
      </c>
      <c r="AI239" s="21">
        <f>SUMIF([1]SO003!$H:$H,'SA007 2025.01-2026.05 '!$D239,[1]SO003!AJ:AJ)</f>
        <v>0</v>
      </c>
    </row>
    <row r="240" spans="1:35" ht="11.45" customHeight="1" x14ac:dyDescent="0.55000000000000004">
      <c r="A240" s="2" t="s">
        <v>356</v>
      </c>
      <c r="B240" s="2" t="s">
        <v>61</v>
      </c>
      <c r="C240" s="2" t="s">
        <v>61</v>
      </c>
      <c r="D240" s="2" t="s">
        <v>601</v>
      </c>
      <c r="E240" s="2" t="s">
        <v>182</v>
      </c>
      <c r="F240" s="2" t="s">
        <v>182</v>
      </c>
      <c r="G240" s="3" t="s">
        <v>63</v>
      </c>
      <c r="H240" s="2" t="s">
        <v>61</v>
      </c>
      <c r="I240" s="17">
        <v>2</v>
      </c>
      <c r="J240" s="3">
        <v>145</v>
      </c>
      <c r="K240" s="3">
        <v>537</v>
      </c>
      <c r="L240" s="18">
        <v>0</v>
      </c>
      <c r="M240" s="18">
        <v>140</v>
      </c>
      <c r="N240" s="18">
        <v>0</v>
      </c>
      <c r="O240" s="18">
        <v>102</v>
      </c>
      <c r="P240" s="18">
        <v>0</v>
      </c>
      <c r="Q240" s="18">
        <v>371</v>
      </c>
      <c r="R240" s="18">
        <v>0</v>
      </c>
      <c r="S240" s="18">
        <v>0</v>
      </c>
      <c r="T240" s="18">
        <v>187</v>
      </c>
      <c r="U240" s="18">
        <v>0</v>
      </c>
      <c r="V240" s="18">
        <v>0</v>
      </c>
      <c r="W240" s="18">
        <v>0</v>
      </c>
      <c r="X240" s="18">
        <v>190</v>
      </c>
      <c r="Y240" s="18">
        <v>0</v>
      </c>
      <c r="Z240" s="18">
        <v>281</v>
      </c>
      <c r="AA240" s="18">
        <f>SUMIF([1]SA007!$C:$C,'SA007 2025.01-2026.05 '!$D240,[1]SA007!P:P)</f>
        <v>0</v>
      </c>
      <c r="AB240" s="18">
        <f>SUMIF([1]SA007!$C:$C,'SA007 2025.01-2026.05 '!$D240,[1]SA007!Q:Q)</f>
        <v>0</v>
      </c>
      <c r="AC240" s="19">
        <f t="shared" si="9"/>
        <v>1271</v>
      </c>
      <c r="AD240" s="19">
        <f t="shared" si="10"/>
        <v>74.764705882352942</v>
      </c>
      <c r="AE240" s="20" t="s">
        <v>602</v>
      </c>
      <c r="AG240" s="21">
        <f>SUMIF([1]SO003!$H:$H,'SA007 2025.01-2026.05 '!$D240,[1]SO003!AF:AF)</f>
        <v>0</v>
      </c>
      <c r="AH240" s="21">
        <f>SUMIF([1]SO003!$H:$H,'SA007 2025.01-2026.05 '!$D240,[1]SO003!AH:AH)</f>
        <v>0</v>
      </c>
      <c r="AI240" s="21">
        <f>SUMIF([1]SO003!$H:$H,'SA007 2025.01-2026.05 '!$D240,[1]SO003!AJ:AJ)</f>
        <v>0</v>
      </c>
    </row>
    <row r="241" spans="1:35" ht="11.45" customHeight="1" x14ac:dyDescent="0.55000000000000004">
      <c r="A241" s="2" t="s">
        <v>280</v>
      </c>
      <c r="B241" s="2" t="s">
        <v>77</v>
      </c>
      <c r="C241" s="2" t="s">
        <v>77</v>
      </c>
      <c r="D241" s="2" t="s">
        <v>603</v>
      </c>
      <c r="E241" s="2" t="s">
        <v>182</v>
      </c>
      <c r="F241" s="2" t="s">
        <v>182</v>
      </c>
      <c r="G241" s="3" t="s">
        <v>39</v>
      </c>
      <c r="H241" s="2" t="s">
        <v>595</v>
      </c>
      <c r="I241" s="17">
        <v>1.5</v>
      </c>
      <c r="J241" s="3">
        <v>135</v>
      </c>
      <c r="K241" s="3">
        <v>641</v>
      </c>
      <c r="L241" s="18">
        <v>320</v>
      </c>
      <c r="M241" s="18">
        <v>316</v>
      </c>
      <c r="N241" s="18">
        <v>313</v>
      </c>
      <c r="O241" s="18">
        <v>0</v>
      </c>
      <c r="P241" s="18">
        <v>330</v>
      </c>
      <c r="Q241" s="18">
        <v>310</v>
      </c>
      <c r="R241" s="18">
        <v>324</v>
      </c>
      <c r="S241" s="18">
        <v>0</v>
      </c>
      <c r="T241" s="18">
        <v>305</v>
      </c>
      <c r="U241" s="18">
        <v>0</v>
      </c>
      <c r="V241" s="18">
        <v>354</v>
      </c>
      <c r="W241" s="18">
        <v>110</v>
      </c>
      <c r="X241" s="18">
        <v>634</v>
      </c>
      <c r="Y241" s="18">
        <v>0</v>
      </c>
      <c r="Z241" s="18">
        <v>521</v>
      </c>
      <c r="AA241" s="18">
        <f>SUMIF([1]SA007!$C:$C,'SA007 2025.01-2026.05 '!$D241,[1]SA007!P:P)</f>
        <v>607</v>
      </c>
      <c r="AB241" s="18">
        <f>SUMIF([1]SA007!$C:$C,'SA007 2025.01-2026.05 '!$D241,[1]SA007!Q:Q)</f>
        <v>0</v>
      </c>
      <c r="AC241" s="19">
        <f t="shared" si="9"/>
        <v>4444</v>
      </c>
      <c r="AD241" s="19">
        <f t="shared" si="10"/>
        <v>261.41176470588238</v>
      </c>
      <c r="AE241" s="20" t="s">
        <v>604</v>
      </c>
      <c r="AG241" s="21">
        <f>SUMIF([1]SO003!$H:$H,'SA007 2025.01-2026.05 '!$D241,[1]SO003!AF:AF)</f>
        <v>305.68488749999995</v>
      </c>
      <c r="AH241" s="21">
        <f>SUMIF([1]SO003!$H:$H,'SA007 2025.01-2026.05 '!$D241,[1]SO003!AH:AH)</f>
        <v>305.68488749999995</v>
      </c>
      <c r="AI241" s="21">
        <f>SUMIF([1]SO003!$H:$H,'SA007 2025.01-2026.05 '!$D241,[1]SO003!AJ:AJ)</f>
        <v>0</v>
      </c>
    </row>
    <row r="242" spans="1:35" ht="11.45" customHeight="1" x14ac:dyDescent="0.55000000000000004">
      <c r="A242" s="2" t="s">
        <v>280</v>
      </c>
      <c r="B242" s="2" t="s">
        <v>77</v>
      </c>
      <c r="C242" s="2" t="s">
        <v>77</v>
      </c>
      <c r="D242" s="2" t="s">
        <v>605</v>
      </c>
      <c r="E242" s="2" t="s">
        <v>182</v>
      </c>
      <c r="F242" s="2" t="s">
        <v>182</v>
      </c>
      <c r="G242" s="3" t="s">
        <v>39</v>
      </c>
      <c r="H242" s="2" t="s">
        <v>595</v>
      </c>
      <c r="I242" s="17">
        <v>1.5</v>
      </c>
      <c r="J242" s="3">
        <v>151</v>
      </c>
      <c r="K242" s="3">
        <v>1220</v>
      </c>
      <c r="L242" s="18">
        <v>0</v>
      </c>
      <c r="M242" s="18">
        <v>218</v>
      </c>
      <c r="N242" s="18">
        <v>0</v>
      </c>
      <c r="O242" s="18">
        <v>0</v>
      </c>
      <c r="P242" s="18">
        <v>215</v>
      </c>
      <c r="Q242" s="18">
        <v>0</v>
      </c>
      <c r="R242" s="18">
        <v>224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f>SUMIF([1]SA007!$C:$C,'SA007 2025.01-2026.05 '!$D242,[1]SA007!P:P)</f>
        <v>0</v>
      </c>
      <c r="AB242" s="18">
        <f>SUMIF([1]SA007!$C:$C,'SA007 2025.01-2026.05 '!$D242,[1]SA007!Q:Q)</f>
        <v>0</v>
      </c>
      <c r="AC242" s="19">
        <f t="shared" si="9"/>
        <v>657</v>
      </c>
      <c r="AD242" s="19">
        <f t="shared" si="10"/>
        <v>38.647058823529413</v>
      </c>
      <c r="AE242" s="20" t="s">
        <v>606</v>
      </c>
      <c r="AG242" s="21">
        <f>SUMIF([1]SO003!$H:$H,'SA007 2025.01-2026.05 '!$D242,[1]SO003!AF:AF)</f>
        <v>0</v>
      </c>
      <c r="AH242" s="21">
        <f>SUMIF([1]SO003!$H:$H,'SA007 2025.01-2026.05 '!$D242,[1]SO003!AH:AH)</f>
        <v>0</v>
      </c>
      <c r="AI242" s="21">
        <f>SUMIF([1]SO003!$H:$H,'SA007 2025.01-2026.05 '!$D242,[1]SO003!AJ:AJ)</f>
        <v>0</v>
      </c>
    </row>
    <row r="243" spans="1:35" ht="11.45" customHeight="1" x14ac:dyDescent="0.55000000000000004">
      <c r="A243" s="2" t="s">
        <v>280</v>
      </c>
      <c r="B243" s="2" t="s">
        <v>77</v>
      </c>
      <c r="C243" s="2" t="s">
        <v>77</v>
      </c>
      <c r="D243" s="2" t="s">
        <v>607</v>
      </c>
      <c r="E243" s="2" t="s">
        <v>182</v>
      </c>
      <c r="F243" s="2" t="s">
        <v>182</v>
      </c>
      <c r="G243" s="3" t="s">
        <v>39</v>
      </c>
      <c r="H243" s="2" t="s">
        <v>595</v>
      </c>
      <c r="I243" s="17">
        <v>1.5</v>
      </c>
      <c r="J243" s="3">
        <v>153</v>
      </c>
      <c r="K243" s="3">
        <v>1220</v>
      </c>
      <c r="L243" s="18">
        <v>0</v>
      </c>
      <c r="M243" s="18">
        <v>204</v>
      </c>
      <c r="N243" s="18">
        <v>0</v>
      </c>
      <c r="O243" s="18">
        <v>0</v>
      </c>
      <c r="P243" s="18">
        <v>190</v>
      </c>
      <c r="Q243" s="18">
        <v>0</v>
      </c>
      <c r="R243" s="18">
        <v>190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f>SUMIF([1]SA007!$C:$C,'SA007 2025.01-2026.05 '!$D243,[1]SA007!P:P)</f>
        <v>0</v>
      </c>
      <c r="AB243" s="18">
        <f>SUMIF([1]SA007!$C:$C,'SA007 2025.01-2026.05 '!$D243,[1]SA007!Q:Q)</f>
        <v>0</v>
      </c>
      <c r="AC243" s="19">
        <f t="shared" si="9"/>
        <v>584</v>
      </c>
      <c r="AD243" s="19">
        <f t="shared" si="10"/>
        <v>34.352941176470587</v>
      </c>
      <c r="AE243" s="20" t="s">
        <v>606</v>
      </c>
      <c r="AG243" s="21">
        <f>SUMIF([1]SO003!$H:$H,'SA007 2025.01-2026.05 '!$D243,[1]SO003!AF:AF)</f>
        <v>0</v>
      </c>
      <c r="AH243" s="21">
        <f>SUMIF([1]SO003!$H:$H,'SA007 2025.01-2026.05 '!$D243,[1]SO003!AH:AH)</f>
        <v>0</v>
      </c>
      <c r="AI243" s="21">
        <f>SUMIF([1]SO003!$H:$H,'SA007 2025.01-2026.05 '!$D243,[1]SO003!AJ:AJ)</f>
        <v>0</v>
      </c>
    </row>
    <row r="244" spans="1:35" ht="11.45" customHeight="1" x14ac:dyDescent="0.55000000000000004">
      <c r="A244" s="2" t="s">
        <v>364</v>
      </c>
      <c r="B244" s="2" t="s">
        <v>365</v>
      </c>
      <c r="C244" s="2" t="s">
        <v>365</v>
      </c>
      <c r="D244" s="2" t="s">
        <v>608</v>
      </c>
      <c r="E244" s="2" t="s">
        <v>182</v>
      </c>
      <c r="F244" s="2" t="s">
        <v>182</v>
      </c>
      <c r="G244" s="3" t="s">
        <v>47</v>
      </c>
      <c r="H244" s="2" t="s">
        <v>469</v>
      </c>
      <c r="I244" s="17">
        <v>2</v>
      </c>
      <c r="J244" s="3">
        <v>192</v>
      </c>
      <c r="K244" s="3">
        <v>1220</v>
      </c>
      <c r="L244" s="18">
        <v>0</v>
      </c>
      <c r="M244" s="18">
        <v>307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f>SUMIF([1]SA007!$C:$C,'SA007 2025.01-2026.05 '!$D244,[1]SA007!P:P)</f>
        <v>0</v>
      </c>
      <c r="AB244" s="18">
        <f>SUMIF([1]SA007!$C:$C,'SA007 2025.01-2026.05 '!$D244,[1]SA007!Q:Q)</f>
        <v>0</v>
      </c>
      <c r="AC244" s="19">
        <f t="shared" si="9"/>
        <v>307</v>
      </c>
      <c r="AD244" s="19">
        <f t="shared" si="10"/>
        <v>18.058823529411764</v>
      </c>
      <c r="AE244" s="20" t="s">
        <v>609</v>
      </c>
      <c r="AG244" s="21">
        <f>SUMIF([1]SO003!$H:$H,'SA007 2025.01-2026.05 '!$D244,[1]SO003!AF:AF)</f>
        <v>0</v>
      </c>
      <c r="AH244" s="21">
        <f>SUMIF([1]SO003!$H:$H,'SA007 2025.01-2026.05 '!$D244,[1]SO003!AH:AH)</f>
        <v>0</v>
      </c>
      <c r="AI244" s="21">
        <f>SUMIF([1]SO003!$H:$H,'SA007 2025.01-2026.05 '!$D244,[1]SO003!AJ:AJ)</f>
        <v>0</v>
      </c>
    </row>
    <row r="245" spans="1:35" ht="11.45" customHeight="1" x14ac:dyDescent="0.55000000000000004">
      <c r="A245" s="2" t="s">
        <v>280</v>
      </c>
      <c r="B245" s="2" t="s">
        <v>77</v>
      </c>
      <c r="C245" s="2" t="s">
        <v>77</v>
      </c>
      <c r="D245" s="2" t="s">
        <v>610</v>
      </c>
      <c r="E245" s="2" t="s">
        <v>182</v>
      </c>
      <c r="F245" s="2" t="s">
        <v>182</v>
      </c>
      <c r="G245" s="3" t="s">
        <v>39</v>
      </c>
      <c r="H245" s="2" t="s">
        <v>595</v>
      </c>
      <c r="I245" s="17">
        <v>1.5</v>
      </c>
      <c r="J245" s="3">
        <v>168</v>
      </c>
      <c r="K245" s="3">
        <v>1220</v>
      </c>
      <c r="L245" s="18">
        <v>0</v>
      </c>
      <c r="M245" s="18">
        <v>150</v>
      </c>
      <c r="N245" s="18">
        <v>0</v>
      </c>
      <c r="O245" s="18">
        <v>0</v>
      </c>
      <c r="P245" s="18">
        <v>143</v>
      </c>
      <c r="Q245" s="18">
        <v>0</v>
      </c>
      <c r="R245" s="18">
        <v>180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f>SUMIF([1]SA007!$C:$C,'SA007 2025.01-2026.05 '!$D245,[1]SA007!P:P)</f>
        <v>0</v>
      </c>
      <c r="AB245" s="18">
        <f>SUMIF([1]SA007!$C:$C,'SA007 2025.01-2026.05 '!$D245,[1]SA007!Q:Q)</f>
        <v>0</v>
      </c>
      <c r="AC245" s="19">
        <f t="shared" si="9"/>
        <v>473</v>
      </c>
      <c r="AD245" s="19">
        <f t="shared" si="10"/>
        <v>27.823529411764707</v>
      </c>
      <c r="AE245" s="20" t="s">
        <v>564</v>
      </c>
      <c r="AG245" s="21">
        <f>SUMIF([1]SO003!$H:$H,'SA007 2025.01-2026.05 '!$D245,[1]SO003!AF:AF)</f>
        <v>0</v>
      </c>
      <c r="AH245" s="21">
        <f>SUMIF([1]SO003!$H:$H,'SA007 2025.01-2026.05 '!$D245,[1]SO003!AH:AH)</f>
        <v>0</v>
      </c>
      <c r="AI245" s="21">
        <f>SUMIF([1]SO003!$H:$H,'SA007 2025.01-2026.05 '!$D245,[1]SO003!AJ:AJ)</f>
        <v>0</v>
      </c>
    </row>
    <row r="246" spans="1:35" ht="11.45" customHeight="1" x14ac:dyDescent="0.55000000000000004">
      <c r="A246" s="2" t="s">
        <v>280</v>
      </c>
      <c r="B246" s="2" t="s">
        <v>77</v>
      </c>
      <c r="C246" s="2" t="s">
        <v>77</v>
      </c>
      <c r="D246" s="2" t="s">
        <v>611</v>
      </c>
      <c r="E246" s="2" t="s">
        <v>182</v>
      </c>
      <c r="F246" s="2" t="s">
        <v>182</v>
      </c>
      <c r="G246" s="3" t="s">
        <v>39</v>
      </c>
      <c r="H246" s="2" t="s">
        <v>612</v>
      </c>
      <c r="I246" s="17">
        <v>1.5</v>
      </c>
      <c r="J246" s="3">
        <v>552</v>
      </c>
      <c r="K246" s="3">
        <v>46</v>
      </c>
      <c r="L246" s="18">
        <v>3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f>SUMIF([1]SA007!$C:$C,'SA007 2025.01-2026.05 '!$D246,[1]SA007!P:P)</f>
        <v>0</v>
      </c>
      <c r="AB246" s="18">
        <f>SUMIF([1]SA007!$C:$C,'SA007 2025.01-2026.05 '!$D246,[1]SA007!Q:Q)</f>
        <v>0</v>
      </c>
      <c r="AC246" s="19">
        <f t="shared" si="9"/>
        <v>3</v>
      </c>
      <c r="AD246" s="19">
        <f t="shared" si="10"/>
        <v>0.17647058823529413</v>
      </c>
      <c r="AE246" s="20" t="e">
        <v>#N/A</v>
      </c>
      <c r="AG246" s="21">
        <f>SUMIF([1]SO003!$H:$H,'SA007 2025.01-2026.05 '!$D246,[1]SO003!AF:AF)</f>
        <v>0</v>
      </c>
      <c r="AH246" s="21">
        <f>SUMIF([1]SO003!$H:$H,'SA007 2025.01-2026.05 '!$D246,[1]SO003!AH:AH)</f>
        <v>0</v>
      </c>
      <c r="AI246" s="21">
        <f>SUMIF([1]SO003!$H:$H,'SA007 2025.01-2026.05 '!$D246,[1]SO003!AJ:AJ)</f>
        <v>0</v>
      </c>
    </row>
    <row r="247" spans="1:35" ht="11.45" customHeight="1" x14ac:dyDescent="0.55000000000000004">
      <c r="A247" s="2" t="s">
        <v>157</v>
      </c>
      <c r="B247" s="2" t="s">
        <v>67</v>
      </c>
      <c r="C247" s="2" t="s">
        <v>67</v>
      </c>
      <c r="D247" s="2" t="s">
        <v>613</v>
      </c>
      <c r="E247" s="2" t="s">
        <v>185</v>
      </c>
      <c r="F247" s="2" t="s">
        <v>185</v>
      </c>
      <c r="G247" s="3" t="s">
        <v>57</v>
      </c>
      <c r="H247" s="2" t="s">
        <v>67</v>
      </c>
      <c r="I247" s="17">
        <v>0.8</v>
      </c>
      <c r="J247" s="3">
        <v>270</v>
      </c>
      <c r="K247" s="3">
        <v>1219</v>
      </c>
      <c r="L247" s="18">
        <v>0</v>
      </c>
      <c r="M247" s="18">
        <v>0</v>
      </c>
      <c r="N247" s="18">
        <v>269</v>
      </c>
      <c r="O247" s="18">
        <v>0</v>
      </c>
      <c r="P247" s="18">
        <v>1046</v>
      </c>
      <c r="Q247" s="18">
        <v>0</v>
      </c>
      <c r="R247" s="18">
        <v>1012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f>SUMIF([1]SA007!$C:$C,'SA007 2025.01-2026.05 '!$D247,[1]SA007!P:P)</f>
        <v>0</v>
      </c>
      <c r="AB247" s="18">
        <f>SUMIF([1]SA007!$C:$C,'SA007 2025.01-2026.05 '!$D247,[1]SA007!Q:Q)</f>
        <v>0</v>
      </c>
      <c r="AC247" s="19">
        <f t="shared" si="9"/>
        <v>2327</v>
      </c>
      <c r="AD247" s="19">
        <f t="shared" si="10"/>
        <v>136.88235294117646</v>
      </c>
      <c r="AE247" s="20" t="s">
        <v>614</v>
      </c>
      <c r="AG247" s="21">
        <f>SUMIF([1]SO003!$H:$H,'SA007 2025.01-2026.05 '!$D247,[1]SO003!AF:AF)</f>
        <v>0</v>
      </c>
      <c r="AH247" s="21">
        <f>SUMIF([1]SO003!$H:$H,'SA007 2025.01-2026.05 '!$D247,[1]SO003!AH:AH)</f>
        <v>0</v>
      </c>
      <c r="AI247" s="21">
        <f>SUMIF([1]SO003!$H:$H,'SA007 2025.01-2026.05 '!$D247,[1]SO003!AJ:AJ)</f>
        <v>0</v>
      </c>
    </row>
    <row r="248" spans="1:35" ht="11.45" customHeight="1" x14ac:dyDescent="0.55000000000000004">
      <c r="A248" s="2" t="s">
        <v>66</v>
      </c>
      <c r="B248" s="2" t="s">
        <v>67</v>
      </c>
      <c r="C248" s="2" t="s">
        <v>67</v>
      </c>
      <c r="D248" s="2" t="s">
        <v>615</v>
      </c>
      <c r="E248" s="2" t="s">
        <v>69</v>
      </c>
      <c r="F248" s="2" t="s">
        <v>69</v>
      </c>
      <c r="G248" s="3" t="s">
        <v>57</v>
      </c>
      <c r="H248" s="2" t="s">
        <v>67</v>
      </c>
      <c r="I248" s="17">
        <v>0.8</v>
      </c>
      <c r="J248" s="3">
        <v>63.5</v>
      </c>
      <c r="K248" s="3">
        <v>289.2</v>
      </c>
      <c r="L248" s="18">
        <v>0</v>
      </c>
      <c r="M248" s="18">
        <v>0</v>
      </c>
      <c r="N248" s="18">
        <v>342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f>SUMIF([1]SA007!$C:$C,'SA007 2025.01-2026.05 '!$D248,[1]SA007!P:P)</f>
        <v>0</v>
      </c>
      <c r="AB248" s="18">
        <f>SUMIF([1]SA007!$C:$C,'SA007 2025.01-2026.05 '!$D248,[1]SA007!Q:Q)</f>
        <v>0</v>
      </c>
      <c r="AC248" s="19">
        <f t="shared" si="9"/>
        <v>342</v>
      </c>
      <c r="AD248" s="19">
        <f t="shared" si="10"/>
        <v>20.117647058823529</v>
      </c>
      <c r="AE248" s="20" t="s">
        <v>166</v>
      </c>
      <c r="AG248" s="21">
        <f>SUMIF([1]SO003!$H:$H,'SA007 2025.01-2026.05 '!$D248,[1]SO003!AF:AF)</f>
        <v>0</v>
      </c>
      <c r="AH248" s="21">
        <f>SUMIF([1]SO003!$H:$H,'SA007 2025.01-2026.05 '!$D248,[1]SO003!AH:AH)</f>
        <v>0</v>
      </c>
      <c r="AI248" s="21">
        <f>SUMIF([1]SO003!$H:$H,'SA007 2025.01-2026.05 '!$D248,[1]SO003!AJ:AJ)</f>
        <v>0</v>
      </c>
    </row>
    <row r="249" spans="1:35" ht="11.45" customHeight="1" x14ac:dyDescent="0.55000000000000004">
      <c r="A249" s="2" t="s">
        <v>356</v>
      </c>
      <c r="B249" s="2" t="s">
        <v>61</v>
      </c>
      <c r="C249" s="2" t="s">
        <v>61</v>
      </c>
      <c r="D249" s="2" t="s">
        <v>616</v>
      </c>
      <c r="E249" s="2" t="s">
        <v>428</v>
      </c>
      <c r="F249" s="2" t="s">
        <v>428</v>
      </c>
      <c r="G249" s="3" t="s">
        <v>63</v>
      </c>
      <c r="H249" s="2" t="s">
        <v>617</v>
      </c>
      <c r="I249" s="17">
        <v>2</v>
      </c>
      <c r="J249" s="3">
        <v>42</v>
      </c>
      <c r="K249" s="3" t="s">
        <v>41</v>
      </c>
      <c r="L249" s="18">
        <v>0</v>
      </c>
      <c r="M249" s="18">
        <v>0</v>
      </c>
      <c r="N249" s="18">
        <v>502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f>SUMIF([1]SA007!$C:$C,'SA007 2025.01-2026.05 '!$D249,[1]SA007!P:P)</f>
        <v>0</v>
      </c>
      <c r="AB249" s="18">
        <f>SUMIF([1]SA007!$C:$C,'SA007 2025.01-2026.05 '!$D249,[1]SA007!Q:Q)</f>
        <v>0</v>
      </c>
      <c r="AC249" s="19">
        <f t="shared" si="9"/>
        <v>502</v>
      </c>
      <c r="AD249" s="19">
        <f t="shared" si="10"/>
        <v>29.529411764705884</v>
      </c>
      <c r="AE249" s="20" t="s">
        <v>618</v>
      </c>
      <c r="AG249" s="21">
        <f>SUMIF([1]SO003!$H:$H,'SA007 2025.01-2026.05 '!$D249,[1]SO003!AF:AF)</f>
        <v>0</v>
      </c>
      <c r="AH249" s="21">
        <f>SUMIF([1]SO003!$H:$H,'SA007 2025.01-2026.05 '!$D249,[1]SO003!AH:AH)</f>
        <v>0</v>
      </c>
      <c r="AI249" s="21">
        <f>SUMIF([1]SO003!$H:$H,'SA007 2025.01-2026.05 '!$D249,[1]SO003!AJ:AJ)</f>
        <v>0</v>
      </c>
    </row>
    <row r="250" spans="1:35" ht="11.45" customHeight="1" x14ac:dyDescent="0.55000000000000004">
      <c r="A250" s="2" t="s">
        <v>356</v>
      </c>
      <c r="B250" s="2" t="s">
        <v>61</v>
      </c>
      <c r="C250" s="2" t="s">
        <v>61</v>
      </c>
      <c r="D250" s="2" t="s">
        <v>619</v>
      </c>
      <c r="E250" s="2" t="s">
        <v>428</v>
      </c>
      <c r="F250" s="2" t="s">
        <v>428</v>
      </c>
      <c r="G250" s="3" t="s">
        <v>63</v>
      </c>
      <c r="H250" s="2" t="s">
        <v>61</v>
      </c>
      <c r="I250" s="17">
        <v>2</v>
      </c>
      <c r="J250" s="3">
        <v>62</v>
      </c>
      <c r="K250" s="3" t="s">
        <v>41</v>
      </c>
      <c r="L250" s="18">
        <v>441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f>SUMIF([1]SA007!$C:$C,'SA007 2025.01-2026.05 '!$D250,[1]SA007!P:P)</f>
        <v>0</v>
      </c>
      <c r="AB250" s="18">
        <f>SUMIF([1]SA007!$C:$C,'SA007 2025.01-2026.05 '!$D250,[1]SA007!Q:Q)</f>
        <v>0</v>
      </c>
      <c r="AC250" s="19">
        <f t="shared" si="9"/>
        <v>441</v>
      </c>
      <c r="AD250" s="19">
        <f t="shared" si="10"/>
        <v>25.941176470588236</v>
      </c>
      <c r="AE250" s="20" t="s">
        <v>620</v>
      </c>
      <c r="AG250" s="21">
        <f>SUMIF([1]SO003!$H:$H,'SA007 2025.01-2026.05 '!$D250,[1]SO003!AF:AF)</f>
        <v>0</v>
      </c>
      <c r="AH250" s="21">
        <f>SUMIF([1]SO003!$H:$H,'SA007 2025.01-2026.05 '!$D250,[1]SO003!AH:AH)</f>
        <v>0</v>
      </c>
      <c r="AI250" s="21">
        <f>SUMIF([1]SO003!$H:$H,'SA007 2025.01-2026.05 '!$D250,[1]SO003!AJ:AJ)</f>
        <v>0</v>
      </c>
    </row>
    <row r="251" spans="1:35" ht="11.45" customHeight="1" x14ac:dyDescent="0.55000000000000004">
      <c r="A251" s="2" t="s">
        <v>514</v>
      </c>
      <c r="B251" s="2" t="s">
        <v>510</v>
      </c>
      <c r="C251" s="2" t="s">
        <v>510</v>
      </c>
      <c r="D251" s="2" t="s">
        <v>621</v>
      </c>
      <c r="E251" s="2" t="s">
        <v>129</v>
      </c>
      <c r="F251" s="2" t="s">
        <v>129</v>
      </c>
      <c r="G251" s="3" t="s">
        <v>47</v>
      </c>
      <c r="H251" s="2" t="s">
        <v>510</v>
      </c>
      <c r="I251" s="17">
        <v>7</v>
      </c>
      <c r="J251" s="3">
        <v>119</v>
      </c>
      <c r="K251" s="3">
        <v>1110</v>
      </c>
      <c r="L251" s="18">
        <v>574</v>
      </c>
      <c r="M251" s="18">
        <v>0</v>
      </c>
      <c r="N251" s="18">
        <v>0</v>
      </c>
      <c r="O251" s="18">
        <v>0</v>
      </c>
      <c r="P251" s="18">
        <v>529</v>
      </c>
      <c r="Q251" s="18">
        <v>506</v>
      </c>
      <c r="R251" s="18">
        <v>873</v>
      </c>
      <c r="S251" s="18">
        <v>0</v>
      </c>
      <c r="T251" s="18">
        <v>0</v>
      </c>
      <c r="U251" s="18">
        <v>726</v>
      </c>
      <c r="V251" s="18">
        <v>944</v>
      </c>
      <c r="W251" s="18">
        <v>512</v>
      </c>
      <c r="X251" s="18">
        <v>0</v>
      </c>
      <c r="Y251" s="18">
        <v>0</v>
      </c>
      <c r="Z251" s="18">
        <v>507</v>
      </c>
      <c r="AA251" s="18">
        <f>SUMIF([1]SA007!$C:$C,'SA007 2025.01-2026.05 '!$D251,[1]SA007!P:P)</f>
        <v>0</v>
      </c>
      <c r="AB251" s="18">
        <f>SUMIF([1]SA007!$C:$C,'SA007 2025.01-2026.05 '!$D251,[1]SA007!Q:Q)</f>
        <v>0</v>
      </c>
      <c r="AC251" s="19">
        <f t="shared" si="9"/>
        <v>5171</v>
      </c>
      <c r="AD251" s="19">
        <f t="shared" si="10"/>
        <v>304.1764705882353</v>
      </c>
      <c r="AE251" s="20" t="s">
        <v>459</v>
      </c>
      <c r="AG251" s="21">
        <f>SUMIF([1]SO003!$H:$H,'SA007 2025.01-2026.05 '!$D251,[1]SO003!AF:AF)</f>
        <v>0</v>
      </c>
      <c r="AH251" s="21">
        <f>SUMIF([1]SO003!$H:$H,'SA007 2025.01-2026.05 '!$D251,[1]SO003!AH:AH)</f>
        <v>0</v>
      </c>
      <c r="AI251" s="21">
        <f>SUMIF([1]SO003!$H:$H,'SA007 2025.01-2026.05 '!$D251,[1]SO003!AJ:AJ)</f>
        <v>0</v>
      </c>
    </row>
    <row r="252" spans="1:35" ht="11.45" customHeight="1" x14ac:dyDescent="0.55000000000000004">
      <c r="A252" s="2" t="s">
        <v>622</v>
      </c>
      <c r="B252" s="2" t="s">
        <v>623</v>
      </c>
      <c r="C252" s="2" t="s">
        <v>623</v>
      </c>
      <c r="D252" s="2" t="s">
        <v>624</v>
      </c>
      <c r="E252" s="2" t="s">
        <v>625</v>
      </c>
      <c r="F252" s="2" t="s">
        <v>625</v>
      </c>
      <c r="G252" s="3" t="s">
        <v>47</v>
      </c>
      <c r="H252" s="2" t="s">
        <v>626</v>
      </c>
      <c r="I252" s="17">
        <v>6</v>
      </c>
      <c r="J252" s="3">
        <v>95</v>
      </c>
      <c r="K252" s="3" t="s">
        <v>41</v>
      </c>
      <c r="L252" s="18">
        <v>8224</v>
      </c>
      <c r="M252" s="18">
        <v>0</v>
      </c>
      <c r="N252" s="18">
        <v>6274</v>
      </c>
      <c r="O252" s="18">
        <v>4464</v>
      </c>
      <c r="P252" s="18">
        <v>3952</v>
      </c>
      <c r="Q252" s="18">
        <v>5200</v>
      </c>
      <c r="R252" s="18">
        <v>6400</v>
      </c>
      <c r="S252" s="18">
        <v>7728</v>
      </c>
      <c r="T252" s="18">
        <v>6064</v>
      </c>
      <c r="U252" s="18">
        <v>0</v>
      </c>
      <c r="V252" s="18">
        <v>6328</v>
      </c>
      <c r="W252" s="18">
        <v>2250</v>
      </c>
      <c r="X252" s="18">
        <v>0</v>
      </c>
      <c r="Y252" s="18">
        <v>5691</v>
      </c>
      <c r="Z252" s="18">
        <v>5601</v>
      </c>
      <c r="AA252" s="18">
        <f>SUMIF([1]SA007!$C:$C,'SA007 2025.01-2026.05 '!$D252,[1]SA007!P:P)</f>
        <v>5460</v>
      </c>
      <c r="AB252" s="18">
        <f>SUMIF([1]SA007!$C:$C,'SA007 2025.01-2026.05 '!$D252,[1]SA007!Q:Q)</f>
        <v>5568</v>
      </c>
      <c r="AC252" s="19">
        <f t="shared" si="9"/>
        <v>79204</v>
      </c>
      <c r="AD252" s="19">
        <f t="shared" si="10"/>
        <v>4659.0588235294117</v>
      </c>
      <c r="AE252" s="20" t="s">
        <v>627</v>
      </c>
      <c r="AG252" s="21">
        <f>SUMIF([1]SO003!$H:$H,'SA007 2025.01-2026.05 '!$D252,[1]SO003!AF:AF)</f>
        <v>6000</v>
      </c>
      <c r="AH252" s="21">
        <f>SUMIF([1]SO003!$H:$H,'SA007 2025.01-2026.05 '!$D252,[1]SO003!AH:AH)</f>
        <v>11016</v>
      </c>
      <c r="AI252" s="21">
        <f>SUMIF([1]SO003!$H:$H,'SA007 2025.01-2026.05 '!$D252,[1]SO003!AJ:AJ)</f>
        <v>0</v>
      </c>
    </row>
    <row r="253" spans="1:35" ht="11.45" customHeight="1" x14ac:dyDescent="0.55000000000000004">
      <c r="A253" s="2" t="s">
        <v>571</v>
      </c>
      <c r="B253" s="2" t="s">
        <v>365</v>
      </c>
      <c r="C253" s="2" t="s">
        <v>365</v>
      </c>
      <c r="D253" s="2" t="s">
        <v>1</v>
      </c>
      <c r="E253" s="2" t="s">
        <v>428</v>
      </c>
      <c r="F253" s="2" t="s">
        <v>428</v>
      </c>
      <c r="G253" s="3" t="s">
        <v>47</v>
      </c>
      <c r="H253" s="2" t="s">
        <v>367</v>
      </c>
      <c r="I253" s="17">
        <v>4.5</v>
      </c>
      <c r="J253" s="3">
        <v>50</v>
      </c>
      <c r="K253" s="3" t="s">
        <v>41</v>
      </c>
      <c r="L253" s="18">
        <v>0</v>
      </c>
      <c r="M253" s="18">
        <v>0</v>
      </c>
      <c r="N253" s="18">
        <v>5033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1766</v>
      </c>
      <c r="U253" s="18">
        <v>2296</v>
      </c>
      <c r="V253" s="18">
        <v>1536</v>
      </c>
      <c r="W253" s="18">
        <v>3280</v>
      </c>
      <c r="X253" s="18">
        <v>2398</v>
      </c>
      <c r="Y253" s="18">
        <v>4596</v>
      </c>
      <c r="Z253" s="18">
        <v>4941</v>
      </c>
      <c r="AA253" s="18">
        <f>SUMIF([1]SA007!$C:$C,'SA007 2025.01-2026.05 '!$D253,[1]SA007!P:P)</f>
        <v>0</v>
      </c>
      <c r="AB253" s="18">
        <f>SUMIF([1]SA007!$C:$C,'SA007 2025.01-2026.05 '!$D253,[1]SA007!Q:Q)</f>
        <v>5344</v>
      </c>
      <c r="AC253" s="19">
        <f t="shared" si="9"/>
        <v>31190</v>
      </c>
      <c r="AD253" s="19">
        <f t="shared" si="10"/>
        <v>1834.7058823529412</v>
      </c>
      <c r="AE253" s="20" t="s">
        <v>628</v>
      </c>
      <c r="AG253" s="21">
        <f>SUMIF([1]SO003!$H:$H,'SA007 2025.01-2026.05 '!$D253,[1]SO003!AF:AF)</f>
        <v>1000</v>
      </c>
      <c r="AH253" s="21">
        <f>SUMIF([1]SO003!$H:$H,'SA007 2025.01-2026.05 '!$D253,[1]SO003!AH:AH)</f>
        <v>1140</v>
      </c>
      <c r="AI253" s="21">
        <f>SUMIF([1]SO003!$H:$H,'SA007 2025.01-2026.05 '!$D253,[1]SO003!AJ:AJ)</f>
        <v>0</v>
      </c>
    </row>
    <row r="254" spans="1:35" ht="11.45" customHeight="1" x14ac:dyDescent="0.55000000000000004">
      <c r="A254" s="2" t="s">
        <v>629</v>
      </c>
      <c r="B254" s="2" t="s">
        <v>61</v>
      </c>
      <c r="C254" s="2" t="s">
        <v>61</v>
      </c>
      <c r="D254" s="2" t="s">
        <v>630</v>
      </c>
      <c r="E254" s="2" t="s">
        <v>428</v>
      </c>
      <c r="F254" s="2" t="s">
        <v>428</v>
      </c>
      <c r="G254" s="3" t="s">
        <v>63</v>
      </c>
      <c r="H254" s="2" t="s">
        <v>147</v>
      </c>
      <c r="I254" s="17">
        <v>3</v>
      </c>
      <c r="J254" s="3">
        <v>60</v>
      </c>
      <c r="K254" s="3" t="s">
        <v>41</v>
      </c>
      <c r="L254" s="18">
        <v>1089</v>
      </c>
      <c r="M254" s="18">
        <v>1984</v>
      </c>
      <c r="N254" s="18">
        <v>1613</v>
      </c>
      <c r="O254" s="18">
        <v>1110</v>
      </c>
      <c r="P254" s="18">
        <v>0</v>
      </c>
      <c r="Q254" s="18">
        <v>4080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f>SUMIF([1]SA007!$C:$C,'SA007 2025.01-2026.05 '!$D254,[1]SA007!P:P)</f>
        <v>0</v>
      </c>
      <c r="AB254" s="18">
        <f>SUMIF([1]SA007!$C:$C,'SA007 2025.01-2026.05 '!$D254,[1]SA007!Q:Q)</f>
        <v>0</v>
      </c>
      <c r="AC254" s="19">
        <f t="shared" si="9"/>
        <v>9876</v>
      </c>
      <c r="AD254" s="19">
        <f t="shared" si="10"/>
        <v>580.94117647058829</v>
      </c>
      <c r="AE254" s="20" t="s">
        <v>631</v>
      </c>
      <c r="AG254" s="21">
        <f>SUMIF([1]SO003!$H:$H,'SA007 2025.01-2026.05 '!$D254,[1]SO003!AF:AF)</f>
        <v>0</v>
      </c>
      <c r="AH254" s="21">
        <f>SUMIF([1]SO003!$H:$H,'SA007 2025.01-2026.05 '!$D254,[1]SO003!AH:AH)</f>
        <v>0</v>
      </c>
      <c r="AI254" s="21">
        <f>SUMIF([1]SO003!$H:$H,'SA007 2025.01-2026.05 '!$D254,[1]SO003!AJ:AJ)</f>
        <v>0</v>
      </c>
    </row>
    <row r="255" spans="1:35" ht="11.45" customHeight="1" x14ac:dyDescent="0.55000000000000004">
      <c r="A255" s="2" t="s">
        <v>632</v>
      </c>
      <c r="B255" s="2" t="s">
        <v>365</v>
      </c>
      <c r="C255" s="2" t="s">
        <v>365</v>
      </c>
      <c r="D255" s="2" t="s">
        <v>633</v>
      </c>
      <c r="E255" s="2" t="s">
        <v>428</v>
      </c>
      <c r="F255" s="2" t="s">
        <v>428</v>
      </c>
      <c r="G255" s="3" t="s">
        <v>47</v>
      </c>
      <c r="H255" s="2" t="s">
        <v>367</v>
      </c>
      <c r="I255" s="17">
        <v>4.3499999999999996</v>
      </c>
      <c r="J255" s="3">
        <v>50</v>
      </c>
      <c r="K255" s="3" t="s">
        <v>41</v>
      </c>
      <c r="L255" s="18">
        <v>9029</v>
      </c>
      <c r="M255" s="18">
        <v>9675</v>
      </c>
      <c r="N255" s="18">
        <v>0</v>
      </c>
      <c r="O255" s="18">
        <v>7608</v>
      </c>
      <c r="P255" s="18">
        <v>4156</v>
      </c>
      <c r="Q255" s="18">
        <v>0</v>
      </c>
      <c r="R255" s="18">
        <v>9340</v>
      </c>
      <c r="S255" s="18">
        <v>8534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f>SUMIF([1]SA007!$C:$C,'SA007 2025.01-2026.05 '!$D255,[1]SA007!P:P)</f>
        <v>0</v>
      </c>
      <c r="AB255" s="18">
        <f>SUMIF([1]SA007!$C:$C,'SA007 2025.01-2026.05 '!$D255,[1]SA007!Q:Q)</f>
        <v>0</v>
      </c>
      <c r="AC255" s="19">
        <f t="shared" si="9"/>
        <v>48342</v>
      </c>
      <c r="AD255" s="19">
        <f t="shared" si="10"/>
        <v>2843.6470588235293</v>
      </c>
      <c r="AE255" s="20" t="s">
        <v>634</v>
      </c>
      <c r="AG255" s="21">
        <f>SUMIF([1]SO003!$H:$H,'SA007 2025.01-2026.05 '!$D255,[1]SO003!AF:AF)</f>
        <v>0</v>
      </c>
      <c r="AH255" s="21">
        <f>SUMIF([1]SO003!$H:$H,'SA007 2025.01-2026.05 '!$D255,[1]SO003!AH:AH)</f>
        <v>0</v>
      </c>
      <c r="AI255" s="21">
        <f>SUMIF([1]SO003!$H:$H,'SA007 2025.01-2026.05 '!$D255,[1]SO003!AJ:AJ)</f>
        <v>0</v>
      </c>
    </row>
    <row r="256" spans="1:35" ht="11.45" customHeight="1" x14ac:dyDescent="0.55000000000000004">
      <c r="A256" s="2" t="s">
        <v>53</v>
      </c>
      <c r="B256" s="2" t="s">
        <v>54</v>
      </c>
      <c r="C256" s="2" t="s">
        <v>54</v>
      </c>
      <c r="D256" s="2" t="s">
        <v>635</v>
      </c>
      <c r="E256" s="2" t="s">
        <v>636</v>
      </c>
      <c r="F256" s="2" t="s">
        <v>636</v>
      </c>
      <c r="G256" s="3" t="s">
        <v>57</v>
      </c>
      <c r="H256" s="2" t="s">
        <v>54</v>
      </c>
      <c r="I256" s="17">
        <v>0.5</v>
      </c>
      <c r="J256" s="3">
        <v>53.5</v>
      </c>
      <c r="K256" s="3" t="s">
        <v>41</v>
      </c>
      <c r="L256" s="18">
        <v>0</v>
      </c>
      <c r="M256" s="18">
        <v>0</v>
      </c>
      <c r="N256" s="18">
        <v>330</v>
      </c>
      <c r="O256" s="18">
        <v>306</v>
      </c>
      <c r="P256" s="18">
        <v>365</v>
      </c>
      <c r="Q256" s="18">
        <v>307</v>
      </c>
      <c r="R256" s="18">
        <v>0</v>
      </c>
      <c r="S256" s="18">
        <v>0</v>
      </c>
      <c r="T256" s="18">
        <v>0</v>
      </c>
      <c r="U256" s="18">
        <v>310</v>
      </c>
      <c r="V256" s="18">
        <v>0</v>
      </c>
      <c r="W256" s="18">
        <v>310</v>
      </c>
      <c r="X256" s="18">
        <v>304</v>
      </c>
      <c r="Y256" s="18">
        <v>399</v>
      </c>
      <c r="Z256" s="18">
        <v>0</v>
      </c>
      <c r="AA256" s="18">
        <f>SUMIF([1]SA007!$C:$C,'SA007 2025.01-2026.05 '!$D256,[1]SA007!P:P)</f>
        <v>0</v>
      </c>
      <c r="AB256" s="18">
        <f>SUMIF([1]SA007!$C:$C,'SA007 2025.01-2026.05 '!$D256,[1]SA007!Q:Q)</f>
        <v>459</v>
      </c>
      <c r="AC256" s="19">
        <f t="shared" si="9"/>
        <v>3090</v>
      </c>
      <c r="AD256" s="19">
        <f t="shared" si="10"/>
        <v>181.76470588235293</v>
      </c>
      <c r="AE256" s="20" t="s">
        <v>637</v>
      </c>
      <c r="AG256" s="21">
        <f>SUMIF([1]SO003!$H:$H,'SA007 2025.01-2026.05 '!$D256,[1]SO003!AF:AF)</f>
        <v>0</v>
      </c>
      <c r="AH256" s="21">
        <f>SUMIF([1]SO003!$H:$H,'SA007 2025.01-2026.05 '!$D256,[1]SO003!AH:AH)</f>
        <v>0</v>
      </c>
      <c r="AI256" s="21">
        <f>SUMIF([1]SO003!$H:$H,'SA007 2025.01-2026.05 '!$D256,[1]SO003!AJ:AJ)</f>
        <v>0</v>
      </c>
    </row>
    <row r="257" spans="1:35" ht="11.45" customHeight="1" x14ac:dyDescent="0.55000000000000004">
      <c r="A257" s="2" t="s">
        <v>157</v>
      </c>
      <c r="B257" s="2" t="s">
        <v>67</v>
      </c>
      <c r="D257" s="2" t="s">
        <v>638</v>
      </c>
      <c r="E257" s="2" t="s">
        <v>185</v>
      </c>
      <c r="G257" s="3" t="s">
        <v>57</v>
      </c>
      <c r="H257" s="2" t="s">
        <v>67</v>
      </c>
      <c r="I257" s="17">
        <v>0.8</v>
      </c>
      <c r="J257" s="3">
        <v>195</v>
      </c>
      <c r="K257" s="3">
        <v>1219</v>
      </c>
      <c r="L257" s="18">
        <v>0</v>
      </c>
      <c r="M257" s="18">
        <v>0</v>
      </c>
      <c r="N257" s="18">
        <v>0</v>
      </c>
      <c r="O257" s="18">
        <v>0</v>
      </c>
      <c r="P257" s="18">
        <v>380</v>
      </c>
      <c r="Q257" s="18">
        <v>0</v>
      </c>
      <c r="R257" s="18">
        <v>0</v>
      </c>
      <c r="S257" s="18">
        <v>0</v>
      </c>
      <c r="T257" s="18">
        <v>0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f>SUMIF([1]SA007!$C:$C,'SA007 2025.01-2026.05 '!$D257,[1]SA007!P:P)</f>
        <v>0</v>
      </c>
      <c r="AB257" s="18">
        <f>SUMIF([1]SA007!$C:$C,'SA007 2025.01-2026.05 '!$D257,[1]SA007!Q:Q)</f>
        <v>0</v>
      </c>
      <c r="AC257" s="19">
        <f t="shared" si="9"/>
        <v>380</v>
      </c>
      <c r="AD257" s="19">
        <f t="shared" si="10"/>
        <v>22.352941176470587</v>
      </c>
      <c r="AE257" s="20" t="s">
        <v>639</v>
      </c>
      <c r="AG257" s="21">
        <f>SUMIF([1]SO003!$H:$H,'SA007 2025.01-2026.05 '!$D257,[1]SO003!AF:AF)</f>
        <v>0</v>
      </c>
      <c r="AH257" s="21">
        <f>SUMIF([1]SO003!$H:$H,'SA007 2025.01-2026.05 '!$D257,[1]SO003!AH:AH)</f>
        <v>0</v>
      </c>
      <c r="AI257" s="21">
        <f>SUMIF([1]SO003!$H:$H,'SA007 2025.01-2026.05 '!$D257,[1]SO003!AJ:AJ)</f>
        <v>0</v>
      </c>
    </row>
    <row r="258" spans="1:35" ht="11.45" customHeight="1" x14ac:dyDescent="0.55000000000000004">
      <c r="A258" s="2" t="s">
        <v>53</v>
      </c>
      <c r="B258" s="2" t="s">
        <v>67</v>
      </c>
      <c r="C258" s="2" t="s">
        <v>67</v>
      </c>
      <c r="D258" s="2" t="s">
        <v>640</v>
      </c>
      <c r="E258" s="2" t="s">
        <v>69</v>
      </c>
      <c r="F258" s="2" t="s">
        <v>69</v>
      </c>
      <c r="G258" s="3" t="s">
        <v>57</v>
      </c>
      <c r="H258" s="2" t="s">
        <v>70</v>
      </c>
      <c r="I258" s="17">
        <v>0.5</v>
      </c>
      <c r="J258" s="3">
        <v>295.10000000000002</v>
      </c>
      <c r="K258" s="3">
        <v>692.4</v>
      </c>
      <c r="L258" s="18">
        <v>3932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2532</v>
      </c>
      <c r="S258" s="18">
        <v>0</v>
      </c>
      <c r="T258" s="18">
        <v>0</v>
      </c>
      <c r="U258" s="18">
        <v>1584</v>
      </c>
      <c r="V258" s="18">
        <v>0</v>
      </c>
      <c r="W258" s="18">
        <v>0</v>
      </c>
      <c r="X258" s="18">
        <v>0</v>
      </c>
      <c r="Y258" s="18">
        <v>6977</v>
      </c>
      <c r="Z258" s="18">
        <v>4048</v>
      </c>
      <c r="AA258" s="18">
        <f>SUMIF([1]SA007!$C:$C,'SA007 2025.01-2026.05 '!$D258,[1]SA007!P:P)</f>
        <v>0</v>
      </c>
      <c r="AB258" s="18">
        <f>SUMIF([1]SA007!$C:$C,'SA007 2025.01-2026.05 '!$D258,[1]SA007!Q:Q)</f>
        <v>0</v>
      </c>
      <c r="AC258" s="19">
        <f t="shared" si="9"/>
        <v>19073</v>
      </c>
      <c r="AD258" s="19">
        <f t="shared" si="10"/>
        <v>1121.9411764705883</v>
      </c>
      <c r="AE258" s="20" t="s">
        <v>641</v>
      </c>
      <c r="AG258" s="21">
        <f>SUMIF([1]SO003!$H:$H,'SA007 2025.01-2026.05 '!$D258,[1]SO003!AF:AF)</f>
        <v>0</v>
      </c>
      <c r="AH258" s="21">
        <f>SUMIF([1]SO003!$H:$H,'SA007 2025.01-2026.05 '!$D258,[1]SO003!AH:AH)</f>
        <v>0</v>
      </c>
      <c r="AI258" s="21">
        <f>SUMIF([1]SO003!$H:$H,'SA007 2025.01-2026.05 '!$D258,[1]SO003!AJ:AJ)</f>
        <v>0</v>
      </c>
    </row>
    <row r="259" spans="1:35" ht="11.45" customHeight="1" x14ac:dyDescent="0.55000000000000004">
      <c r="A259" s="2" t="s">
        <v>53</v>
      </c>
      <c r="B259" s="2" t="s">
        <v>67</v>
      </c>
      <c r="C259" s="2" t="s">
        <v>67</v>
      </c>
      <c r="D259" s="2" t="s">
        <v>642</v>
      </c>
      <c r="E259" s="2" t="s">
        <v>69</v>
      </c>
      <c r="F259" s="2" t="s">
        <v>69</v>
      </c>
      <c r="G259" s="3" t="s">
        <v>57</v>
      </c>
      <c r="H259" s="2" t="s">
        <v>70</v>
      </c>
      <c r="I259" s="17">
        <v>0.5</v>
      </c>
      <c r="J259" s="3">
        <v>148</v>
      </c>
      <c r="K259" s="3">
        <v>685</v>
      </c>
      <c r="L259" s="18">
        <v>117</v>
      </c>
      <c r="M259" s="18">
        <v>0</v>
      </c>
      <c r="N259" s="18">
        <v>0</v>
      </c>
      <c r="O259" s="18">
        <v>0</v>
      </c>
      <c r="P259" s="18">
        <v>0</v>
      </c>
      <c r="Q259" s="18">
        <v>168</v>
      </c>
      <c r="R259" s="18">
        <v>0</v>
      </c>
      <c r="S259" s="18">
        <v>126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202</v>
      </c>
      <c r="Z259" s="18">
        <v>0</v>
      </c>
      <c r="AA259" s="18">
        <f>SUMIF([1]SA007!$C:$C,'SA007 2025.01-2026.05 '!$D259,[1]SA007!P:P)</f>
        <v>0</v>
      </c>
      <c r="AB259" s="18">
        <f>SUMIF([1]SA007!$C:$C,'SA007 2025.01-2026.05 '!$D259,[1]SA007!Q:Q)</f>
        <v>0</v>
      </c>
      <c r="AC259" s="19">
        <f t="shared" si="9"/>
        <v>613</v>
      </c>
      <c r="AD259" s="19">
        <f t="shared" si="10"/>
        <v>36.058823529411768</v>
      </c>
      <c r="AE259" s="20" t="s">
        <v>116</v>
      </c>
      <c r="AG259" s="21">
        <f>SUMIF([1]SO003!$H:$H,'SA007 2025.01-2026.05 '!$D259,[1]SO003!AF:AF)</f>
        <v>0</v>
      </c>
      <c r="AH259" s="21">
        <f>SUMIF([1]SO003!$H:$H,'SA007 2025.01-2026.05 '!$D259,[1]SO003!AH:AH)</f>
        <v>0</v>
      </c>
      <c r="AI259" s="21">
        <f>SUMIF([1]SO003!$H:$H,'SA007 2025.01-2026.05 '!$D259,[1]SO003!AJ:AJ)</f>
        <v>0</v>
      </c>
    </row>
    <row r="260" spans="1:35" ht="11.45" customHeight="1" x14ac:dyDescent="0.55000000000000004">
      <c r="A260" s="32" t="s">
        <v>338</v>
      </c>
      <c r="B260" s="2" t="s">
        <v>67</v>
      </c>
      <c r="C260" s="2" t="s">
        <v>67</v>
      </c>
      <c r="D260" s="2" t="s">
        <v>643</v>
      </c>
      <c r="E260" s="2" t="s">
        <v>69</v>
      </c>
      <c r="F260" s="2" t="s">
        <v>69</v>
      </c>
      <c r="G260" s="3" t="s">
        <v>57</v>
      </c>
      <c r="H260" s="2" t="s">
        <v>156</v>
      </c>
      <c r="I260" s="17">
        <v>0.6</v>
      </c>
      <c r="J260" s="3">
        <v>95</v>
      </c>
      <c r="K260" s="3">
        <v>639</v>
      </c>
      <c r="L260" s="18">
        <v>564</v>
      </c>
      <c r="M260" s="18">
        <v>568</v>
      </c>
      <c r="N260" s="18">
        <v>574</v>
      </c>
      <c r="O260" s="18">
        <v>888</v>
      </c>
      <c r="P260" s="18">
        <v>574</v>
      </c>
      <c r="Q260" s="18">
        <v>0</v>
      </c>
      <c r="R260" s="18">
        <v>556</v>
      </c>
      <c r="S260" s="18">
        <v>0</v>
      </c>
      <c r="T260" s="18">
        <v>604</v>
      </c>
      <c r="U260" s="18">
        <v>0</v>
      </c>
      <c r="V260" s="18">
        <v>342</v>
      </c>
      <c r="W260" s="18">
        <v>311</v>
      </c>
      <c r="X260" s="18">
        <v>0</v>
      </c>
      <c r="Y260" s="18">
        <v>643</v>
      </c>
      <c r="Z260" s="18">
        <v>426</v>
      </c>
      <c r="AA260" s="18">
        <f>SUMIF([1]SA007!$C:$C,'SA007 2025.01-2026.05 '!$D260,[1]SA007!P:P)</f>
        <v>0</v>
      </c>
      <c r="AB260" s="18">
        <f>SUMIF([1]SA007!$C:$C,'SA007 2025.01-2026.05 '!$D260,[1]SA007!Q:Q)</f>
        <v>0</v>
      </c>
      <c r="AC260" s="19">
        <f t="shared" si="9"/>
        <v>6050</v>
      </c>
      <c r="AD260" s="19">
        <f t="shared" si="10"/>
        <v>355.88235294117646</v>
      </c>
      <c r="AE260" s="20" t="s">
        <v>644</v>
      </c>
      <c r="AG260" s="21">
        <f>SUMIF([1]SO003!$H:$H,'SA007 2025.01-2026.05 '!$D260,[1]SO003!AF:AF)</f>
        <v>0</v>
      </c>
      <c r="AH260" s="21">
        <f>SUMIF([1]SO003!$H:$H,'SA007 2025.01-2026.05 '!$D260,[1]SO003!AH:AH)</f>
        <v>0</v>
      </c>
      <c r="AI260" s="21">
        <f>SUMIF([1]SO003!$H:$H,'SA007 2025.01-2026.05 '!$D260,[1]SO003!AJ:AJ)</f>
        <v>0</v>
      </c>
    </row>
    <row r="261" spans="1:35" ht="11.45" customHeight="1" x14ac:dyDescent="0.55000000000000004">
      <c r="A261" s="2" t="s">
        <v>145</v>
      </c>
      <c r="B261" s="2" t="s">
        <v>61</v>
      </c>
      <c r="C261" s="2" t="s">
        <v>61</v>
      </c>
      <c r="D261" s="2" t="s">
        <v>645</v>
      </c>
      <c r="E261" s="2" t="s">
        <v>569</v>
      </c>
      <c r="F261" s="2" t="s">
        <v>569</v>
      </c>
      <c r="G261" s="3" t="s">
        <v>63</v>
      </c>
      <c r="H261" s="2" t="s">
        <v>64</v>
      </c>
      <c r="I261" s="17">
        <v>0.8</v>
      </c>
      <c r="J261" s="3">
        <v>546</v>
      </c>
      <c r="K261" s="3">
        <v>360</v>
      </c>
      <c r="L261" s="18">
        <v>63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f>SUMIF([1]SA007!$C:$C,'SA007 2025.01-2026.05 '!$D261,[1]SA007!P:P)</f>
        <v>0</v>
      </c>
      <c r="AB261" s="18">
        <f>SUMIF([1]SA007!$C:$C,'SA007 2025.01-2026.05 '!$D261,[1]SA007!Q:Q)</f>
        <v>0</v>
      </c>
      <c r="AC261" s="19">
        <f t="shared" si="9"/>
        <v>63</v>
      </c>
      <c r="AD261" s="19">
        <f t="shared" si="10"/>
        <v>3.7058823529411766</v>
      </c>
      <c r="AE261" s="20" t="s">
        <v>570</v>
      </c>
      <c r="AG261" s="21">
        <f>SUMIF([1]SO003!$H:$H,'SA007 2025.01-2026.05 '!$D261,[1]SO003!AF:AF)</f>
        <v>0</v>
      </c>
      <c r="AH261" s="21">
        <f>SUMIF([1]SO003!$H:$H,'SA007 2025.01-2026.05 '!$D261,[1]SO003!AH:AH)</f>
        <v>0</v>
      </c>
      <c r="AI261" s="21">
        <f>SUMIF([1]SO003!$H:$H,'SA007 2025.01-2026.05 '!$D261,[1]SO003!AJ:AJ)</f>
        <v>0</v>
      </c>
    </row>
    <row r="262" spans="1:35" ht="11.45" customHeight="1" x14ac:dyDescent="0.55000000000000004">
      <c r="A262" s="2" t="s">
        <v>145</v>
      </c>
      <c r="B262" s="2" t="s">
        <v>61</v>
      </c>
      <c r="D262" s="2" t="s">
        <v>646</v>
      </c>
      <c r="E262" s="2" t="s">
        <v>182</v>
      </c>
      <c r="G262" s="3" t="s">
        <v>63</v>
      </c>
      <c r="H262" s="2" t="s">
        <v>64</v>
      </c>
      <c r="I262" s="17">
        <v>0.8</v>
      </c>
      <c r="J262" s="3">
        <v>175</v>
      </c>
      <c r="K262" s="3" t="s">
        <v>647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21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f>SUMIF([1]SA007!$C:$C,'SA007 2025.01-2026.05 '!$D262,[1]SA007!P:P)</f>
        <v>0</v>
      </c>
      <c r="AB262" s="18">
        <f>SUMIF([1]SA007!$C:$C,'SA007 2025.01-2026.05 '!$D262,[1]SA007!Q:Q)</f>
        <v>0</v>
      </c>
      <c r="AC262" s="19">
        <f t="shared" ref="AC262:AC325" si="11">SUM(L262:AB262)</f>
        <v>21</v>
      </c>
      <c r="AD262" s="19">
        <f t="shared" ref="AD262:AD325" si="12">AVERAGE(L262:AB262)</f>
        <v>1.2352941176470589</v>
      </c>
      <c r="AE262" s="20" t="s">
        <v>48</v>
      </c>
      <c r="AG262" s="21">
        <f>SUMIF([1]SO003!$H:$H,'SA007 2025.01-2026.05 '!$D262,[1]SO003!AF:AF)</f>
        <v>0</v>
      </c>
      <c r="AH262" s="21">
        <f>SUMIF([1]SO003!$H:$H,'SA007 2025.01-2026.05 '!$D262,[1]SO003!AH:AH)</f>
        <v>0</v>
      </c>
      <c r="AI262" s="21">
        <f>SUMIF([1]SO003!$H:$H,'SA007 2025.01-2026.05 '!$D262,[1]SO003!AJ:AJ)</f>
        <v>0</v>
      </c>
    </row>
    <row r="263" spans="1:35" ht="11.45" customHeight="1" x14ac:dyDescent="0.55000000000000004">
      <c r="A263" s="2" t="s">
        <v>145</v>
      </c>
      <c r="B263" s="2" t="s">
        <v>61</v>
      </c>
      <c r="D263" s="2" t="s">
        <v>648</v>
      </c>
      <c r="E263" s="2" t="s">
        <v>182</v>
      </c>
      <c r="G263" s="3" t="s">
        <v>63</v>
      </c>
      <c r="H263" s="2" t="s">
        <v>64</v>
      </c>
      <c r="I263" s="17">
        <v>0.8</v>
      </c>
      <c r="J263" s="3">
        <v>147</v>
      </c>
      <c r="K263" s="3" t="s">
        <v>41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206</v>
      </c>
      <c r="S263" s="18">
        <v>0</v>
      </c>
      <c r="T263" s="18">
        <v>105</v>
      </c>
      <c r="U263" s="18">
        <v>0</v>
      </c>
      <c r="V263" s="18">
        <v>0</v>
      </c>
      <c r="W263" s="18">
        <v>0</v>
      </c>
      <c r="X263" s="18">
        <v>0</v>
      </c>
      <c r="Y263" s="18">
        <v>158</v>
      </c>
      <c r="Z263" s="18">
        <v>0</v>
      </c>
      <c r="AA263" s="18">
        <f>SUMIF([1]SA007!$C:$C,'SA007 2025.01-2026.05 '!$D263,[1]SA007!P:P)</f>
        <v>0</v>
      </c>
      <c r="AB263" s="18">
        <f>SUMIF([1]SA007!$C:$C,'SA007 2025.01-2026.05 '!$D263,[1]SA007!Q:Q)</f>
        <v>0</v>
      </c>
      <c r="AC263" s="19">
        <f t="shared" si="11"/>
        <v>469</v>
      </c>
      <c r="AD263" s="19">
        <f t="shared" si="12"/>
        <v>27.588235294117649</v>
      </c>
      <c r="AE263" s="20" t="s">
        <v>649</v>
      </c>
      <c r="AG263" s="21">
        <f>SUMIF([1]SO003!$H:$H,'SA007 2025.01-2026.05 '!$D263,[1]SO003!AF:AF)</f>
        <v>0</v>
      </c>
      <c r="AH263" s="21">
        <f>SUMIF([1]SO003!$H:$H,'SA007 2025.01-2026.05 '!$D263,[1]SO003!AH:AH)</f>
        <v>0</v>
      </c>
      <c r="AI263" s="21">
        <f>SUMIF([1]SO003!$H:$H,'SA007 2025.01-2026.05 '!$D263,[1]SO003!AJ:AJ)</f>
        <v>0</v>
      </c>
    </row>
    <row r="264" spans="1:35" ht="11.45" customHeight="1" x14ac:dyDescent="0.55000000000000004">
      <c r="A264" s="2" t="s">
        <v>145</v>
      </c>
      <c r="B264" s="2" t="s">
        <v>61</v>
      </c>
      <c r="D264" s="2" t="s">
        <v>650</v>
      </c>
      <c r="E264" s="2" t="s">
        <v>182</v>
      </c>
      <c r="G264" s="3" t="s">
        <v>63</v>
      </c>
      <c r="H264" s="2" t="s">
        <v>64</v>
      </c>
      <c r="I264" s="17">
        <v>0.8</v>
      </c>
      <c r="J264" s="3">
        <v>140</v>
      </c>
      <c r="K264" s="3" t="s">
        <v>651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13</v>
      </c>
      <c r="S264" s="18">
        <v>274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f>SUMIF([1]SA007!$C:$C,'SA007 2025.01-2026.05 '!$D264,[1]SA007!P:P)</f>
        <v>28</v>
      </c>
      <c r="AB264" s="18">
        <f>SUMIF([1]SA007!$C:$C,'SA007 2025.01-2026.05 '!$D264,[1]SA007!Q:Q)</f>
        <v>0</v>
      </c>
      <c r="AC264" s="19">
        <f t="shared" si="11"/>
        <v>315</v>
      </c>
      <c r="AD264" s="19">
        <f t="shared" si="12"/>
        <v>18.529411764705884</v>
      </c>
      <c r="AE264" s="20" t="s">
        <v>48</v>
      </c>
      <c r="AG264" s="21">
        <f>SUMIF([1]SO003!$H:$H,'SA007 2025.01-2026.05 '!$D264,[1]SO003!AF:AF)</f>
        <v>0</v>
      </c>
      <c r="AH264" s="21">
        <f>SUMIF([1]SO003!$H:$H,'SA007 2025.01-2026.05 '!$D264,[1]SO003!AH:AH)</f>
        <v>0</v>
      </c>
      <c r="AI264" s="21">
        <f>SUMIF([1]SO003!$H:$H,'SA007 2025.01-2026.05 '!$D264,[1]SO003!AJ:AJ)</f>
        <v>0</v>
      </c>
    </row>
    <row r="265" spans="1:35" ht="11.45" customHeight="1" x14ac:dyDescent="0.55000000000000004">
      <c r="A265" s="2" t="s">
        <v>145</v>
      </c>
      <c r="B265" s="2" t="s">
        <v>61</v>
      </c>
      <c r="D265" s="2" t="s">
        <v>652</v>
      </c>
      <c r="E265" s="2" t="s">
        <v>182</v>
      </c>
      <c r="G265" s="3" t="s">
        <v>63</v>
      </c>
      <c r="H265" s="2" t="s">
        <v>64</v>
      </c>
      <c r="I265" s="17">
        <v>0.8</v>
      </c>
      <c r="J265" s="3">
        <v>197</v>
      </c>
      <c r="K265" s="3" t="s">
        <v>653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56</v>
      </c>
      <c r="S265" s="18">
        <v>288</v>
      </c>
      <c r="T265" s="18">
        <v>0</v>
      </c>
      <c r="U265" s="18">
        <v>0</v>
      </c>
      <c r="V265" s="18">
        <v>0</v>
      </c>
      <c r="W265" s="18">
        <v>168</v>
      </c>
      <c r="X265" s="18">
        <v>0</v>
      </c>
      <c r="Y265" s="18">
        <v>587</v>
      </c>
      <c r="Z265" s="18">
        <v>0</v>
      </c>
      <c r="AA265" s="18">
        <f>SUMIF([1]SA007!$C:$C,'SA007 2025.01-2026.05 '!$D265,[1]SA007!P:P)</f>
        <v>152</v>
      </c>
      <c r="AB265" s="18">
        <f>SUMIF([1]SA007!$C:$C,'SA007 2025.01-2026.05 '!$D265,[1]SA007!Q:Q)</f>
        <v>0</v>
      </c>
      <c r="AC265" s="19">
        <f t="shared" si="11"/>
        <v>1251</v>
      </c>
      <c r="AD265" s="19">
        <f t="shared" si="12"/>
        <v>73.588235294117652</v>
      </c>
      <c r="AE265" s="20" t="s">
        <v>48</v>
      </c>
      <c r="AG265" s="21">
        <f>SUMIF([1]SO003!$H:$H,'SA007 2025.01-2026.05 '!$D265,[1]SO003!AF:AF)</f>
        <v>0</v>
      </c>
      <c r="AH265" s="21">
        <f>SUMIF([1]SO003!$H:$H,'SA007 2025.01-2026.05 '!$D265,[1]SO003!AH:AH)</f>
        <v>0</v>
      </c>
      <c r="AI265" s="21">
        <f>SUMIF([1]SO003!$H:$H,'SA007 2025.01-2026.05 '!$D265,[1]SO003!AJ:AJ)</f>
        <v>0</v>
      </c>
    </row>
    <row r="266" spans="1:35" ht="11.45" customHeight="1" x14ac:dyDescent="0.55000000000000004">
      <c r="A266" s="2" t="s">
        <v>145</v>
      </c>
      <c r="B266" s="2" t="s">
        <v>61</v>
      </c>
      <c r="D266" s="2" t="s">
        <v>654</v>
      </c>
      <c r="E266" s="2" t="s">
        <v>182</v>
      </c>
      <c r="G266" s="3" t="s">
        <v>63</v>
      </c>
      <c r="H266" s="2" t="s">
        <v>64</v>
      </c>
      <c r="I266" s="17">
        <v>0.8</v>
      </c>
      <c r="J266" s="3">
        <v>142</v>
      </c>
      <c r="K266" s="3" t="s">
        <v>655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35</v>
      </c>
      <c r="S266" s="18">
        <v>0</v>
      </c>
      <c r="T266" s="18">
        <v>193</v>
      </c>
      <c r="U266" s="18">
        <v>0</v>
      </c>
      <c r="V266" s="18">
        <v>0</v>
      </c>
      <c r="W266" s="18">
        <v>86</v>
      </c>
      <c r="X266" s="18">
        <v>0</v>
      </c>
      <c r="Y266" s="18">
        <v>238</v>
      </c>
      <c r="Z266" s="18">
        <v>134</v>
      </c>
      <c r="AA266" s="18">
        <f>SUMIF([1]SA007!$C:$C,'SA007 2025.01-2026.05 '!$D266,[1]SA007!P:P)</f>
        <v>105</v>
      </c>
      <c r="AB266" s="18">
        <f>SUMIF([1]SA007!$C:$C,'SA007 2025.01-2026.05 '!$D266,[1]SA007!Q:Q)</f>
        <v>0</v>
      </c>
      <c r="AC266" s="19">
        <f t="shared" si="11"/>
        <v>791</v>
      </c>
      <c r="AD266" s="19">
        <f t="shared" si="12"/>
        <v>46.529411764705884</v>
      </c>
      <c r="AE266" s="20" t="s">
        <v>48</v>
      </c>
      <c r="AG266" s="21">
        <f>SUMIF([1]SO003!$H:$H,'SA007 2025.01-2026.05 '!$D266,[1]SO003!AF:AF)</f>
        <v>0</v>
      </c>
      <c r="AH266" s="21">
        <f>SUMIF([1]SO003!$H:$H,'SA007 2025.01-2026.05 '!$D266,[1]SO003!AH:AH)</f>
        <v>0</v>
      </c>
      <c r="AI266" s="21">
        <f>SUMIF([1]SO003!$H:$H,'SA007 2025.01-2026.05 '!$D266,[1]SO003!AJ:AJ)</f>
        <v>0</v>
      </c>
    </row>
    <row r="267" spans="1:35" ht="11.45" customHeight="1" x14ac:dyDescent="0.55000000000000004">
      <c r="A267" s="2" t="s">
        <v>145</v>
      </c>
      <c r="D267" s="22" t="s">
        <v>656</v>
      </c>
      <c r="E267" s="2" t="s">
        <v>129</v>
      </c>
      <c r="F267" s="3"/>
      <c r="G267" s="3" t="s">
        <v>63</v>
      </c>
      <c r="H267" s="2" t="s">
        <v>64</v>
      </c>
      <c r="I267" s="17">
        <v>0.8</v>
      </c>
      <c r="J267" s="3">
        <v>56.5</v>
      </c>
      <c r="K267" s="3" t="s">
        <v>657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f>SUMIF([1]SA007!$C:$C,'SA007 2025.01-2026.05 '!$D267,[1]SA007!P:P)</f>
        <v>0</v>
      </c>
      <c r="AB267" s="18">
        <f>SUMIF([1]SA007!$C:$C,'SA007 2025.01-2026.05 '!$D267,[1]SA007!Q:Q)</f>
        <v>0</v>
      </c>
      <c r="AC267" s="19">
        <f t="shared" si="11"/>
        <v>0</v>
      </c>
      <c r="AD267" s="19">
        <f t="shared" si="12"/>
        <v>0</v>
      </c>
      <c r="AG267" s="21">
        <f>SUMIF([1]SO003!$H:$H,'SA007 2025.01-2026.05 '!$D267,[1]SO003!AF:AF)</f>
        <v>0</v>
      </c>
      <c r="AH267" s="21">
        <f>SUMIF([1]SO003!$H:$H,'SA007 2025.01-2026.05 '!$D267,[1]SO003!AH:AH)</f>
        <v>0</v>
      </c>
      <c r="AI267" s="21">
        <f>SUMIF([1]SO003!$H:$H,'SA007 2025.01-2026.05 '!$D267,[1]SO003!AJ:AJ)</f>
        <v>0</v>
      </c>
    </row>
    <row r="268" spans="1:35" ht="11.45" customHeight="1" x14ac:dyDescent="0.55000000000000004">
      <c r="A268" s="2" t="s">
        <v>658</v>
      </c>
      <c r="D268" s="22" t="s">
        <v>659</v>
      </c>
      <c r="E268" s="2" t="s">
        <v>234</v>
      </c>
      <c r="F268" s="3"/>
      <c r="G268" s="3" t="s">
        <v>63</v>
      </c>
      <c r="H268" s="2" t="s">
        <v>660</v>
      </c>
      <c r="I268" s="17">
        <v>0.8</v>
      </c>
      <c r="J268" s="3">
        <v>8.1</v>
      </c>
      <c r="K268" s="3" t="s">
        <v>315</v>
      </c>
      <c r="L268" s="18">
        <v>0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1092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f>SUMIF([1]SA007!$C:$C,'SA007 2025.01-2026.05 '!$D268,[1]SA007!P:P)</f>
        <v>0</v>
      </c>
      <c r="AB268" s="18">
        <f>SUMIF([1]SA007!$C:$C,'SA007 2025.01-2026.05 '!$D268,[1]SA007!Q:Q)</f>
        <v>0</v>
      </c>
      <c r="AC268" s="19">
        <f t="shared" si="11"/>
        <v>1092</v>
      </c>
      <c r="AD268" s="19">
        <f t="shared" si="12"/>
        <v>64.235294117647058</v>
      </c>
      <c r="AG268" s="21">
        <f>SUMIF([1]SO003!$H:$H,'SA007 2025.01-2026.05 '!$D268,[1]SO003!AF:AF)</f>
        <v>0</v>
      </c>
      <c r="AH268" s="21">
        <f>SUMIF([1]SO003!$H:$H,'SA007 2025.01-2026.05 '!$D268,[1]SO003!AH:AH)</f>
        <v>0</v>
      </c>
      <c r="AI268" s="21">
        <f>SUMIF([1]SO003!$H:$H,'SA007 2025.01-2026.05 '!$D268,[1]SO003!AJ:AJ)</f>
        <v>0</v>
      </c>
    </row>
    <row r="269" spans="1:35" ht="11.45" customHeight="1" x14ac:dyDescent="0.55000000000000004">
      <c r="A269" s="2" t="s">
        <v>661</v>
      </c>
      <c r="D269" s="22" t="s">
        <v>662</v>
      </c>
      <c r="E269" s="2" t="s">
        <v>663</v>
      </c>
      <c r="G269" s="3" t="s">
        <v>63</v>
      </c>
      <c r="H269" s="22" t="s">
        <v>664</v>
      </c>
      <c r="I269" s="17">
        <v>0.8</v>
      </c>
      <c r="J269" s="3">
        <v>88</v>
      </c>
      <c r="K269" s="3" t="s">
        <v>41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1089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f>SUMIF([1]SA007!$C:$C,'SA007 2025.01-2026.05 '!$D269,[1]SA007!P:P)</f>
        <v>0</v>
      </c>
      <c r="AB269" s="18">
        <f>SUMIF([1]SA007!$C:$C,'SA007 2025.01-2026.05 '!$D269,[1]SA007!Q:Q)</f>
        <v>0</v>
      </c>
      <c r="AC269" s="19">
        <f t="shared" si="11"/>
        <v>1089</v>
      </c>
      <c r="AD269" s="19">
        <f t="shared" si="12"/>
        <v>64.058823529411768</v>
      </c>
      <c r="AG269" s="21">
        <f>SUMIF([1]SO003!$H:$H,'SA007 2025.01-2026.05 '!$D269,[1]SO003!AF:AF)</f>
        <v>0</v>
      </c>
      <c r="AH269" s="21">
        <f>SUMIF([1]SO003!$H:$H,'SA007 2025.01-2026.05 '!$D269,[1]SO003!AH:AH)</f>
        <v>0</v>
      </c>
      <c r="AI269" s="21">
        <f>SUMIF([1]SO003!$H:$H,'SA007 2025.01-2026.05 '!$D269,[1]SO003!AJ:AJ)</f>
        <v>0</v>
      </c>
    </row>
    <row r="270" spans="1:35" ht="11.45" customHeight="1" x14ac:dyDescent="0.55000000000000004">
      <c r="A270" s="2" t="s">
        <v>145</v>
      </c>
      <c r="B270" s="2" t="s">
        <v>61</v>
      </c>
      <c r="C270" s="2" t="s">
        <v>61</v>
      </c>
      <c r="D270" s="2" t="s">
        <v>665</v>
      </c>
      <c r="E270" s="2" t="s">
        <v>129</v>
      </c>
      <c r="F270" s="2" t="s">
        <v>129</v>
      </c>
      <c r="G270" s="3" t="s">
        <v>63</v>
      </c>
      <c r="H270" s="2" t="s">
        <v>61</v>
      </c>
      <c r="I270" s="17">
        <v>0.8</v>
      </c>
      <c r="J270" s="3">
        <v>56.5</v>
      </c>
      <c r="K270" s="3">
        <v>795</v>
      </c>
      <c r="L270" s="18">
        <v>0</v>
      </c>
      <c r="M270" s="18">
        <v>459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442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f>SUMIF([1]SA007!$C:$C,'SA007 2025.01-2026.05 '!$D270,[1]SA007!P:P)</f>
        <v>0</v>
      </c>
      <c r="AB270" s="18">
        <f>SUMIF([1]SA007!$C:$C,'SA007 2025.01-2026.05 '!$D270,[1]SA007!Q:Q)</f>
        <v>0</v>
      </c>
      <c r="AC270" s="19">
        <f t="shared" si="11"/>
        <v>901</v>
      </c>
      <c r="AD270" s="19">
        <f t="shared" si="12"/>
        <v>53</v>
      </c>
      <c r="AE270" s="20" t="s">
        <v>666</v>
      </c>
      <c r="AG270" s="21">
        <f>SUMIF([1]SO003!$H:$H,'SA007 2025.01-2026.05 '!$D270,[1]SO003!AF:AF)</f>
        <v>0</v>
      </c>
      <c r="AH270" s="21">
        <f>SUMIF([1]SO003!$H:$H,'SA007 2025.01-2026.05 '!$D270,[1]SO003!AH:AH)</f>
        <v>0</v>
      </c>
      <c r="AI270" s="21">
        <f>SUMIF([1]SO003!$H:$H,'SA007 2025.01-2026.05 '!$D270,[1]SO003!AJ:AJ)</f>
        <v>0</v>
      </c>
    </row>
    <row r="271" spans="1:35" ht="11.45" customHeight="1" x14ac:dyDescent="0.55000000000000004">
      <c r="A271" s="2" t="s">
        <v>145</v>
      </c>
      <c r="B271" s="2" t="s">
        <v>61</v>
      </c>
      <c r="C271" s="2" t="s">
        <v>61</v>
      </c>
      <c r="D271" s="2" t="s">
        <v>667</v>
      </c>
      <c r="E271" s="2" t="s">
        <v>129</v>
      </c>
      <c r="F271" s="2" t="s">
        <v>129</v>
      </c>
      <c r="G271" s="3" t="s">
        <v>63</v>
      </c>
      <c r="H271" s="2" t="s">
        <v>61</v>
      </c>
      <c r="I271" s="17">
        <v>0.8</v>
      </c>
      <c r="J271" s="3">
        <v>56.5</v>
      </c>
      <c r="K271" s="3">
        <v>900</v>
      </c>
      <c r="L271" s="18">
        <v>640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f>SUMIF([1]SA007!$C:$C,'SA007 2025.01-2026.05 '!$D271,[1]SA007!P:P)</f>
        <v>0</v>
      </c>
      <c r="AB271" s="18">
        <f>SUMIF([1]SA007!$C:$C,'SA007 2025.01-2026.05 '!$D271,[1]SA007!Q:Q)</f>
        <v>0</v>
      </c>
      <c r="AC271" s="19">
        <f t="shared" si="11"/>
        <v>640</v>
      </c>
      <c r="AD271" s="19">
        <f t="shared" si="12"/>
        <v>37.647058823529413</v>
      </c>
      <c r="AE271" s="20" t="s">
        <v>668</v>
      </c>
      <c r="AG271" s="21">
        <f>SUMIF([1]SO003!$H:$H,'SA007 2025.01-2026.05 '!$D271,[1]SO003!AF:AF)</f>
        <v>0</v>
      </c>
      <c r="AH271" s="21">
        <f>SUMIF([1]SO003!$H:$H,'SA007 2025.01-2026.05 '!$D271,[1]SO003!AH:AH)</f>
        <v>0</v>
      </c>
      <c r="AI271" s="21">
        <f>SUMIF([1]SO003!$H:$H,'SA007 2025.01-2026.05 '!$D271,[1]SO003!AJ:AJ)</f>
        <v>0</v>
      </c>
    </row>
    <row r="272" spans="1:35" ht="11.45" customHeight="1" x14ac:dyDescent="0.55000000000000004">
      <c r="A272" s="2" t="s">
        <v>157</v>
      </c>
      <c r="B272" s="2" t="s">
        <v>67</v>
      </c>
      <c r="D272" s="2" t="s">
        <v>669</v>
      </c>
      <c r="E272" s="2" t="s">
        <v>185</v>
      </c>
      <c r="G272" s="3" t="s">
        <v>57</v>
      </c>
      <c r="H272" s="2" t="s">
        <v>67</v>
      </c>
      <c r="I272" s="17">
        <v>0.8</v>
      </c>
      <c r="J272" s="3">
        <v>210</v>
      </c>
      <c r="K272" s="3">
        <v>271</v>
      </c>
      <c r="L272" s="18">
        <v>0</v>
      </c>
      <c r="M272" s="18">
        <v>0</v>
      </c>
      <c r="N272" s="18">
        <v>0</v>
      </c>
      <c r="O272" s="18">
        <v>0</v>
      </c>
      <c r="P272" s="18">
        <v>2340</v>
      </c>
      <c r="Q272" s="18">
        <v>83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f>SUMIF([1]SA007!$C:$C,'SA007 2025.01-2026.05 '!$D272,[1]SA007!P:P)</f>
        <v>0</v>
      </c>
      <c r="AB272" s="18">
        <f>SUMIF([1]SA007!$C:$C,'SA007 2025.01-2026.05 '!$D272,[1]SA007!Q:Q)</f>
        <v>0</v>
      </c>
      <c r="AC272" s="19">
        <f t="shared" si="11"/>
        <v>2423</v>
      </c>
      <c r="AD272" s="19">
        <f t="shared" si="12"/>
        <v>142.52941176470588</v>
      </c>
      <c r="AE272" s="20" t="e">
        <v>#N/A</v>
      </c>
      <c r="AG272" s="21">
        <f>SUMIF([1]SO003!$H:$H,'SA007 2025.01-2026.05 '!$D272,[1]SO003!AF:AF)</f>
        <v>0</v>
      </c>
      <c r="AH272" s="21">
        <f>SUMIF([1]SO003!$H:$H,'SA007 2025.01-2026.05 '!$D272,[1]SO003!AH:AH)</f>
        <v>0</v>
      </c>
      <c r="AI272" s="21">
        <f>SUMIF([1]SO003!$H:$H,'SA007 2025.01-2026.05 '!$D272,[1]SO003!AJ:AJ)</f>
        <v>0</v>
      </c>
    </row>
    <row r="273" spans="1:35" ht="11.45" customHeight="1" x14ac:dyDescent="0.55000000000000004">
      <c r="A273" s="2" t="s">
        <v>157</v>
      </c>
      <c r="B273" s="2" t="s">
        <v>67</v>
      </c>
      <c r="D273" s="2" t="s">
        <v>670</v>
      </c>
      <c r="E273" s="2" t="s">
        <v>69</v>
      </c>
      <c r="G273" s="3" t="s">
        <v>57</v>
      </c>
      <c r="H273" s="2" t="s">
        <v>67</v>
      </c>
      <c r="I273" s="17">
        <v>0.8</v>
      </c>
      <c r="J273" s="3">
        <v>459.8</v>
      </c>
      <c r="K273" s="3" t="s">
        <v>671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1014</v>
      </c>
      <c r="S273" s="18">
        <v>0</v>
      </c>
      <c r="T273" s="18">
        <v>1020</v>
      </c>
      <c r="U273" s="18">
        <v>0</v>
      </c>
      <c r="V273" s="18">
        <v>0</v>
      </c>
      <c r="W273" s="18">
        <v>340</v>
      </c>
      <c r="X273" s="18">
        <v>0</v>
      </c>
      <c r="Y273" s="18">
        <v>0</v>
      </c>
      <c r="Z273" s="18">
        <v>0</v>
      </c>
      <c r="AA273" s="18">
        <f>SUMIF([1]SA007!$C:$C,'SA007 2025.01-2026.05 '!$D273,[1]SA007!P:P)</f>
        <v>0</v>
      </c>
      <c r="AB273" s="18">
        <f>SUMIF([1]SA007!$C:$C,'SA007 2025.01-2026.05 '!$D273,[1]SA007!Q:Q)</f>
        <v>0</v>
      </c>
      <c r="AC273" s="19">
        <f t="shared" si="11"/>
        <v>2374</v>
      </c>
      <c r="AD273" s="19">
        <f t="shared" si="12"/>
        <v>139.64705882352942</v>
      </c>
      <c r="AE273" s="20" t="s">
        <v>116</v>
      </c>
      <c r="AG273" s="21">
        <f>SUMIF([1]SO003!$H:$H,'SA007 2025.01-2026.05 '!$D273,[1]SO003!AF:AF)</f>
        <v>0</v>
      </c>
      <c r="AH273" s="21">
        <f>SUMIF([1]SO003!$H:$H,'SA007 2025.01-2026.05 '!$D273,[1]SO003!AH:AH)</f>
        <v>0</v>
      </c>
      <c r="AI273" s="21">
        <f>SUMIF([1]SO003!$H:$H,'SA007 2025.01-2026.05 '!$D273,[1]SO003!AJ:AJ)</f>
        <v>0</v>
      </c>
    </row>
    <row r="274" spans="1:35" ht="11.45" customHeight="1" x14ac:dyDescent="0.55000000000000004">
      <c r="A274" s="2" t="s">
        <v>126</v>
      </c>
      <c r="B274" s="2" t="s">
        <v>61</v>
      </c>
      <c r="C274" s="2" t="s">
        <v>61</v>
      </c>
      <c r="D274" s="2" t="s">
        <v>672</v>
      </c>
      <c r="E274" s="2" t="s">
        <v>182</v>
      </c>
      <c r="F274" s="2" t="s">
        <v>182</v>
      </c>
      <c r="G274" s="3" t="s">
        <v>63</v>
      </c>
      <c r="H274" s="2" t="s">
        <v>61</v>
      </c>
      <c r="I274" s="17">
        <v>0.6</v>
      </c>
      <c r="J274" s="3">
        <v>88.1</v>
      </c>
      <c r="K274" s="3" t="s">
        <v>41</v>
      </c>
      <c r="L274" s="18">
        <v>0</v>
      </c>
      <c r="M274" s="18">
        <v>215</v>
      </c>
      <c r="N274" s="18">
        <v>210</v>
      </c>
      <c r="O274" s="18">
        <v>0</v>
      </c>
      <c r="P274" s="18">
        <v>0</v>
      </c>
      <c r="Q274" s="18">
        <v>0</v>
      </c>
      <c r="R274" s="18">
        <v>98</v>
      </c>
      <c r="S274" s="18">
        <v>414</v>
      </c>
      <c r="T274" s="18">
        <v>370</v>
      </c>
      <c r="U274" s="18">
        <v>0</v>
      </c>
      <c r="V274" s="18">
        <v>182</v>
      </c>
      <c r="W274" s="18">
        <v>203</v>
      </c>
      <c r="X274" s="18">
        <v>0</v>
      </c>
      <c r="Y274" s="18">
        <v>0</v>
      </c>
      <c r="Z274" s="18">
        <v>90</v>
      </c>
      <c r="AA274" s="18">
        <f>SUMIF([1]SA007!$C:$C,'SA007 2025.01-2026.05 '!$D274,[1]SA007!P:P)</f>
        <v>0</v>
      </c>
      <c r="AB274" s="18">
        <f>SUMIF([1]SA007!$C:$C,'SA007 2025.01-2026.05 '!$D274,[1]SA007!Q:Q)</f>
        <v>390</v>
      </c>
      <c r="AC274" s="19">
        <f t="shared" si="11"/>
        <v>2172</v>
      </c>
      <c r="AD274" s="19">
        <f t="shared" si="12"/>
        <v>127.76470588235294</v>
      </c>
      <c r="AE274" s="20" t="s">
        <v>673</v>
      </c>
      <c r="AG274" s="21">
        <f>SUMIF([1]SO003!$H:$H,'SA007 2025.01-2026.05 '!$D274,[1]SO003!AF:AF)</f>
        <v>300</v>
      </c>
      <c r="AH274" s="21">
        <f>SUMIF([1]SO003!$H:$H,'SA007 2025.01-2026.05 '!$D274,[1]SO003!AH:AH)</f>
        <v>326</v>
      </c>
      <c r="AI274" s="21">
        <f>SUMIF([1]SO003!$H:$H,'SA007 2025.01-2026.05 '!$D274,[1]SO003!AJ:AJ)</f>
        <v>0</v>
      </c>
    </row>
    <row r="275" spans="1:35" ht="11.45" customHeight="1" x14ac:dyDescent="0.55000000000000004">
      <c r="A275" s="2" t="s">
        <v>126</v>
      </c>
      <c r="B275" s="2" t="s">
        <v>61</v>
      </c>
      <c r="C275" s="2" t="s">
        <v>61</v>
      </c>
      <c r="D275" s="2" t="s">
        <v>674</v>
      </c>
      <c r="E275" s="2" t="s">
        <v>115</v>
      </c>
      <c r="F275" s="2" t="s">
        <v>115</v>
      </c>
      <c r="G275" s="3" t="s">
        <v>63</v>
      </c>
      <c r="H275" s="2" t="s">
        <v>64</v>
      </c>
      <c r="I275" s="17">
        <v>0.6</v>
      </c>
      <c r="J275" s="3">
        <v>200</v>
      </c>
      <c r="K275" s="3" t="s">
        <v>41</v>
      </c>
      <c r="L275" s="18">
        <v>0</v>
      </c>
      <c r="M275" s="18">
        <v>1243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1675</v>
      </c>
      <c r="X275" s="18">
        <v>0</v>
      </c>
      <c r="Y275" s="18">
        <v>0</v>
      </c>
      <c r="Z275" s="18">
        <v>0</v>
      </c>
      <c r="AA275" s="18">
        <f>SUMIF([1]SA007!$C:$C,'SA007 2025.01-2026.05 '!$D275,[1]SA007!P:P)</f>
        <v>0</v>
      </c>
      <c r="AB275" s="18">
        <f>SUMIF([1]SA007!$C:$C,'SA007 2025.01-2026.05 '!$D275,[1]SA007!Q:Q)</f>
        <v>0</v>
      </c>
      <c r="AC275" s="19">
        <f t="shared" si="11"/>
        <v>2918</v>
      </c>
      <c r="AD275" s="19">
        <f t="shared" si="12"/>
        <v>171.64705882352942</v>
      </c>
      <c r="AE275" s="20" t="s">
        <v>675</v>
      </c>
      <c r="AG275" s="21">
        <f>SUMIF([1]SO003!$H:$H,'SA007 2025.01-2026.05 '!$D275,[1]SO003!AF:AF)</f>
        <v>0</v>
      </c>
      <c r="AH275" s="21">
        <f>SUMIF([1]SO003!$H:$H,'SA007 2025.01-2026.05 '!$D275,[1]SO003!AH:AH)</f>
        <v>0</v>
      </c>
      <c r="AI275" s="21">
        <f>SUMIF([1]SO003!$H:$H,'SA007 2025.01-2026.05 '!$D275,[1]SO003!AJ:AJ)</f>
        <v>0</v>
      </c>
    </row>
    <row r="276" spans="1:35" ht="11.45" customHeight="1" x14ac:dyDescent="0.55000000000000004">
      <c r="A276" s="2" t="s">
        <v>126</v>
      </c>
      <c r="B276" s="2" t="s">
        <v>61</v>
      </c>
      <c r="C276" s="2" t="s">
        <v>61</v>
      </c>
      <c r="D276" s="2" t="s">
        <v>676</v>
      </c>
      <c r="E276" s="2" t="s">
        <v>115</v>
      </c>
      <c r="F276" s="2" t="s">
        <v>115</v>
      </c>
      <c r="G276" s="3" t="s">
        <v>63</v>
      </c>
      <c r="H276" s="2" t="s">
        <v>64</v>
      </c>
      <c r="I276" s="17">
        <v>0.6</v>
      </c>
      <c r="J276" s="3">
        <v>400</v>
      </c>
      <c r="K276" s="3">
        <v>610</v>
      </c>
      <c r="L276" s="18">
        <v>0</v>
      </c>
      <c r="M276" s="18">
        <v>2446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8">
        <v>0</v>
      </c>
      <c r="Z276" s="18">
        <v>0</v>
      </c>
      <c r="AA276" s="18">
        <f>SUMIF([1]SA007!$C:$C,'SA007 2025.01-2026.05 '!$D276,[1]SA007!P:P)</f>
        <v>0</v>
      </c>
      <c r="AB276" s="18">
        <f>SUMIF([1]SA007!$C:$C,'SA007 2025.01-2026.05 '!$D276,[1]SA007!Q:Q)</f>
        <v>0</v>
      </c>
      <c r="AC276" s="19">
        <f t="shared" si="11"/>
        <v>2446</v>
      </c>
      <c r="AD276" s="19">
        <f t="shared" si="12"/>
        <v>143.88235294117646</v>
      </c>
      <c r="AE276" s="20" t="s">
        <v>677</v>
      </c>
      <c r="AG276" s="21">
        <f>SUMIF([1]SO003!$H:$H,'SA007 2025.01-2026.05 '!$D276,[1]SO003!AF:AF)</f>
        <v>0</v>
      </c>
      <c r="AH276" s="21">
        <f>SUMIF([1]SO003!$H:$H,'SA007 2025.01-2026.05 '!$D276,[1]SO003!AH:AH)</f>
        <v>0</v>
      </c>
      <c r="AI276" s="21">
        <f>SUMIF([1]SO003!$H:$H,'SA007 2025.01-2026.05 '!$D276,[1]SO003!AJ:AJ)</f>
        <v>0</v>
      </c>
    </row>
    <row r="277" spans="1:35" ht="11.45" customHeight="1" x14ac:dyDescent="0.55000000000000004">
      <c r="A277" s="2" t="s">
        <v>193</v>
      </c>
      <c r="B277" s="2" t="s">
        <v>61</v>
      </c>
      <c r="C277" s="2" t="s">
        <v>61</v>
      </c>
      <c r="D277" s="2" t="s">
        <v>678</v>
      </c>
      <c r="E277" s="2" t="s">
        <v>115</v>
      </c>
      <c r="F277" s="2" t="s">
        <v>115</v>
      </c>
      <c r="G277" s="3" t="s">
        <v>63</v>
      </c>
      <c r="H277" s="2" t="s">
        <v>64</v>
      </c>
      <c r="I277" s="17">
        <v>0.9</v>
      </c>
      <c r="J277" s="3">
        <v>239</v>
      </c>
      <c r="K277" s="3">
        <v>488</v>
      </c>
      <c r="L277" s="18">
        <v>0</v>
      </c>
      <c r="M277" s="18">
        <v>0</v>
      </c>
      <c r="N277" s="18">
        <v>242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0</v>
      </c>
      <c r="Z277" s="18">
        <v>0</v>
      </c>
      <c r="AA277" s="18">
        <f>SUMIF([1]SA007!$C:$C,'SA007 2025.01-2026.05 '!$D277,[1]SA007!P:P)</f>
        <v>0</v>
      </c>
      <c r="AB277" s="18">
        <f>SUMIF([1]SA007!$C:$C,'SA007 2025.01-2026.05 '!$D277,[1]SA007!Q:Q)</f>
        <v>0</v>
      </c>
      <c r="AC277" s="19">
        <f t="shared" si="11"/>
        <v>242</v>
      </c>
      <c r="AD277" s="19">
        <f t="shared" si="12"/>
        <v>14.235294117647058</v>
      </c>
      <c r="AE277" s="20" t="s">
        <v>116</v>
      </c>
      <c r="AG277" s="21">
        <f>SUMIF([1]SO003!$H:$H,'SA007 2025.01-2026.05 '!$D277,[1]SO003!AF:AF)</f>
        <v>0</v>
      </c>
      <c r="AH277" s="21">
        <f>SUMIF([1]SO003!$H:$H,'SA007 2025.01-2026.05 '!$D277,[1]SO003!AH:AH)</f>
        <v>0</v>
      </c>
      <c r="AI277" s="21">
        <f>SUMIF([1]SO003!$H:$H,'SA007 2025.01-2026.05 '!$D277,[1]SO003!AJ:AJ)</f>
        <v>0</v>
      </c>
    </row>
    <row r="278" spans="1:35" ht="11.45" customHeight="1" x14ac:dyDescent="0.55000000000000004">
      <c r="A278" s="2" t="s">
        <v>193</v>
      </c>
      <c r="B278" s="2" t="s">
        <v>61</v>
      </c>
      <c r="C278" s="2" t="s">
        <v>61</v>
      </c>
      <c r="D278" s="2" t="s">
        <v>679</v>
      </c>
      <c r="E278" s="2" t="s">
        <v>115</v>
      </c>
      <c r="F278" s="2" t="s">
        <v>115</v>
      </c>
      <c r="G278" s="3" t="s">
        <v>63</v>
      </c>
      <c r="H278" s="2" t="s">
        <v>64</v>
      </c>
      <c r="I278" s="17">
        <v>0.9</v>
      </c>
      <c r="J278" s="3">
        <v>490</v>
      </c>
      <c r="K278" s="3">
        <v>244</v>
      </c>
      <c r="L278" s="18">
        <v>0</v>
      </c>
      <c r="M278" s="18">
        <v>0</v>
      </c>
      <c r="N278" s="18">
        <v>848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0</v>
      </c>
      <c r="U278" s="18">
        <v>0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f>SUMIF([1]SA007!$C:$C,'SA007 2025.01-2026.05 '!$D278,[1]SA007!P:P)</f>
        <v>0</v>
      </c>
      <c r="AB278" s="18">
        <f>SUMIF([1]SA007!$C:$C,'SA007 2025.01-2026.05 '!$D278,[1]SA007!Q:Q)</f>
        <v>0</v>
      </c>
      <c r="AC278" s="19">
        <f t="shared" si="11"/>
        <v>848</v>
      </c>
      <c r="AD278" s="19">
        <f t="shared" si="12"/>
        <v>49.882352941176471</v>
      </c>
      <c r="AE278" s="20" t="s">
        <v>116</v>
      </c>
      <c r="AG278" s="21">
        <f>SUMIF([1]SO003!$H:$H,'SA007 2025.01-2026.05 '!$D278,[1]SO003!AF:AF)</f>
        <v>0</v>
      </c>
      <c r="AH278" s="21">
        <f>SUMIF([1]SO003!$H:$H,'SA007 2025.01-2026.05 '!$D278,[1]SO003!AH:AH)</f>
        <v>0</v>
      </c>
      <c r="AI278" s="21">
        <f>SUMIF([1]SO003!$H:$H,'SA007 2025.01-2026.05 '!$D278,[1]SO003!AJ:AJ)</f>
        <v>0</v>
      </c>
    </row>
    <row r="279" spans="1:35" ht="11.45" customHeight="1" x14ac:dyDescent="0.55000000000000004">
      <c r="A279" s="2" t="s">
        <v>193</v>
      </c>
      <c r="B279" s="2" t="s">
        <v>61</v>
      </c>
      <c r="C279" s="2" t="s">
        <v>61</v>
      </c>
      <c r="D279" s="2" t="s">
        <v>680</v>
      </c>
      <c r="E279" s="2" t="s">
        <v>115</v>
      </c>
      <c r="F279" s="2" t="s">
        <v>115</v>
      </c>
      <c r="G279" s="3" t="s">
        <v>63</v>
      </c>
      <c r="H279" s="2" t="s">
        <v>64</v>
      </c>
      <c r="I279" s="17">
        <v>0.9</v>
      </c>
      <c r="J279" s="3">
        <v>406</v>
      </c>
      <c r="K279" s="3">
        <v>610</v>
      </c>
      <c r="L279" s="18">
        <v>0</v>
      </c>
      <c r="M279" s="18">
        <v>0</v>
      </c>
      <c r="N279" s="18">
        <v>1058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f>SUMIF([1]SA007!$C:$C,'SA007 2025.01-2026.05 '!$D279,[1]SA007!P:P)</f>
        <v>0</v>
      </c>
      <c r="AB279" s="18">
        <f>SUMIF([1]SA007!$C:$C,'SA007 2025.01-2026.05 '!$D279,[1]SA007!Q:Q)</f>
        <v>0</v>
      </c>
      <c r="AC279" s="19">
        <f t="shared" si="11"/>
        <v>1058</v>
      </c>
      <c r="AD279" s="19">
        <f t="shared" si="12"/>
        <v>62.235294117647058</v>
      </c>
      <c r="AE279" s="20" t="s">
        <v>116</v>
      </c>
      <c r="AG279" s="21">
        <f>SUMIF([1]SO003!$H:$H,'SA007 2025.01-2026.05 '!$D279,[1]SO003!AF:AF)</f>
        <v>0</v>
      </c>
      <c r="AH279" s="21">
        <f>SUMIF([1]SO003!$H:$H,'SA007 2025.01-2026.05 '!$D279,[1]SO003!AH:AH)</f>
        <v>0</v>
      </c>
      <c r="AI279" s="21">
        <f>SUMIF([1]SO003!$H:$H,'SA007 2025.01-2026.05 '!$D279,[1]SO003!AJ:AJ)</f>
        <v>0</v>
      </c>
    </row>
    <row r="280" spans="1:35" ht="11.45" customHeight="1" x14ac:dyDescent="0.55000000000000004">
      <c r="A280" s="2" t="s">
        <v>681</v>
      </c>
      <c r="B280" s="2" t="s">
        <v>682</v>
      </c>
      <c r="C280" s="2" t="s">
        <v>682</v>
      </c>
      <c r="D280" s="2" t="s">
        <v>683</v>
      </c>
      <c r="E280" s="2" t="s">
        <v>129</v>
      </c>
      <c r="F280" s="2" t="s">
        <v>129</v>
      </c>
      <c r="G280" s="3" t="s">
        <v>63</v>
      </c>
      <c r="H280" s="2" t="s">
        <v>682</v>
      </c>
      <c r="I280" s="17">
        <v>2.2999999999999998</v>
      </c>
      <c r="J280" s="3">
        <v>532</v>
      </c>
      <c r="K280" s="3">
        <v>580</v>
      </c>
      <c r="L280" s="18">
        <v>960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f>SUMIF([1]SA007!$C:$C,'SA007 2025.01-2026.05 '!$D280,[1]SA007!P:P)</f>
        <v>0</v>
      </c>
      <c r="AB280" s="18">
        <f>SUMIF([1]SA007!$C:$C,'SA007 2025.01-2026.05 '!$D280,[1]SA007!Q:Q)</f>
        <v>0</v>
      </c>
      <c r="AC280" s="19">
        <f t="shared" si="11"/>
        <v>960</v>
      </c>
      <c r="AD280" s="19">
        <f t="shared" si="12"/>
        <v>56.470588235294116</v>
      </c>
      <c r="AE280" s="20" t="s">
        <v>684</v>
      </c>
      <c r="AG280" s="21">
        <f>SUMIF([1]SO003!$H:$H,'SA007 2025.01-2026.05 '!$D280,[1]SO003!AF:AF)</f>
        <v>0</v>
      </c>
      <c r="AH280" s="21">
        <f>SUMIF([1]SO003!$H:$H,'SA007 2025.01-2026.05 '!$D280,[1]SO003!AH:AH)</f>
        <v>0</v>
      </c>
      <c r="AI280" s="21">
        <f>SUMIF([1]SO003!$H:$H,'SA007 2025.01-2026.05 '!$D280,[1]SO003!AJ:AJ)</f>
        <v>0</v>
      </c>
    </row>
    <row r="281" spans="1:35" ht="11.45" customHeight="1" x14ac:dyDescent="0.55000000000000004">
      <c r="A281" s="2" t="s">
        <v>364</v>
      </c>
      <c r="B281" s="2" t="s">
        <v>365</v>
      </c>
      <c r="C281" s="2" t="s">
        <v>365</v>
      </c>
      <c r="D281" s="2" t="s">
        <v>685</v>
      </c>
      <c r="E281" s="2" t="s">
        <v>363</v>
      </c>
      <c r="F281" s="2" t="s">
        <v>363</v>
      </c>
      <c r="G281" s="3" t="s">
        <v>47</v>
      </c>
      <c r="H281" s="2" t="s">
        <v>367</v>
      </c>
      <c r="I281" s="17">
        <v>2</v>
      </c>
      <c r="J281" s="3">
        <v>65</v>
      </c>
      <c r="K281" s="3">
        <v>1220</v>
      </c>
      <c r="L281" s="18">
        <v>0</v>
      </c>
      <c r="M281" s="18">
        <v>0</v>
      </c>
      <c r="N281" s="18">
        <v>0</v>
      </c>
      <c r="O281" s="18">
        <v>184</v>
      </c>
      <c r="P281" s="18">
        <v>0</v>
      </c>
      <c r="Q281" s="18">
        <v>0</v>
      </c>
      <c r="R281" s="18">
        <v>255</v>
      </c>
      <c r="S281" s="18">
        <v>0</v>
      </c>
      <c r="T281" s="18">
        <v>125</v>
      </c>
      <c r="U281" s="18">
        <v>0</v>
      </c>
      <c r="V281" s="18">
        <v>230</v>
      </c>
      <c r="W281" s="18">
        <v>184</v>
      </c>
      <c r="X281" s="18">
        <v>62</v>
      </c>
      <c r="Y281" s="18">
        <v>0</v>
      </c>
      <c r="Z281" s="18">
        <v>180</v>
      </c>
      <c r="AA281" s="18">
        <f>SUMIF([1]SA007!$C:$C,'SA007 2025.01-2026.05 '!$D281,[1]SA007!P:P)</f>
        <v>0</v>
      </c>
      <c r="AB281" s="18">
        <f>SUMIF([1]SA007!$C:$C,'SA007 2025.01-2026.05 '!$D281,[1]SA007!Q:Q)</f>
        <v>0</v>
      </c>
      <c r="AC281" s="19">
        <f t="shared" si="11"/>
        <v>1220</v>
      </c>
      <c r="AD281" s="19">
        <f t="shared" si="12"/>
        <v>71.764705882352942</v>
      </c>
      <c r="AE281" s="20" t="s">
        <v>116</v>
      </c>
      <c r="AG281" s="21">
        <f>SUMIF([1]SO003!$H:$H,'SA007 2025.01-2026.05 '!$D281,[1]SO003!AF:AF)</f>
        <v>0</v>
      </c>
      <c r="AH281" s="21">
        <f>SUMIF([1]SO003!$H:$H,'SA007 2025.01-2026.05 '!$D281,[1]SO003!AH:AH)</f>
        <v>0</v>
      </c>
      <c r="AI281" s="21">
        <f>SUMIF([1]SO003!$H:$H,'SA007 2025.01-2026.05 '!$D281,[1]SO003!AJ:AJ)</f>
        <v>0</v>
      </c>
    </row>
    <row r="282" spans="1:35" ht="11.45" customHeight="1" x14ac:dyDescent="0.55000000000000004">
      <c r="A282" s="2" t="s">
        <v>356</v>
      </c>
      <c r="B282" s="2" t="s">
        <v>61</v>
      </c>
      <c r="C282" s="2" t="s">
        <v>61</v>
      </c>
      <c r="D282" s="2" t="s">
        <v>686</v>
      </c>
      <c r="E282" s="2" t="s">
        <v>182</v>
      </c>
      <c r="F282" s="2" t="s">
        <v>182</v>
      </c>
      <c r="G282" s="3" t="s">
        <v>63</v>
      </c>
      <c r="H282" s="2" t="s">
        <v>61</v>
      </c>
      <c r="I282" s="17">
        <v>2</v>
      </c>
      <c r="J282" s="3">
        <v>40</v>
      </c>
      <c r="K282" s="3" t="s">
        <v>41</v>
      </c>
      <c r="L282" s="18">
        <v>0</v>
      </c>
      <c r="M282" s="18">
        <v>0</v>
      </c>
      <c r="N282" s="18">
        <v>340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f>SUMIF([1]SA007!$C:$C,'SA007 2025.01-2026.05 '!$D282,[1]SA007!P:P)</f>
        <v>0</v>
      </c>
      <c r="AB282" s="18">
        <f>SUMIF([1]SA007!$C:$C,'SA007 2025.01-2026.05 '!$D282,[1]SA007!Q:Q)</f>
        <v>0</v>
      </c>
      <c r="AC282" s="19">
        <f t="shared" si="11"/>
        <v>340</v>
      </c>
      <c r="AD282" s="19">
        <f t="shared" si="12"/>
        <v>20</v>
      </c>
      <c r="AE282" s="20" t="s">
        <v>687</v>
      </c>
      <c r="AG282" s="21">
        <f>SUMIF([1]SO003!$H:$H,'SA007 2025.01-2026.05 '!$D282,[1]SO003!AF:AF)</f>
        <v>231</v>
      </c>
      <c r="AH282" s="21">
        <f>SUMIF([1]SO003!$H:$H,'SA007 2025.01-2026.05 '!$D282,[1]SO003!AH:AH)</f>
        <v>345</v>
      </c>
      <c r="AI282" s="21">
        <f>SUMIF([1]SO003!$H:$H,'SA007 2025.01-2026.05 '!$D282,[1]SO003!AJ:AJ)</f>
        <v>0</v>
      </c>
    </row>
    <row r="283" spans="1:35" ht="11.45" customHeight="1" x14ac:dyDescent="0.55000000000000004">
      <c r="A283" s="2" t="s">
        <v>356</v>
      </c>
      <c r="B283" s="2" t="s">
        <v>61</v>
      </c>
      <c r="C283" s="2" t="s">
        <v>61</v>
      </c>
      <c r="D283" s="2" t="s">
        <v>688</v>
      </c>
      <c r="E283" s="2" t="s">
        <v>182</v>
      </c>
      <c r="F283" s="2" t="s">
        <v>182</v>
      </c>
      <c r="G283" s="3" t="s">
        <v>63</v>
      </c>
      <c r="H283" s="2" t="s">
        <v>61</v>
      </c>
      <c r="I283" s="17">
        <v>2</v>
      </c>
      <c r="J283" s="3">
        <v>60</v>
      </c>
      <c r="K283" s="3" t="s">
        <v>41</v>
      </c>
      <c r="L283" s="18">
        <v>0</v>
      </c>
      <c r="M283" s="18">
        <v>105</v>
      </c>
      <c r="N283" s="18">
        <v>0</v>
      </c>
      <c r="O283" s="18">
        <v>65</v>
      </c>
      <c r="P283" s="18">
        <v>0</v>
      </c>
      <c r="Q283" s="18">
        <v>63</v>
      </c>
      <c r="R283" s="18">
        <v>0</v>
      </c>
      <c r="S283" s="18">
        <v>97</v>
      </c>
      <c r="T283" s="18">
        <v>0</v>
      </c>
      <c r="U283" s="18">
        <v>97</v>
      </c>
      <c r="V283" s="18">
        <v>155</v>
      </c>
      <c r="W283" s="18">
        <v>0</v>
      </c>
      <c r="X283" s="18">
        <v>0</v>
      </c>
      <c r="Y283" s="18">
        <v>100</v>
      </c>
      <c r="Z283" s="18">
        <v>0</v>
      </c>
      <c r="AA283" s="18">
        <f>SUMIF([1]SA007!$C:$C,'SA007 2025.01-2026.05 '!$D283,[1]SA007!P:P)</f>
        <v>136</v>
      </c>
      <c r="AB283" s="18">
        <f>SUMIF([1]SA007!$C:$C,'SA007 2025.01-2026.05 '!$D283,[1]SA007!Q:Q)</f>
        <v>175</v>
      </c>
      <c r="AC283" s="19">
        <f t="shared" si="11"/>
        <v>993</v>
      </c>
      <c r="AD283" s="19">
        <f t="shared" si="12"/>
        <v>58.411764705882355</v>
      </c>
      <c r="AE283" s="20" t="s">
        <v>689</v>
      </c>
      <c r="AG283" s="21">
        <f>SUMIF([1]SO003!$H:$H,'SA007 2025.01-2026.05 '!$D283,[1]SO003!AF:AF)</f>
        <v>0</v>
      </c>
      <c r="AH283" s="21">
        <f>SUMIF([1]SO003!$H:$H,'SA007 2025.01-2026.05 '!$D283,[1]SO003!AH:AH)</f>
        <v>0</v>
      </c>
      <c r="AI283" s="21">
        <f>SUMIF([1]SO003!$H:$H,'SA007 2025.01-2026.05 '!$D283,[1]SO003!AJ:AJ)</f>
        <v>0</v>
      </c>
    </row>
    <row r="284" spans="1:35" ht="11.45" customHeight="1" x14ac:dyDescent="0.55000000000000004">
      <c r="A284" s="2" t="s">
        <v>356</v>
      </c>
      <c r="B284" s="2" t="s">
        <v>61</v>
      </c>
      <c r="C284" s="2" t="s">
        <v>61</v>
      </c>
      <c r="D284" s="2" t="s">
        <v>690</v>
      </c>
      <c r="E284" s="2" t="s">
        <v>182</v>
      </c>
      <c r="F284" s="2" t="s">
        <v>182</v>
      </c>
      <c r="G284" s="3" t="s">
        <v>63</v>
      </c>
      <c r="H284" s="2" t="s">
        <v>61</v>
      </c>
      <c r="I284" s="17">
        <v>2</v>
      </c>
      <c r="J284" s="3">
        <v>40</v>
      </c>
      <c r="K284" s="3" t="s">
        <v>41</v>
      </c>
      <c r="L284" s="18">
        <v>279</v>
      </c>
      <c r="M284" s="18">
        <v>336</v>
      </c>
      <c r="N284" s="18">
        <v>0</v>
      </c>
      <c r="O284" s="18">
        <v>130</v>
      </c>
      <c r="P284" s="18">
        <v>240</v>
      </c>
      <c r="Q284" s="18">
        <v>125</v>
      </c>
      <c r="R284" s="18">
        <v>694</v>
      </c>
      <c r="S284" s="18">
        <v>0</v>
      </c>
      <c r="T284" s="18">
        <v>300</v>
      </c>
      <c r="U284" s="18">
        <v>364</v>
      </c>
      <c r="V284" s="18">
        <v>395</v>
      </c>
      <c r="W284" s="18">
        <v>489</v>
      </c>
      <c r="X284" s="18">
        <v>212</v>
      </c>
      <c r="Y284" s="18">
        <v>32</v>
      </c>
      <c r="Z284" s="18">
        <v>298</v>
      </c>
      <c r="AA284" s="18">
        <f>SUMIF([1]SA007!$C:$C,'SA007 2025.01-2026.05 '!$D284,[1]SA007!P:P)</f>
        <v>276</v>
      </c>
      <c r="AB284" s="18">
        <f>SUMIF([1]SA007!$C:$C,'SA007 2025.01-2026.05 '!$D284,[1]SA007!Q:Q)</f>
        <v>95</v>
      </c>
      <c r="AC284" s="19">
        <f t="shared" si="11"/>
        <v>4265</v>
      </c>
      <c r="AD284" s="19">
        <f t="shared" si="12"/>
        <v>250.88235294117646</v>
      </c>
      <c r="AE284" s="20" t="s">
        <v>689</v>
      </c>
      <c r="AG284" s="21">
        <f>SUMIF([1]SO003!$H:$H,'SA007 2025.01-2026.05 '!$D284,[1]SO003!AF:AF)</f>
        <v>380</v>
      </c>
      <c r="AH284" s="21">
        <f>SUMIF([1]SO003!$H:$H,'SA007 2025.01-2026.05 '!$D284,[1]SO003!AH:AH)</f>
        <v>375</v>
      </c>
      <c r="AI284" s="21">
        <f>SUMIF([1]SO003!$H:$H,'SA007 2025.01-2026.05 '!$D284,[1]SO003!AJ:AJ)</f>
        <v>5</v>
      </c>
    </row>
    <row r="285" spans="1:35" ht="11.45" customHeight="1" x14ac:dyDescent="0.55000000000000004">
      <c r="A285" s="23" t="s">
        <v>219</v>
      </c>
      <c r="C285" s="2" t="s">
        <v>67</v>
      </c>
      <c r="D285" s="2" t="s">
        <v>691</v>
      </c>
      <c r="E285" s="2" t="s">
        <v>38</v>
      </c>
      <c r="G285" s="3" t="s">
        <v>57</v>
      </c>
      <c r="H285" s="2" t="s">
        <v>67</v>
      </c>
      <c r="I285" s="17">
        <v>1.2</v>
      </c>
      <c r="J285" s="3">
        <v>149</v>
      </c>
      <c r="K285" s="3" t="s">
        <v>41</v>
      </c>
      <c r="L285" s="18">
        <v>0</v>
      </c>
      <c r="M285" s="18">
        <v>0</v>
      </c>
      <c r="N285" s="18">
        <v>0</v>
      </c>
      <c r="O285" s="18">
        <v>4359</v>
      </c>
      <c r="P285" s="18">
        <v>0</v>
      </c>
      <c r="Q285" s="18">
        <v>670</v>
      </c>
      <c r="R285" s="18">
        <v>6486</v>
      </c>
      <c r="S285" s="18">
        <v>4664</v>
      </c>
      <c r="T285" s="18">
        <v>7173</v>
      </c>
      <c r="U285" s="18">
        <v>0</v>
      </c>
      <c r="V285" s="18">
        <v>2487</v>
      </c>
      <c r="W285" s="18">
        <v>0</v>
      </c>
      <c r="X285" s="18">
        <v>0</v>
      </c>
      <c r="Y285" s="18">
        <v>0</v>
      </c>
      <c r="Z285" s="18">
        <v>0</v>
      </c>
      <c r="AA285" s="18">
        <f>SUMIF([1]SA007!$C:$C,'SA007 2025.01-2026.05 '!$D285,[1]SA007!P:P)</f>
        <v>0</v>
      </c>
      <c r="AB285" s="18">
        <f>SUMIF([1]SA007!$C:$C,'SA007 2025.01-2026.05 '!$D285,[1]SA007!Q:Q)</f>
        <v>0</v>
      </c>
      <c r="AC285" s="19">
        <f t="shared" si="11"/>
        <v>25839</v>
      </c>
      <c r="AD285" s="19">
        <f t="shared" si="12"/>
        <v>1519.9411764705883</v>
      </c>
      <c r="AE285" s="20" t="s">
        <v>692</v>
      </c>
      <c r="AG285" s="21">
        <f>SUMIF([1]SO003!$H:$H,'SA007 2025.01-2026.05 '!$D285,[1]SO003!AF:AF)</f>
        <v>0</v>
      </c>
      <c r="AH285" s="21">
        <f>SUMIF([1]SO003!$H:$H,'SA007 2025.01-2026.05 '!$D285,[1]SO003!AH:AH)</f>
        <v>0</v>
      </c>
      <c r="AI285" s="21">
        <f>SUMIF([1]SO003!$H:$H,'SA007 2025.01-2026.05 '!$D285,[1]SO003!AJ:AJ)</f>
        <v>0</v>
      </c>
    </row>
    <row r="286" spans="1:35" x14ac:dyDescent="0.55000000000000004">
      <c r="A286" s="23" t="s">
        <v>219</v>
      </c>
      <c r="B286" s="2" t="s">
        <v>67</v>
      </c>
      <c r="D286" s="2" t="s">
        <v>693</v>
      </c>
      <c r="E286" s="2" t="s">
        <v>182</v>
      </c>
      <c r="G286" s="3" t="s">
        <v>57</v>
      </c>
      <c r="H286" s="2" t="s">
        <v>67</v>
      </c>
      <c r="I286" s="17">
        <v>1.2</v>
      </c>
      <c r="J286" s="3">
        <v>131</v>
      </c>
      <c r="K286" s="3">
        <v>427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6845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f>SUMIF([1]SA007!$C:$C,'SA007 2025.01-2026.05 '!$D286,[1]SA007!P:P)</f>
        <v>0</v>
      </c>
      <c r="AB286" s="18">
        <f>SUMIF([1]SA007!$C:$C,'SA007 2025.01-2026.05 '!$D286,[1]SA007!Q:Q)</f>
        <v>0</v>
      </c>
      <c r="AC286" s="19">
        <f t="shared" si="11"/>
        <v>6845</v>
      </c>
      <c r="AD286" s="19">
        <f t="shared" si="12"/>
        <v>402.64705882352939</v>
      </c>
      <c r="AE286" s="20" t="e">
        <v>#N/A</v>
      </c>
      <c r="AG286" s="21">
        <f>SUMIF([1]SO003!$H:$H,'SA007 2025.01-2026.05 '!$D286,[1]SO003!AF:AF)</f>
        <v>0</v>
      </c>
      <c r="AH286" s="21">
        <f>SUMIF([1]SO003!$H:$H,'SA007 2025.01-2026.05 '!$D286,[1]SO003!AH:AH)</f>
        <v>0</v>
      </c>
      <c r="AI286" s="21">
        <f>SUMIF([1]SO003!$H:$H,'SA007 2025.01-2026.05 '!$D286,[1]SO003!AJ:AJ)</f>
        <v>0</v>
      </c>
    </row>
    <row r="287" spans="1:35" x14ac:dyDescent="0.55000000000000004">
      <c r="A287" s="2" t="s">
        <v>145</v>
      </c>
      <c r="B287" s="2" t="s">
        <v>61</v>
      </c>
      <c r="C287" s="2" t="s">
        <v>61</v>
      </c>
      <c r="D287" s="2" t="s">
        <v>694</v>
      </c>
      <c r="E287" s="2" t="s">
        <v>101</v>
      </c>
      <c r="F287" s="2" t="s">
        <v>101</v>
      </c>
      <c r="G287" s="3" t="s">
        <v>63</v>
      </c>
      <c r="H287" s="2" t="s">
        <v>61</v>
      </c>
      <c r="I287" s="17">
        <v>0.8</v>
      </c>
      <c r="J287" s="3">
        <v>103</v>
      </c>
      <c r="K287" s="3">
        <v>489</v>
      </c>
      <c r="L287" s="18">
        <v>0</v>
      </c>
      <c r="M287" s="18">
        <v>0</v>
      </c>
      <c r="N287" s="18">
        <v>184</v>
      </c>
      <c r="O287" s="18">
        <v>254</v>
      </c>
      <c r="P287" s="18">
        <v>0</v>
      </c>
      <c r="Q287" s="18">
        <v>257</v>
      </c>
      <c r="R287" s="18">
        <v>0</v>
      </c>
      <c r="S287" s="18">
        <v>0</v>
      </c>
      <c r="T287" s="18">
        <v>0</v>
      </c>
      <c r="U287" s="18">
        <v>0</v>
      </c>
      <c r="V287" s="18">
        <v>90</v>
      </c>
      <c r="W287" s="18">
        <v>0</v>
      </c>
      <c r="X287" s="18">
        <v>95</v>
      </c>
      <c r="Y287" s="18">
        <v>94</v>
      </c>
      <c r="Z287" s="18">
        <v>64</v>
      </c>
      <c r="AA287" s="18">
        <f>SUMIF([1]SA007!$C:$C,'SA007 2025.01-2026.05 '!$D287,[1]SA007!P:P)</f>
        <v>64</v>
      </c>
      <c r="AB287" s="18">
        <f>SUMIF([1]SA007!$C:$C,'SA007 2025.01-2026.05 '!$D287,[1]SA007!Q:Q)</f>
        <v>0</v>
      </c>
      <c r="AC287" s="19">
        <f t="shared" si="11"/>
        <v>1102</v>
      </c>
      <c r="AD287" s="19">
        <f t="shared" si="12"/>
        <v>64.82352941176471</v>
      </c>
      <c r="AE287" s="20" t="s">
        <v>695</v>
      </c>
      <c r="AG287" s="21">
        <f>SUMIF([1]SO003!$H:$H,'SA007 2025.01-2026.05 '!$D287,[1]SO003!AF:AF)</f>
        <v>63.260952000000003</v>
      </c>
      <c r="AH287" s="21">
        <f>SUMIF([1]SO003!$H:$H,'SA007 2025.01-2026.05 '!$D287,[1]SO003!AH:AH)</f>
        <v>63.260952000000003</v>
      </c>
      <c r="AI287" s="21">
        <f>SUMIF([1]SO003!$H:$H,'SA007 2025.01-2026.05 '!$D287,[1]SO003!AJ:AJ)</f>
        <v>0</v>
      </c>
    </row>
    <row r="288" spans="1:35" x14ac:dyDescent="0.55000000000000004">
      <c r="A288" s="2" t="s">
        <v>460</v>
      </c>
      <c r="C288" s="2" t="s">
        <v>213</v>
      </c>
      <c r="D288" s="2" t="s">
        <v>696</v>
      </c>
      <c r="E288" s="2" t="s">
        <v>182</v>
      </c>
      <c r="G288" s="3" t="s">
        <v>47</v>
      </c>
      <c r="H288" s="2" t="s">
        <v>402</v>
      </c>
      <c r="I288" s="17">
        <v>3.2</v>
      </c>
      <c r="J288" s="3">
        <v>116</v>
      </c>
      <c r="K288" s="3">
        <v>1220</v>
      </c>
      <c r="L288" s="18">
        <v>0</v>
      </c>
      <c r="M288" s="18">
        <v>0</v>
      </c>
      <c r="N288" s="18">
        <v>0</v>
      </c>
      <c r="O288" s="18">
        <v>125</v>
      </c>
      <c r="P288" s="18">
        <v>0</v>
      </c>
      <c r="Q288" s="18">
        <v>149</v>
      </c>
      <c r="R288" s="18">
        <v>365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533</v>
      </c>
      <c r="Z288" s="18">
        <v>0</v>
      </c>
      <c r="AA288" s="18">
        <f>SUMIF([1]SA007!$C:$C,'SA007 2025.01-2026.05 '!$D288,[1]SA007!P:P)</f>
        <v>0</v>
      </c>
      <c r="AB288" s="18">
        <f>SUMIF([1]SA007!$C:$C,'SA007 2025.01-2026.05 '!$D288,[1]SA007!Q:Q)</f>
        <v>0</v>
      </c>
      <c r="AC288" s="19">
        <f t="shared" si="11"/>
        <v>1172</v>
      </c>
      <c r="AD288" s="19">
        <f t="shared" si="12"/>
        <v>68.941176470588232</v>
      </c>
      <c r="AE288" s="20" t="e">
        <v>#N/A</v>
      </c>
      <c r="AG288" s="21">
        <f>SUMIF([1]SO003!$H:$H,'SA007 2025.01-2026.05 '!$D288,[1]SO003!AF:AF)</f>
        <v>0</v>
      </c>
      <c r="AH288" s="21">
        <f>SUMIF([1]SO003!$H:$H,'SA007 2025.01-2026.05 '!$D288,[1]SO003!AH:AH)</f>
        <v>0</v>
      </c>
      <c r="AI288" s="21">
        <f>SUMIF([1]SO003!$H:$H,'SA007 2025.01-2026.05 '!$D288,[1]SO003!AJ:AJ)</f>
        <v>0</v>
      </c>
    </row>
    <row r="289" spans="1:35" x14ac:dyDescent="0.55000000000000004">
      <c r="A289" s="2" t="s">
        <v>433</v>
      </c>
      <c r="B289" s="2" t="s">
        <v>213</v>
      </c>
      <c r="C289" s="2" t="s">
        <v>213</v>
      </c>
      <c r="D289" s="2" t="s">
        <v>697</v>
      </c>
      <c r="E289" s="2" t="s">
        <v>182</v>
      </c>
      <c r="G289" s="3" t="s">
        <v>47</v>
      </c>
      <c r="H289" s="2" t="s">
        <v>402</v>
      </c>
      <c r="I289" s="17">
        <v>2.6</v>
      </c>
      <c r="J289" s="3">
        <v>139</v>
      </c>
      <c r="K289" s="3">
        <v>1220</v>
      </c>
      <c r="L289" s="18">
        <v>0</v>
      </c>
      <c r="M289" s="18">
        <v>0</v>
      </c>
      <c r="N289" s="18">
        <v>0</v>
      </c>
      <c r="O289" s="18">
        <v>68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f>SUMIF([1]SA007!$C:$C,'SA007 2025.01-2026.05 '!$D289,[1]SA007!P:P)</f>
        <v>0</v>
      </c>
      <c r="AB289" s="18">
        <f>SUMIF([1]SA007!$C:$C,'SA007 2025.01-2026.05 '!$D289,[1]SA007!Q:Q)</f>
        <v>0</v>
      </c>
      <c r="AC289" s="19">
        <f t="shared" si="11"/>
        <v>68</v>
      </c>
      <c r="AD289" s="19">
        <f t="shared" si="12"/>
        <v>4</v>
      </c>
      <c r="AE289" s="20" t="s">
        <v>48</v>
      </c>
      <c r="AG289" s="21">
        <f>SUMIF([1]SO003!$H:$H,'SA007 2025.01-2026.05 '!$D289,[1]SO003!AF:AF)</f>
        <v>0</v>
      </c>
      <c r="AH289" s="21">
        <f>SUMIF([1]SO003!$H:$H,'SA007 2025.01-2026.05 '!$D289,[1]SO003!AH:AH)</f>
        <v>0</v>
      </c>
      <c r="AI289" s="21">
        <f>SUMIF([1]SO003!$H:$H,'SA007 2025.01-2026.05 '!$D289,[1]SO003!AJ:AJ)</f>
        <v>0</v>
      </c>
    </row>
    <row r="290" spans="1:35" x14ac:dyDescent="0.55000000000000004">
      <c r="A290" s="2" t="s">
        <v>433</v>
      </c>
      <c r="B290" s="2" t="s">
        <v>213</v>
      </c>
      <c r="C290" s="2" t="s">
        <v>213</v>
      </c>
      <c r="D290" s="2" t="s">
        <v>698</v>
      </c>
      <c r="E290" s="2" t="s">
        <v>182</v>
      </c>
      <c r="G290" s="3" t="s">
        <v>47</v>
      </c>
      <c r="H290" s="2" t="s">
        <v>402</v>
      </c>
      <c r="I290" s="17">
        <v>2.6</v>
      </c>
      <c r="J290" s="3">
        <v>156</v>
      </c>
      <c r="K290" s="3">
        <v>1220</v>
      </c>
      <c r="L290" s="18">
        <v>0</v>
      </c>
      <c r="M290" s="18">
        <v>0</v>
      </c>
      <c r="N290" s="18">
        <v>0</v>
      </c>
      <c r="O290" s="18">
        <v>117</v>
      </c>
      <c r="P290" s="18">
        <v>0</v>
      </c>
      <c r="Q290" s="18">
        <v>0</v>
      </c>
      <c r="R290" s="18">
        <v>121</v>
      </c>
      <c r="S290" s="18">
        <v>194</v>
      </c>
      <c r="T290" s="18">
        <v>154</v>
      </c>
      <c r="U290" s="18">
        <v>0</v>
      </c>
      <c r="V290" s="18">
        <v>341</v>
      </c>
      <c r="W290" s="18">
        <v>0</v>
      </c>
      <c r="X290" s="18">
        <v>370</v>
      </c>
      <c r="Y290" s="18">
        <v>450</v>
      </c>
      <c r="Z290" s="18">
        <v>0</v>
      </c>
      <c r="AA290" s="18">
        <f>SUMIF([1]SA007!$C:$C,'SA007 2025.01-2026.05 '!$D290,[1]SA007!P:P)</f>
        <v>0</v>
      </c>
      <c r="AB290" s="18">
        <f>SUMIF([1]SA007!$C:$C,'SA007 2025.01-2026.05 '!$D290,[1]SA007!Q:Q)</f>
        <v>0</v>
      </c>
      <c r="AC290" s="19">
        <f t="shared" si="11"/>
        <v>1747</v>
      </c>
      <c r="AD290" s="19">
        <f t="shared" si="12"/>
        <v>102.76470588235294</v>
      </c>
      <c r="AE290" s="20" t="s">
        <v>699</v>
      </c>
      <c r="AG290" s="21">
        <f>SUMIF([1]SO003!$H:$H,'SA007 2025.01-2026.05 '!$D290,[1]SO003!AF:AF)</f>
        <v>0</v>
      </c>
      <c r="AH290" s="21">
        <f>SUMIF([1]SO003!$H:$H,'SA007 2025.01-2026.05 '!$D290,[1]SO003!AH:AH)</f>
        <v>0</v>
      </c>
      <c r="AI290" s="21">
        <f>SUMIF([1]SO003!$H:$H,'SA007 2025.01-2026.05 '!$D290,[1]SO003!AJ:AJ)</f>
        <v>0</v>
      </c>
    </row>
    <row r="291" spans="1:35" x14ac:dyDescent="0.55000000000000004">
      <c r="A291" s="2" t="s">
        <v>145</v>
      </c>
      <c r="B291" s="2" t="s">
        <v>61</v>
      </c>
      <c r="C291" s="2" t="s">
        <v>61</v>
      </c>
      <c r="D291" s="2" t="s">
        <v>700</v>
      </c>
      <c r="E291" s="2" t="s">
        <v>182</v>
      </c>
      <c r="F291" s="2" t="s">
        <v>182</v>
      </c>
      <c r="G291" s="3" t="s">
        <v>63</v>
      </c>
      <c r="H291" s="2" t="s">
        <v>61</v>
      </c>
      <c r="I291" s="17">
        <v>0.8</v>
      </c>
      <c r="J291" s="3">
        <v>95</v>
      </c>
      <c r="K291" s="3" t="s">
        <v>41</v>
      </c>
      <c r="L291" s="18">
        <v>146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f>SUMIF([1]SA007!$C:$C,'SA007 2025.01-2026.05 '!$D291,[1]SA007!P:P)</f>
        <v>0</v>
      </c>
      <c r="AB291" s="18">
        <f>SUMIF([1]SA007!$C:$C,'SA007 2025.01-2026.05 '!$D291,[1]SA007!Q:Q)</f>
        <v>0</v>
      </c>
      <c r="AC291" s="19">
        <f t="shared" si="11"/>
        <v>146</v>
      </c>
      <c r="AD291" s="19">
        <f t="shared" si="12"/>
        <v>8.5882352941176467</v>
      </c>
      <c r="AE291" s="20" t="e">
        <v>#N/A</v>
      </c>
      <c r="AG291" s="21">
        <f>SUMIF([1]SO003!$H:$H,'SA007 2025.01-2026.05 '!$D291,[1]SO003!AF:AF)</f>
        <v>0</v>
      </c>
      <c r="AH291" s="21">
        <f>SUMIF([1]SO003!$H:$H,'SA007 2025.01-2026.05 '!$D291,[1]SO003!AH:AH)</f>
        <v>0</v>
      </c>
      <c r="AI291" s="21">
        <f>SUMIF([1]SO003!$H:$H,'SA007 2025.01-2026.05 '!$D291,[1]SO003!AJ:AJ)</f>
        <v>0</v>
      </c>
    </row>
    <row r="292" spans="1:35" x14ac:dyDescent="0.55000000000000004">
      <c r="A292" s="2" t="s">
        <v>701</v>
      </c>
      <c r="C292" s="2" t="s">
        <v>702</v>
      </c>
      <c r="D292" s="2" t="s">
        <v>703</v>
      </c>
      <c r="E292" s="2" t="s">
        <v>704</v>
      </c>
      <c r="G292" s="3" t="s">
        <v>63</v>
      </c>
      <c r="H292" s="2" t="s">
        <v>702</v>
      </c>
      <c r="I292" s="17">
        <v>1</v>
      </c>
      <c r="J292" s="3">
        <v>80</v>
      </c>
      <c r="K292" s="3">
        <v>1000</v>
      </c>
      <c r="L292" s="18">
        <v>0</v>
      </c>
      <c r="M292" s="18">
        <v>0</v>
      </c>
      <c r="N292" s="18">
        <v>0</v>
      </c>
      <c r="O292" s="18">
        <v>32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f>SUMIF([1]SA007!$C:$C,'SA007 2025.01-2026.05 '!$D292,[1]SA007!P:P)</f>
        <v>0</v>
      </c>
      <c r="AB292" s="18">
        <f>SUMIF([1]SA007!$C:$C,'SA007 2025.01-2026.05 '!$D292,[1]SA007!Q:Q)</f>
        <v>0</v>
      </c>
      <c r="AC292" s="19">
        <f t="shared" si="11"/>
        <v>32</v>
      </c>
      <c r="AD292" s="19">
        <f t="shared" si="12"/>
        <v>1.8823529411764706</v>
      </c>
      <c r="AE292" s="20" t="s">
        <v>705</v>
      </c>
      <c r="AG292" s="21">
        <f>SUMIF([1]SO003!$H:$H,'SA007 2025.01-2026.05 '!$D292,[1]SO003!AF:AF)</f>
        <v>0</v>
      </c>
      <c r="AH292" s="21">
        <f>SUMIF([1]SO003!$H:$H,'SA007 2025.01-2026.05 '!$D292,[1]SO003!AH:AH)</f>
        <v>0</v>
      </c>
      <c r="AI292" s="21">
        <f>SUMIF([1]SO003!$H:$H,'SA007 2025.01-2026.05 '!$D292,[1]SO003!AJ:AJ)</f>
        <v>0</v>
      </c>
    </row>
    <row r="293" spans="1:35" x14ac:dyDescent="0.55000000000000004">
      <c r="A293" s="2" t="s">
        <v>145</v>
      </c>
      <c r="B293" s="2" t="s">
        <v>61</v>
      </c>
      <c r="C293" s="2" t="s">
        <v>61</v>
      </c>
      <c r="D293" s="2" t="s">
        <v>706</v>
      </c>
      <c r="E293" s="2" t="s">
        <v>182</v>
      </c>
      <c r="F293" s="2" t="s">
        <v>182</v>
      </c>
      <c r="G293" s="3" t="s">
        <v>63</v>
      </c>
      <c r="H293" s="2" t="s">
        <v>61</v>
      </c>
      <c r="I293" s="17">
        <v>0.8</v>
      </c>
      <c r="J293" s="3">
        <v>95</v>
      </c>
      <c r="K293" s="3" t="s">
        <v>41</v>
      </c>
      <c r="L293" s="18">
        <v>299</v>
      </c>
      <c r="M293" s="18">
        <v>170</v>
      </c>
      <c r="N293" s="18">
        <v>0</v>
      </c>
      <c r="O293" s="18">
        <v>0</v>
      </c>
      <c r="P293" s="18">
        <v>325</v>
      </c>
      <c r="Q293" s="18">
        <v>1500</v>
      </c>
      <c r="R293" s="18">
        <v>1163</v>
      </c>
      <c r="S293" s="18">
        <v>536</v>
      </c>
      <c r="T293" s="18">
        <v>918</v>
      </c>
      <c r="U293" s="18">
        <v>0</v>
      </c>
      <c r="V293" s="18">
        <v>1404</v>
      </c>
      <c r="W293" s="18">
        <v>975</v>
      </c>
      <c r="X293" s="18">
        <v>1008</v>
      </c>
      <c r="Y293" s="18">
        <v>0</v>
      </c>
      <c r="Z293" s="18">
        <v>207</v>
      </c>
      <c r="AA293" s="18">
        <f>SUMIF([1]SA007!$C:$C,'SA007 2025.01-2026.05 '!$D293,[1]SA007!P:P)</f>
        <v>0</v>
      </c>
      <c r="AB293" s="18">
        <f>SUMIF([1]SA007!$C:$C,'SA007 2025.01-2026.05 '!$D293,[1]SA007!Q:Q)</f>
        <v>0</v>
      </c>
      <c r="AC293" s="19">
        <f t="shared" si="11"/>
        <v>8505</v>
      </c>
      <c r="AD293" s="19">
        <f t="shared" si="12"/>
        <v>500.29411764705884</v>
      </c>
      <c r="AE293" s="20" t="s">
        <v>707</v>
      </c>
      <c r="AG293" s="21">
        <f>SUMIF([1]SO003!$H:$H,'SA007 2025.01-2026.05 '!$D293,[1]SO003!AF:AF)</f>
        <v>0</v>
      </c>
      <c r="AH293" s="21">
        <f>SUMIF([1]SO003!$H:$H,'SA007 2025.01-2026.05 '!$D293,[1]SO003!AH:AH)</f>
        <v>0</v>
      </c>
      <c r="AI293" s="21">
        <f>SUMIF([1]SO003!$H:$H,'SA007 2025.01-2026.05 '!$D293,[1]SO003!AJ:AJ)</f>
        <v>0</v>
      </c>
    </row>
    <row r="294" spans="1:35" x14ac:dyDescent="0.55000000000000004">
      <c r="A294" s="2" t="s">
        <v>381</v>
      </c>
      <c r="C294" s="2" t="s">
        <v>77</v>
      </c>
      <c r="D294" s="2" t="s">
        <v>708</v>
      </c>
      <c r="E294" s="2" t="s">
        <v>240</v>
      </c>
      <c r="G294" s="3" t="s">
        <v>39</v>
      </c>
      <c r="H294" s="2" t="s">
        <v>282</v>
      </c>
      <c r="I294" s="17">
        <v>2</v>
      </c>
      <c r="J294" s="3">
        <v>140</v>
      </c>
      <c r="K294" s="3" t="s">
        <v>41</v>
      </c>
      <c r="L294" s="18">
        <v>0</v>
      </c>
      <c r="M294" s="18">
        <v>0</v>
      </c>
      <c r="N294" s="18">
        <v>0</v>
      </c>
      <c r="O294" s="18">
        <v>1131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f>SUMIF([1]SA007!$C:$C,'SA007 2025.01-2026.05 '!$D294,[1]SA007!P:P)</f>
        <v>0</v>
      </c>
      <c r="AB294" s="18">
        <f>SUMIF([1]SA007!$C:$C,'SA007 2025.01-2026.05 '!$D294,[1]SA007!Q:Q)</f>
        <v>0</v>
      </c>
      <c r="AC294" s="19">
        <f t="shared" si="11"/>
        <v>1131</v>
      </c>
      <c r="AD294" s="19">
        <f t="shared" si="12"/>
        <v>66.529411764705884</v>
      </c>
      <c r="AE294" s="20" t="s">
        <v>709</v>
      </c>
      <c r="AG294" s="21">
        <f>SUMIF([1]SO003!$H:$H,'SA007 2025.01-2026.05 '!$D294,[1]SO003!AF:AF)</f>
        <v>0</v>
      </c>
      <c r="AH294" s="21">
        <f>SUMIF([1]SO003!$H:$H,'SA007 2025.01-2026.05 '!$D294,[1]SO003!AH:AH)</f>
        <v>0</v>
      </c>
      <c r="AI294" s="21">
        <f>SUMIF([1]SO003!$H:$H,'SA007 2025.01-2026.05 '!$D294,[1]SO003!AJ:AJ)</f>
        <v>0</v>
      </c>
    </row>
    <row r="295" spans="1:35" x14ac:dyDescent="0.55000000000000004">
      <c r="A295" s="2" t="s">
        <v>280</v>
      </c>
      <c r="B295" s="2" t="s">
        <v>77</v>
      </c>
      <c r="C295" s="2" t="s">
        <v>77</v>
      </c>
      <c r="D295" s="2" t="s">
        <v>710</v>
      </c>
      <c r="E295" s="2" t="s">
        <v>240</v>
      </c>
      <c r="G295" s="3" t="s">
        <v>39</v>
      </c>
      <c r="H295" s="2" t="s">
        <v>282</v>
      </c>
      <c r="I295" s="17">
        <v>1.5</v>
      </c>
      <c r="J295" s="3">
        <v>360</v>
      </c>
      <c r="K295" s="3" t="s">
        <v>711</v>
      </c>
      <c r="L295" s="18">
        <v>0</v>
      </c>
      <c r="M295" s="18">
        <v>0</v>
      </c>
      <c r="N295" s="18">
        <v>0</v>
      </c>
      <c r="O295" s="18">
        <v>3096</v>
      </c>
      <c r="P295" s="18">
        <v>0</v>
      </c>
      <c r="Q295" s="18">
        <v>2107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0</v>
      </c>
      <c r="AA295" s="18">
        <f>SUMIF([1]SA007!$C:$C,'SA007 2025.01-2026.05 '!$D295,[1]SA007!P:P)</f>
        <v>0</v>
      </c>
      <c r="AB295" s="18">
        <f>SUMIF([1]SA007!$C:$C,'SA007 2025.01-2026.05 '!$D295,[1]SA007!Q:Q)</f>
        <v>1814</v>
      </c>
      <c r="AC295" s="19">
        <f t="shared" si="11"/>
        <v>7017</v>
      </c>
      <c r="AD295" s="19">
        <f t="shared" si="12"/>
        <v>412.76470588235293</v>
      </c>
      <c r="AE295" s="20" t="s">
        <v>712</v>
      </c>
      <c r="AG295" s="21">
        <f>SUMIF([1]SO003!$H:$H,'SA007 2025.01-2026.05 '!$D295,[1]SO003!AF:AF)</f>
        <v>0</v>
      </c>
      <c r="AH295" s="21">
        <f>SUMIF([1]SO003!$H:$H,'SA007 2025.01-2026.05 '!$D295,[1]SO003!AH:AH)</f>
        <v>0</v>
      </c>
      <c r="AI295" s="21">
        <f>SUMIF([1]SO003!$H:$H,'SA007 2025.01-2026.05 '!$D295,[1]SO003!AJ:AJ)</f>
        <v>0</v>
      </c>
    </row>
    <row r="296" spans="1:35" x14ac:dyDescent="0.55000000000000004">
      <c r="A296" s="2" t="s">
        <v>280</v>
      </c>
      <c r="B296" s="2" t="s">
        <v>77</v>
      </c>
      <c r="C296" s="2" t="s">
        <v>77</v>
      </c>
      <c r="D296" s="2" t="s">
        <v>713</v>
      </c>
      <c r="E296" s="2" t="s">
        <v>240</v>
      </c>
      <c r="G296" s="3" t="s">
        <v>39</v>
      </c>
      <c r="H296" s="2" t="s">
        <v>282</v>
      </c>
      <c r="I296" s="17">
        <v>1.5</v>
      </c>
      <c r="J296" s="3">
        <v>55</v>
      </c>
      <c r="K296" s="3" t="s">
        <v>711</v>
      </c>
      <c r="L296" s="18">
        <v>0</v>
      </c>
      <c r="M296" s="18">
        <v>0</v>
      </c>
      <c r="N296" s="18">
        <v>0</v>
      </c>
      <c r="O296" s="18">
        <v>710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f>SUMIF([1]SA007!$C:$C,'SA007 2025.01-2026.05 '!$D296,[1]SA007!P:P)</f>
        <v>0</v>
      </c>
      <c r="AB296" s="18">
        <f>SUMIF([1]SA007!$C:$C,'SA007 2025.01-2026.05 '!$D296,[1]SA007!Q:Q)</f>
        <v>0</v>
      </c>
      <c r="AC296" s="19">
        <f t="shared" si="11"/>
        <v>710</v>
      </c>
      <c r="AD296" s="19">
        <f t="shared" si="12"/>
        <v>41.764705882352942</v>
      </c>
      <c r="AE296" s="20" t="s">
        <v>714</v>
      </c>
      <c r="AG296" s="21">
        <f>SUMIF([1]SO003!$H:$H,'SA007 2025.01-2026.05 '!$D296,[1]SO003!AF:AF)</f>
        <v>0</v>
      </c>
      <c r="AH296" s="21">
        <f>SUMIF([1]SO003!$H:$H,'SA007 2025.01-2026.05 '!$D296,[1]SO003!AH:AH)</f>
        <v>0</v>
      </c>
      <c r="AI296" s="21">
        <f>SUMIF([1]SO003!$H:$H,'SA007 2025.01-2026.05 '!$D296,[1]SO003!AJ:AJ)</f>
        <v>0</v>
      </c>
    </row>
    <row r="297" spans="1:35" x14ac:dyDescent="0.55000000000000004">
      <c r="A297" s="2" t="s">
        <v>280</v>
      </c>
      <c r="B297" s="2" t="s">
        <v>77</v>
      </c>
      <c r="C297" s="2" t="s">
        <v>77</v>
      </c>
      <c r="D297" s="2" t="s">
        <v>715</v>
      </c>
      <c r="E297" s="2" t="s">
        <v>240</v>
      </c>
      <c r="G297" s="3" t="s">
        <v>39</v>
      </c>
      <c r="H297" s="2" t="s">
        <v>282</v>
      </c>
      <c r="I297" s="17">
        <v>1.5</v>
      </c>
      <c r="J297" s="3">
        <v>284</v>
      </c>
      <c r="K297" s="3" t="s">
        <v>41</v>
      </c>
      <c r="L297" s="18">
        <v>0</v>
      </c>
      <c r="M297" s="18">
        <v>0</v>
      </c>
      <c r="N297" s="18">
        <v>0</v>
      </c>
      <c r="O297" s="18">
        <v>906.5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f>SUMIF([1]SA007!$C:$C,'SA007 2025.01-2026.05 '!$D297,[1]SA007!P:P)</f>
        <v>0</v>
      </c>
      <c r="AB297" s="18">
        <f>SUMIF([1]SA007!$C:$C,'SA007 2025.01-2026.05 '!$D297,[1]SA007!Q:Q)</f>
        <v>0</v>
      </c>
      <c r="AC297" s="19">
        <f t="shared" si="11"/>
        <v>906.5</v>
      </c>
      <c r="AD297" s="19">
        <f t="shared" si="12"/>
        <v>53.323529411764703</v>
      </c>
      <c r="AE297" s="20" t="s">
        <v>716</v>
      </c>
      <c r="AG297" s="21">
        <f>SUMIF([1]SO003!$H:$H,'SA007 2025.01-2026.05 '!$D297,[1]SO003!AF:AF)</f>
        <v>0</v>
      </c>
      <c r="AH297" s="21">
        <f>SUMIF([1]SO003!$H:$H,'SA007 2025.01-2026.05 '!$D297,[1]SO003!AH:AH)</f>
        <v>0</v>
      </c>
      <c r="AI297" s="21">
        <f>SUMIF([1]SO003!$H:$H,'SA007 2025.01-2026.05 '!$D297,[1]SO003!AJ:AJ)</f>
        <v>0</v>
      </c>
    </row>
    <row r="298" spans="1:35" x14ac:dyDescent="0.55000000000000004">
      <c r="A298" s="23" t="s">
        <v>219</v>
      </c>
      <c r="D298" s="2" t="s">
        <v>717</v>
      </c>
      <c r="E298" s="2" t="s">
        <v>182</v>
      </c>
      <c r="G298" s="3" t="s">
        <v>57</v>
      </c>
      <c r="H298" s="2" t="s">
        <v>67</v>
      </c>
      <c r="I298" s="17">
        <v>1.2</v>
      </c>
      <c r="J298" s="3">
        <v>133</v>
      </c>
      <c r="K298" s="3" t="s">
        <v>718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58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f>SUMIF([1]SA007!$C:$C,'SA007 2025.01-2026.05 '!$D298,[1]SA007!P:P)</f>
        <v>0</v>
      </c>
      <c r="AB298" s="18">
        <f>SUMIF([1]SA007!$C:$C,'SA007 2025.01-2026.05 '!$D298,[1]SA007!Q:Q)</f>
        <v>0</v>
      </c>
      <c r="AC298" s="19">
        <f t="shared" si="11"/>
        <v>58</v>
      </c>
      <c r="AD298" s="19">
        <f t="shared" si="12"/>
        <v>3.4117647058823528</v>
      </c>
      <c r="AE298" s="20" t="e">
        <v>#N/A</v>
      </c>
      <c r="AG298" s="21">
        <f>SUMIF([1]SO003!$H:$H,'SA007 2025.01-2026.05 '!$D298,[1]SO003!AF:AF)</f>
        <v>0</v>
      </c>
      <c r="AH298" s="21">
        <f>SUMIF([1]SO003!$H:$H,'SA007 2025.01-2026.05 '!$D298,[1]SO003!AH:AH)</f>
        <v>0</v>
      </c>
      <c r="AI298" s="21">
        <f>SUMIF([1]SO003!$H:$H,'SA007 2025.01-2026.05 '!$D298,[1]SO003!AJ:AJ)</f>
        <v>0</v>
      </c>
    </row>
    <row r="299" spans="1:35" x14ac:dyDescent="0.55000000000000004">
      <c r="A299" s="2" t="s">
        <v>72</v>
      </c>
      <c r="C299" s="2" t="s">
        <v>158</v>
      </c>
      <c r="D299" s="2" t="s">
        <v>719</v>
      </c>
      <c r="E299" s="2" t="s">
        <v>270</v>
      </c>
      <c r="G299" s="3" t="s">
        <v>57</v>
      </c>
      <c r="H299" s="2" t="s">
        <v>720</v>
      </c>
      <c r="I299" s="17">
        <v>1.5</v>
      </c>
      <c r="J299" s="3">
        <v>1220</v>
      </c>
      <c r="K299" s="3">
        <v>2440</v>
      </c>
      <c r="L299" s="18">
        <v>0</v>
      </c>
      <c r="M299" s="18">
        <v>0</v>
      </c>
      <c r="N299" s="18">
        <v>0</v>
      </c>
      <c r="O299" s="18">
        <v>1362</v>
      </c>
      <c r="P299" s="18">
        <v>0</v>
      </c>
      <c r="Q299" s="18">
        <v>1380</v>
      </c>
      <c r="R299" s="18">
        <v>1380</v>
      </c>
      <c r="S299" s="18">
        <v>0</v>
      </c>
      <c r="T299" s="18">
        <v>0</v>
      </c>
      <c r="U299" s="18">
        <v>4140</v>
      </c>
      <c r="V299" s="18">
        <v>8415</v>
      </c>
      <c r="W299" s="18">
        <v>0</v>
      </c>
      <c r="X299" s="18">
        <v>7765</v>
      </c>
      <c r="Y299" s="18">
        <v>3550</v>
      </c>
      <c r="Z299" s="18">
        <v>8506</v>
      </c>
      <c r="AA299" s="18">
        <f>SUMIF([1]SA007!$C:$C,'SA007 2025.01-2026.05 '!$D299,[1]SA007!P:P)</f>
        <v>2636</v>
      </c>
      <c r="AB299" s="18">
        <f>SUMIF([1]SA007!$C:$C,'SA007 2025.01-2026.05 '!$D299,[1]SA007!Q:Q)</f>
        <v>5501</v>
      </c>
      <c r="AC299" s="19">
        <f t="shared" si="11"/>
        <v>44635</v>
      </c>
      <c r="AD299" s="19">
        <f t="shared" si="12"/>
        <v>2625.5882352941176</v>
      </c>
      <c r="AE299" s="20" t="s">
        <v>721</v>
      </c>
      <c r="AG299" s="21">
        <f>SUMIF([1]SO003!$H:$H,'SA007 2025.01-2026.05 '!$D299,[1]SO003!AF:AF)</f>
        <v>4206.2183999999988</v>
      </c>
      <c r="AH299" s="21">
        <f>SUMIF([1]SO003!$H:$H,'SA007 2025.01-2026.05 '!$D299,[1]SO003!AH:AH)</f>
        <v>3154.6637999999994</v>
      </c>
      <c r="AI299" s="21">
        <f>SUMIF([1]SO003!$H:$H,'SA007 2025.01-2026.05 '!$D299,[1]SO003!AJ:AJ)</f>
        <v>1051.5545999999997</v>
      </c>
    </row>
    <row r="300" spans="1:35" x14ac:dyDescent="0.55000000000000004">
      <c r="A300" s="2" t="s">
        <v>385</v>
      </c>
      <c r="C300" s="2" t="s">
        <v>158</v>
      </c>
      <c r="D300" s="2" t="s">
        <v>722</v>
      </c>
      <c r="E300" s="2" t="s">
        <v>270</v>
      </c>
      <c r="G300" s="3" t="s">
        <v>57</v>
      </c>
      <c r="H300" s="2" t="s">
        <v>720</v>
      </c>
      <c r="I300" s="17">
        <v>2</v>
      </c>
      <c r="J300" s="3">
        <v>1220</v>
      </c>
      <c r="K300" s="3">
        <v>2440</v>
      </c>
      <c r="L300" s="18">
        <v>0</v>
      </c>
      <c r="M300" s="18">
        <v>0</v>
      </c>
      <c r="N300" s="18">
        <v>0</v>
      </c>
      <c r="O300" s="18">
        <v>2306</v>
      </c>
      <c r="P300" s="18">
        <v>0</v>
      </c>
      <c r="Q300" s="18">
        <v>0</v>
      </c>
      <c r="R300" s="18">
        <v>1901</v>
      </c>
      <c r="S300" s="18">
        <v>0</v>
      </c>
      <c r="T300" s="18">
        <v>0</v>
      </c>
      <c r="U300" s="18">
        <v>5915</v>
      </c>
      <c r="V300" s="18">
        <v>2400</v>
      </c>
      <c r="W300" s="18">
        <v>0</v>
      </c>
      <c r="X300" s="18">
        <v>2415</v>
      </c>
      <c r="Y300" s="18">
        <v>0</v>
      </c>
      <c r="Z300" s="18">
        <v>2345</v>
      </c>
      <c r="AA300" s="18">
        <f>SUMIF([1]SA007!$C:$C,'SA007 2025.01-2026.05 '!$D300,[1]SA007!P:P)</f>
        <v>0</v>
      </c>
      <c r="AB300" s="18">
        <f>SUMIF([1]SA007!$C:$C,'SA007 2025.01-2026.05 '!$D300,[1]SA007!Q:Q)</f>
        <v>0</v>
      </c>
      <c r="AC300" s="19">
        <f t="shared" si="11"/>
        <v>17282</v>
      </c>
      <c r="AD300" s="19">
        <f t="shared" si="12"/>
        <v>1016.5882352941177</v>
      </c>
      <c r="AE300" s="20" t="s">
        <v>723</v>
      </c>
      <c r="AG300" s="21">
        <f>SUMIF([1]SO003!$H:$H,'SA007 2025.01-2026.05 '!$D300,[1]SO003!AF:AF)</f>
        <v>4673.576</v>
      </c>
      <c r="AH300" s="21">
        <f>SUMIF([1]SO003!$H:$H,'SA007 2025.01-2026.05 '!$D300,[1]SO003!AH:AH)</f>
        <v>4673.576</v>
      </c>
      <c r="AI300" s="21">
        <f>SUMIF([1]SO003!$H:$H,'SA007 2025.01-2026.05 '!$D300,[1]SO003!AJ:AJ)</f>
        <v>0</v>
      </c>
    </row>
    <row r="301" spans="1:35" x14ac:dyDescent="0.55000000000000004">
      <c r="A301" s="2" t="s">
        <v>724</v>
      </c>
      <c r="C301" s="2" t="s">
        <v>365</v>
      </c>
      <c r="D301" s="2" t="s">
        <v>725</v>
      </c>
      <c r="E301" s="2" t="s">
        <v>363</v>
      </c>
      <c r="G301" s="3" t="s">
        <v>47</v>
      </c>
      <c r="H301" s="2" t="s">
        <v>726</v>
      </c>
      <c r="I301" s="17">
        <v>2.2999999999999998</v>
      </c>
      <c r="J301" s="3">
        <v>65</v>
      </c>
      <c r="K301" s="3">
        <v>1220</v>
      </c>
      <c r="L301" s="18">
        <v>0</v>
      </c>
      <c r="M301" s="18">
        <v>0</v>
      </c>
      <c r="N301" s="18">
        <v>0</v>
      </c>
      <c r="O301" s="18">
        <v>142</v>
      </c>
      <c r="P301" s="18">
        <v>0</v>
      </c>
      <c r="Q301" s="18">
        <v>0</v>
      </c>
      <c r="R301" s="18">
        <v>214</v>
      </c>
      <c r="S301" s="18">
        <v>0</v>
      </c>
      <c r="T301" s="18">
        <v>149</v>
      </c>
      <c r="U301" s="18">
        <v>143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f>SUMIF([1]SA007!$C:$C,'SA007 2025.01-2026.05 '!$D301,[1]SA007!P:P)</f>
        <v>144</v>
      </c>
      <c r="AB301" s="18">
        <f>SUMIF([1]SA007!$C:$C,'SA007 2025.01-2026.05 '!$D301,[1]SA007!Q:Q)</f>
        <v>0</v>
      </c>
      <c r="AC301" s="19">
        <f t="shared" si="11"/>
        <v>792</v>
      </c>
      <c r="AD301" s="19">
        <f t="shared" si="12"/>
        <v>46.588235294117645</v>
      </c>
      <c r="AE301" s="20" t="s">
        <v>116</v>
      </c>
      <c r="AG301" s="21">
        <f>SUMIF([1]SO003!$H:$H,'SA007 2025.01-2026.05 '!$D301,[1]SO003!AF:AF)</f>
        <v>143.17614999999998</v>
      </c>
      <c r="AH301" s="21">
        <f>SUMIF([1]SO003!$H:$H,'SA007 2025.01-2026.05 '!$D301,[1]SO003!AH:AH)</f>
        <v>143.17614999999998</v>
      </c>
      <c r="AI301" s="21">
        <f>SUMIF([1]SO003!$H:$H,'SA007 2025.01-2026.05 '!$D301,[1]SO003!AJ:AJ)</f>
        <v>0</v>
      </c>
    </row>
    <row r="302" spans="1:35" x14ac:dyDescent="0.55000000000000004">
      <c r="A302" s="2" t="s">
        <v>389</v>
      </c>
      <c r="B302" s="2" t="s">
        <v>213</v>
      </c>
      <c r="C302" s="2" t="s">
        <v>213</v>
      </c>
      <c r="D302" s="2" t="s">
        <v>727</v>
      </c>
      <c r="E302" s="2" t="s">
        <v>363</v>
      </c>
      <c r="G302" s="3" t="s">
        <v>47</v>
      </c>
      <c r="H302" s="2" t="s">
        <v>213</v>
      </c>
      <c r="I302" s="17">
        <v>2</v>
      </c>
      <c r="J302" s="3">
        <v>57</v>
      </c>
      <c r="K302" s="3">
        <v>1220</v>
      </c>
      <c r="L302" s="18">
        <v>0</v>
      </c>
      <c r="M302" s="18">
        <v>0</v>
      </c>
      <c r="N302" s="18">
        <v>0</v>
      </c>
      <c r="O302" s="18">
        <v>109</v>
      </c>
      <c r="P302" s="18">
        <v>0</v>
      </c>
      <c r="Q302" s="18">
        <v>0</v>
      </c>
      <c r="R302" s="18">
        <v>0</v>
      </c>
      <c r="S302" s="18">
        <v>107</v>
      </c>
      <c r="T302" s="18">
        <v>105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110</v>
      </c>
      <c r="AA302" s="18">
        <f>SUMIF([1]SA007!$C:$C,'SA007 2025.01-2026.05 '!$D302,[1]SA007!P:P)</f>
        <v>165</v>
      </c>
      <c r="AB302" s="18">
        <f>SUMIF([1]SA007!$C:$C,'SA007 2025.01-2026.05 '!$D302,[1]SA007!Q:Q)</f>
        <v>0</v>
      </c>
      <c r="AC302" s="19">
        <f t="shared" si="11"/>
        <v>596</v>
      </c>
      <c r="AD302" s="19">
        <f t="shared" si="12"/>
        <v>35.058823529411768</v>
      </c>
      <c r="AE302" s="20" t="s">
        <v>48</v>
      </c>
      <c r="AG302" s="21">
        <f>SUMIF([1]SO003!$H:$H,'SA007 2025.01-2026.05 '!$D302,[1]SO003!AF:AF)</f>
        <v>0</v>
      </c>
      <c r="AH302" s="21">
        <f>SUMIF([1]SO003!$H:$H,'SA007 2025.01-2026.05 '!$D302,[1]SO003!AH:AH)</f>
        <v>0</v>
      </c>
      <c r="AI302" s="21">
        <f>SUMIF([1]SO003!$H:$H,'SA007 2025.01-2026.05 '!$D302,[1]SO003!AJ:AJ)</f>
        <v>0</v>
      </c>
    </row>
    <row r="303" spans="1:35" x14ac:dyDescent="0.55000000000000004">
      <c r="A303" s="2" t="s">
        <v>433</v>
      </c>
      <c r="B303" s="2" t="s">
        <v>213</v>
      </c>
      <c r="C303" s="2" t="s">
        <v>213</v>
      </c>
      <c r="D303" s="2" t="s">
        <v>728</v>
      </c>
      <c r="E303" s="2" t="s">
        <v>363</v>
      </c>
      <c r="G303" s="3" t="s">
        <v>47</v>
      </c>
      <c r="H303" s="2" t="s">
        <v>402</v>
      </c>
      <c r="I303" s="17">
        <v>2.6</v>
      </c>
      <c r="J303" s="3">
        <v>120</v>
      </c>
      <c r="K303" s="3">
        <v>1220</v>
      </c>
      <c r="L303" s="18">
        <v>0</v>
      </c>
      <c r="M303" s="18">
        <v>0</v>
      </c>
      <c r="N303" s="18">
        <v>0</v>
      </c>
      <c r="O303" s="18">
        <v>906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f>SUMIF([1]SA007!$C:$C,'SA007 2025.01-2026.05 '!$D303,[1]SA007!P:P)</f>
        <v>0</v>
      </c>
      <c r="AB303" s="18">
        <f>SUMIF([1]SA007!$C:$C,'SA007 2025.01-2026.05 '!$D303,[1]SA007!Q:Q)</f>
        <v>0</v>
      </c>
      <c r="AC303" s="19">
        <f t="shared" si="11"/>
        <v>906</v>
      </c>
      <c r="AD303" s="19">
        <f t="shared" si="12"/>
        <v>53.294117647058826</v>
      </c>
      <c r="AE303" s="20" t="e">
        <v>#N/A</v>
      </c>
      <c r="AG303" s="21">
        <f>SUMIF([1]SO003!$H:$H,'SA007 2025.01-2026.05 '!$D303,[1]SO003!AF:AF)</f>
        <v>0</v>
      </c>
      <c r="AH303" s="21">
        <f>SUMIF([1]SO003!$H:$H,'SA007 2025.01-2026.05 '!$D303,[1]SO003!AH:AH)</f>
        <v>0</v>
      </c>
      <c r="AI303" s="21">
        <f>SUMIF([1]SO003!$H:$H,'SA007 2025.01-2026.05 '!$D303,[1]SO003!AJ:AJ)</f>
        <v>0</v>
      </c>
    </row>
    <row r="304" spans="1:35" x14ac:dyDescent="0.55000000000000004">
      <c r="A304" s="2" t="s">
        <v>212</v>
      </c>
      <c r="D304" s="22" t="s">
        <v>729</v>
      </c>
      <c r="E304" s="2" t="s">
        <v>555</v>
      </c>
      <c r="F304" s="2" t="s">
        <v>730</v>
      </c>
      <c r="G304" s="3" t="s">
        <v>47</v>
      </c>
      <c r="H304" s="2" t="s">
        <v>321</v>
      </c>
      <c r="I304" s="17">
        <v>1.6</v>
      </c>
      <c r="J304" s="3">
        <v>70</v>
      </c>
      <c r="K304" s="3" t="s">
        <v>731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36</v>
      </c>
      <c r="W304" s="21">
        <v>0</v>
      </c>
      <c r="X304" s="18">
        <v>0</v>
      </c>
      <c r="Y304" s="18">
        <v>0</v>
      </c>
      <c r="Z304" s="18">
        <v>0</v>
      </c>
      <c r="AA304" s="18">
        <f>SUMIF([1]SA007!$C:$C,'SA007 2025.01-2026.05 '!$D304,[1]SA007!P:P)</f>
        <v>0</v>
      </c>
      <c r="AB304" s="18">
        <f>SUMIF([1]SA007!$C:$C,'SA007 2025.01-2026.05 '!$D304,[1]SA007!Q:Q)</f>
        <v>0</v>
      </c>
      <c r="AC304" s="19">
        <f t="shared" si="11"/>
        <v>36</v>
      </c>
      <c r="AD304" s="19">
        <f t="shared" si="12"/>
        <v>2.1176470588235294</v>
      </c>
      <c r="AG304" s="21">
        <f>SUMIF([1]SO003!$H:$H,'SA007 2025.01-2026.05 '!$D304,[1]SO003!AF:AF)</f>
        <v>0</v>
      </c>
      <c r="AH304" s="21">
        <f>SUMIF([1]SO003!$H:$H,'SA007 2025.01-2026.05 '!$D304,[1]SO003!AH:AH)</f>
        <v>0</v>
      </c>
      <c r="AI304" s="21">
        <f>SUMIF([1]SO003!$H:$H,'SA007 2025.01-2026.05 '!$D304,[1]SO003!AJ:AJ)</f>
        <v>0</v>
      </c>
    </row>
    <row r="305" spans="1:35" x14ac:dyDescent="0.55000000000000004">
      <c r="A305" s="23" t="s">
        <v>219</v>
      </c>
      <c r="C305" s="2" t="s">
        <v>67</v>
      </c>
      <c r="D305" s="2" t="s">
        <v>732</v>
      </c>
      <c r="E305" s="2" t="s">
        <v>182</v>
      </c>
      <c r="G305" s="3" t="s">
        <v>57</v>
      </c>
      <c r="H305" s="2" t="s">
        <v>67</v>
      </c>
      <c r="I305" s="17">
        <v>1.2</v>
      </c>
      <c r="J305" s="3">
        <v>133</v>
      </c>
      <c r="K305" s="3">
        <v>863</v>
      </c>
      <c r="L305" s="18">
        <v>0</v>
      </c>
      <c r="M305" s="18">
        <v>0</v>
      </c>
      <c r="N305" s="18">
        <v>0</v>
      </c>
      <c r="O305" s="18">
        <v>130</v>
      </c>
      <c r="P305" s="18">
        <v>0</v>
      </c>
      <c r="Q305" s="18">
        <v>103</v>
      </c>
      <c r="R305" s="18">
        <v>0</v>
      </c>
      <c r="S305" s="18">
        <v>0</v>
      </c>
      <c r="T305" s="18">
        <v>21267</v>
      </c>
      <c r="U305" s="18">
        <v>8834</v>
      </c>
      <c r="V305" s="18">
        <v>3793</v>
      </c>
      <c r="W305" s="18">
        <v>13034</v>
      </c>
      <c r="X305" s="18">
        <v>8363</v>
      </c>
      <c r="Y305" s="18">
        <v>0</v>
      </c>
      <c r="Z305" s="18">
        <v>0</v>
      </c>
      <c r="AA305" s="18">
        <f>SUMIF([1]SA007!$C:$C,'SA007 2025.01-2026.05 '!$D305,[1]SA007!P:P)</f>
        <v>0</v>
      </c>
      <c r="AB305" s="18">
        <f>SUMIF([1]SA007!$C:$C,'SA007 2025.01-2026.05 '!$D305,[1]SA007!Q:Q)</f>
        <v>0</v>
      </c>
      <c r="AC305" s="19">
        <f t="shared" si="11"/>
        <v>55524</v>
      </c>
      <c r="AD305" s="19">
        <f t="shared" si="12"/>
        <v>3266.1176470588234</v>
      </c>
      <c r="AE305" s="20" t="s">
        <v>733</v>
      </c>
      <c r="AG305" s="21">
        <f>SUMIF([1]SO003!$H:$H,'SA007 2025.01-2026.05 '!$D305,[1]SO003!AF:AF)</f>
        <v>0</v>
      </c>
      <c r="AH305" s="21">
        <f>SUMIF([1]SO003!$H:$H,'SA007 2025.01-2026.05 '!$D305,[1]SO003!AH:AH)</f>
        <v>0</v>
      </c>
      <c r="AI305" s="21">
        <f>SUMIF([1]SO003!$H:$H,'SA007 2025.01-2026.05 '!$D305,[1]SO003!AJ:AJ)</f>
        <v>0</v>
      </c>
    </row>
    <row r="306" spans="1:35" x14ac:dyDescent="0.55000000000000004">
      <c r="A306" s="2" t="s">
        <v>198</v>
      </c>
      <c r="C306" s="2" t="s">
        <v>682</v>
      </c>
      <c r="D306" s="2" t="s">
        <v>734</v>
      </c>
      <c r="E306" s="2" t="s">
        <v>227</v>
      </c>
      <c r="G306" s="3" t="s">
        <v>63</v>
      </c>
      <c r="H306" s="2" t="s">
        <v>682</v>
      </c>
      <c r="I306" s="17">
        <v>1</v>
      </c>
      <c r="J306" s="3">
        <v>103</v>
      </c>
      <c r="K306" s="3">
        <v>1220</v>
      </c>
      <c r="L306" s="18">
        <v>0</v>
      </c>
      <c r="M306" s="18">
        <v>0</v>
      </c>
      <c r="N306" s="18">
        <v>0</v>
      </c>
      <c r="O306" s="18">
        <v>32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200</v>
      </c>
      <c r="V306" s="18">
        <v>0</v>
      </c>
      <c r="W306" s="18">
        <v>0</v>
      </c>
      <c r="X306" s="18">
        <v>0</v>
      </c>
      <c r="Y306" s="18">
        <v>415</v>
      </c>
      <c r="Z306" s="18">
        <v>0</v>
      </c>
      <c r="AA306" s="18">
        <f>SUMIF([1]SA007!$C:$C,'SA007 2025.01-2026.05 '!$D306,[1]SA007!P:P)</f>
        <v>0</v>
      </c>
      <c r="AB306" s="18">
        <f>SUMIF([1]SA007!$C:$C,'SA007 2025.01-2026.05 '!$D306,[1]SA007!Q:Q)</f>
        <v>0</v>
      </c>
      <c r="AC306" s="19">
        <f t="shared" si="11"/>
        <v>647</v>
      </c>
      <c r="AD306" s="19">
        <f t="shared" si="12"/>
        <v>38.058823529411768</v>
      </c>
      <c r="AE306" s="20" t="s">
        <v>735</v>
      </c>
      <c r="AG306" s="21">
        <f>SUMIF([1]SO003!$H:$H,'SA007 2025.01-2026.05 '!$D306,[1]SO003!AF:AF)</f>
        <v>0</v>
      </c>
      <c r="AH306" s="21">
        <f>SUMIF([1]SO003!$H:$H,'SA007 2025.01-2026.05 '!$D306,[1]SO003!AH:AH)</f>
        <v>0</v>
      </c>
      <c r="AI306" s="21">
        <f>SUMIF([1]SO003!$H:$H,'SA007 2025.01-2026.05 '!$D306,[1]SO003!AJ:AJ)</f>
        <v>0</v>
      </c>
    </row>
    <row r="307" spans="1:35" x14ac:dyDescent="0.55000000000000004">
      <c r="A307" s="2" t="s">
        <v>509</v>
      </c>
      <c r="B307" s="2" t="s">
        <v>510</v>
      </c>
      <c r="C307" s="2" t="s">
        <v>510</v>
      </c>
      <c r="D307" s="2" t="s">
        <v>736</v>
      </c>
      <c r="E307" s="2" t="s">
        <v>129</v>
      </c>
      <c r="G307" s="3" t="s">
        <v>47</v>
      </c>
      <c r="H307" s="2" t="s">
        <v>737</v>
      </c>
      <c r="I307" s="17">
        <v>6.4</v>
      </c>
      <c r="J307" s="3">
        <v>164</v>
      </c>
      <c r="K307" s="3">
        <v>920</v>
      </c>
      <c r="L307" s="18">
        <v>0</v>
      </c>
      <c r="M307" s="18">
        <v>0</v>
      </c>
      <c r="N307" s="18">
        <v>0</v>
      </c>
      <c r="O307" s="18">
        <v>1166</v>
      </c>
      <c r="P307" s="18">
        <v>0</v>
      </c>
      <c r="Q307" s="18">
        <v>45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f>SUMIF([1]SA007!$C:$C,'SA007 2025.01-2026.05 '!$D307,[1]SA007!P:P)</f>
        <v>0</v>
      </c>
      <c r="AB307" s="18">
        <f>SUMIF([1]SA007!$C:$C,'SA007 2025.01-2026.05 '!$D307,[1]SA007!Q:Q)</f>
        <v>0</v>
      </c>
      <c r="AC307" s="19">
        <f t="shared" si="11"/>
        <v>1211</v>
      </c>
      <c r="AD307" s="19">
        <f t="shared" si="12"/>
        <v>71.235294117647058</v>
      </c>
      <c r="AE307" s="20" t="s">
        <v>459</v>
      </c>
      <c r="AG307" s="21">
        <f>SUMIF([1]SO003!$H:$H,'SA007 2025.01-2026.05 '!$D307,[1]SO003!AF:AF)</f>
        <v>0</v>
      </c>
      <c r="AH307" s="21">
        <f>SUMIF([1]SO003!$H:$H,'SA007 2025.01-2026.05 '!$D307,[1]SO003!AH:AH)</f>
        <v>0</v>
      </c>
      <c r="AI307" s="21">
        <f>SUMIF([1]SO003!$H:$H,'SA007 2025.01-2026.05 '!$D307,[1]SO003!AJ:AJ)</f>
        <v>0</v>
      </c>
    </row>
    <row r="308" spans="1:35" x14ac:dyDescent="0.55000000000000004">
      <c r="A308" s="2" t="s">
        <v>145</v>
      </c>
      <c r="B308" s="2" t="s">
        <v>61</v>
      </c>
      <c r="C308" s="2" t="s">
        <v>61</v>
      </c>
      <c r="D308" s="2" t="s">
        <v>738</v>
      </c>
      <c r="E308" s="2" t="s">
        <v>182</v>
      </c>
      <c r="F308" s="2" t="s">
        <v>182</v>
      </c>
      <c r="G308" s="3" t="s">
        <v>63</v>
      </c>
      <c r="H308" s="2" t="s">
        <v>61</v>
      </c>
      <c r="I308" s="17">
        <v>0.8</v>
      </c>
      <c r="J308" s="3">
        <v>36</v>
      </c>
      <c r="K308" s="3" t="s">
        <v>41</v>
      </c>
      <c r="L308" s="18">
        <v>55</v>
      </c>
      <c r="M308" s="18">
        <v>0</v>
      </c>
      <c r="N308" s="18">
        <v>135</v>
      </c>
      <c r="O308" s="18">
        <v>0</v>
      </c>
      <c r="P308" s="18">
        <v>0</v>
      </c>
      <c r="Q308" s="18">
        <v>66</v>
      </c>
      <c r="R308" s="18">
        <v>137</v>
      </c>
      <c r="S308" s="18">
        <v>0</v>
      </c>
      <c r="T308" s="18">
        <v>54</v>
      </c>
      <c r="U308" s="18">
        <v>54</v>
      </c>
      <c r="V308" s="18">
        <v>120</v>
      </c>
      <c r="W308" s="18">
        <v>0</v>
      </c>
      <c r="X308" s="18">
        <v>0</v>
      </c>
      <c r="Y308" s="18">
        <v>185</v>
      </c>
      <c r="Z308" s="18">
        <v>0</v>
      </c>
      <c r="AA308" s="18">
        <f>SUMIF([1]SA007!$C:$C,'SA007 2025.01-2026.05 '!$D308,[1]SA007!P:P)</f>
        <v>0</v>
      </c>
      <c r="AB308" s="18">
        <f>SUMIF([1]SA007!$C:$C,'SA007 2025.01-2026.05 '!$D308,[1]SA007!Q:Q)</f>
        <v>0</v>
      </c>
      <c r="AC308" s="19">
        <f t="shared" si="11"/>
        <v>806</v>
      </c>
      <c r="AD308" s="19">
        <f t="shared" si="12"/>
        <v>47.411764705882355</v>
      </c>
      <c r="AE308" s="20" t="s">
        <v>739</v>
      </c>
      <c r="AG308" s="21">
        <f>SUMIF([1]SO003!$H:$H,'SA007 2025.01-2026.05 '!$D308,[1]SO003!AF:AF)</f>
        <v>0</v>
      </c>
      <c r="AH308" s="21">
        <f>SUMIF([1]SO003!$H:$H,'SA007 2025.01-2026.05 '!$D308,[1]SO003!AH:AH)</f>
        <v>0</v>
      </c>
      <c r="AI308" s="21">
        <f>SUMIF([1]SO003!$H:$H,'SA007 2025.01-2026.05 '!$D308,[1]SO003!AJ:AJ)</f>
        <v>0</v>
      </c>
    </row>
    <row r="309" spans="1:35" x14ac:dyDescent="0.55000000000000004">
      <c r="A309" s="2" t="s">
        <v>740</v>
      </c>
      <c r="B309" s="2" t="s">
        <v>365</v>
      </c>
      <c r="C309" s="2" t="s">
        <v>365</v>
      </c>
      <c r="D309" s="2" t="s">
        <v>741</v>
      </c>
      <c r="E309" s="2" t="s">
        <v>129</v>
      </c>
      <c r="G309" s="3" t="s">
        <v>47</v>
      </c>
      <c r="H309" s="2" t="s">
        <v>469</v>
      </c>
      <c r="I309" s="17">
        <v>5</v>
      </c>
      <c r="J309" s="3">
        <v>66</v>
      </c>
      <c r="K309" s="3">
        <v>1490</v>
      </c>
      <c r="L309" s="18">
        <v>0</v>
      </c>
      <c r="M309" s="18">
        <v>0</v>
      </c>
      <c r="N309" s="18">
        <v>0</v>
      </c>
      <c r="O309" s="18">
        <v>277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208</v>
      </c>
      <c r="W309" s="18">
        <v>0</v>
      </c>
      <c r="X309" s="18">
        <v>0</v>
      </c>
      <c r="Y309" s="18">
        <v>0</v>
      </c>
      <c r="Z309" s="18">
        <v>0</v>
      </c>
      <c r="AA309" s="18">
        <f>SUMIF([1]SA007!$C:$C,'SA007 2025.01-2026.05 '!$D309,[1]SA007!P:P)</f>
        <v>0</v>
      </c>
      <c r="AB309" s="18">
        <f>SUMIF([1]SA007!$C:$C,'SA007 2025.01-2026.05 '!$D309,[1]SA007!Q:Q)</f>
        <v>0</v>
      </c>
      <c r="AC309" s="19">
        <f t="shared" si="11"/>
        <v>485</v>
      </c>
      <c r="AD309" s="19">
        <f t="shared" si="12"/>
        <v>28.529411764705884</v>
      </c>
      <c r="AE309" s="20" t="s">
        <v>742</v>
      </c>
      <c r="AG309" s="21">
        <f>SUMIF([1]SO003!$H:$H,'SA007 2025.01-2026.05 '!$D309,[1]SO003!AF:AF)</f>
        <v>192.99225000000001</v>
      </c>
      <c r="AH309" s="21">
        <f>SUMIF([1]SO003!$H:$H,'SA007 2025.01-2026.05 '!$D309,[1]SO003!AH:AH)</f>
        <v>192.99225000000001</v>
      </c>
      <c r="AI309" s="21">
        <f>SUMIF([1]SO003!$H:$H,'SA007 2025.01-2026.05 '!$D309,[1]SO003!AJ:AJ)</f>
        <v>0</v>
      </c>
    </row>
    <row r="310" spans="1:35" x14ac:dyDescent="0.55000000000000004">
      <c r="A310" s="2" t="s">
        <v>356</v>
      </c>
      <c r="C310" s="2" t="s">
        <v>61</v>
      </c>
      <c r="D310" s="2" t="s">
        <v>743</v>
      </c>
      <c r="E310" s="2" t="s">
        <v>101</v>
      </c>
      <c r="G310" s="3" t="s">
        <v>63</v>
      </c>
      <c r="H310" s="2" t="s">
        <v>64</v>
      </c>
      <c r="I310" s="17">
        <v>2</v>
      </c>
      <c r="J310" s="3">
        <v>132</v>
      </c>
      <c r="K310" s="3" t="s">
        <v>102</v>
      </c>
      <c r="L310" s="18">
        <v>0</v>
      </c>
      <c r="M310" s="18">
        <v>0</v>
      </c>
      <c r="N310" s="18">
        <v>0</v>
      </c>
      <c r="O310" s="18">
        <v>170</v>
      </c>
      <c r="P310" s="18">
        <v>0</v>
      </c>
      <c r="Q310" s="18">
        <v>0</v>
      </c>
      <c r="R310" s="18">
        <v>0</v>
      </c>
      <c r="S310" s="18">
        <v>210</v>
      </c>
      <c r="T310" s="18">
        <v>0</v>
      </c>
      <c r="U310" s="18">
        <v>205</v>
      </c>
      <c r="V310" s="18">
        <v>205</v>
      </c>
      <c r="W310" s="18">
        <v>492</v>
      </c>
      <c r="X310" s="18">
        <v>464</v>
      </c>
      <c r="Y310" s="18">
        <v>462</v>
      </c>
      <c r="Z310" s="18">
        <v>1248</v>
      </c>
      <c r="AA310" s="18">
        <f>SUMIF([1]SA007!$C:$C,'SA007 2025.01-2026.05 '!$D310,[1]SA007!P:P)</f>
        <v>903</v>
      </c>
      <c r="AB310" s="18">
        <f>SUMIF([1]SA007!$C:$C,'SA007 2025.01-2026.05 '!$D310,[1]SA007!Q:Q)</f>
        <v>2477</v>
      </c>
      <c r="AC310" s="19">
        <f t="shared" si="11"/>
        <v>6836</v>
      </c>
      <c r="AD310" s="19">
        <f t="shared" si="12"/>
        <v>402.11764705882354</v>
      </c>
      <c r="AE310" s="20" t="e">
        <v>#N/A</v>
      </c>
      <c r="AG310" s="21">
        <f>SUMIF([1]SO003!$H:$H,'SA007 2025.01-2026.05 '!$D310,[1]SO003!AF:AF)</f>
        <v>0</v>
      </c>
      <c r="AH310" s="21">
        <f>SUMIF([1]SO003!$H:$H,'SA007 2025.01-2026.05 '!$D310,[1]SO003!AH:AH)</f>
        <v>0</v>
      </c>
      <c r="AI310" s="21">
        <f>SUMIF([1]SO003!$H:$H,'SA007 2025.01-2026.05 '!$D310,[1]SO003!AJ:AJ)</f>
        <v>0</v>
      </c>
    </row>
    <row r="311" spans="1:35" x14ac:dyDescent="0.55000000000000004">
      <c r="A311" s="23" t="s">
        <v>219</v>
      </c>
      <c r="D311" s="2" t="s">
        <v>744</v>
      </c>
      <c r="E311" s="2" t="s">
        <v>185</v>
      </c>
      <c r="G311" s="3" t="s">
        <v>57</v>
      </c>
      <c r="H311" s="2" t="s">
        <v>67</v>
      </c>
      <c r="I311" s="17">
        <v>1.2</v>
      </c>
      <c r="J311" s="3">
        <v>260</v>
      </c>
      <c r="K311" s="3" t="s">
        <v>731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1040</v>
      </c>
      <c r="W311" s="18">
        <v>0</v>
      </c>
      <c r="X311" s="18">
        <v>0</v>
      </c>
      <c r="Y311" s="18">
        <v>0</v>
      </c>
      <c r="Z311" s="18">
        <v>0</v>
      </c>
      <c r="AA311" s="18">
        <f>SUMIF([1]SA007!$C:$C,'SA007 2025.01-2026.05 '!$D311,[1]SA007!P:P)</f>
        <v>0</v>
      </c>
      <c r="AB311" s="18">
        <f>SUMIF([1]SA007!$C:$C,'SA007 2025.01-2026.05 '!$D311,[1]SA007!Q:Q)</f>
        <v>0</v>
      </c>
      <c r="AC311" s="19">
        <f t="shared" si="11"/>
        <v>1040</v>
      </c>
      <c r="AD311" s="19">
        <f t="shared" si="12"/>
        <v>61.176470588235297</v>
      </c>
      <c r="AG311" s="21">
        <f>SUMIF([1]SO003!$H:$H,'SA007 2025.01-2026.05 '!$D311,[1]SO003!AF:AF)</f>
        <v>0</v>
      </c>
      <c r="AH311" s="21">
        <f>SUMIF([1]SO003!$H:$H,'SA007 2025.01-2026.05 '!$D311,[1]SO003!AH:AH)</f>
        <v>0</v>
      </c>
      <c r="AI311" s="21">
        <f>SUMIF([1]SO003!$H:$H,'SA007 2025.01-2026.05 '!$D311,[1]SO003!AJ:AJ)</f>
        <v>0</v>
      </c>
    </row>
    <row r="312" spans="1:35" x14ac:dyDescent="0.55000000000000004">
      <c r="A312" s="2" t="s">
        <v>745</v>
      </c>
      <c r="B312" s="2" t="s">
        <v>61</v>
      </c>
      <c r="C312" s="2" t="s">
        <v>61</v>
      </c>
      <c r="D312" s="2" t="s">
        <v>746</v>
      </c>
      <c r="E312" s="2" t="s">
        <v>129</v>
      </c>
      <c r="G312" s="3" t="s">
        <v>63</v>
      </c>
      <c r="H312" s="2" t="s">
        <v>98</v>
      </c>
      <c r="I312" s="17">
        <v>1.5</v>
      </c>
      <c r="J312" s="3">
        <v>216</v>
      </c>
      <c r="K312" s="3" t="s">
        <v>41</v>
      </c>
      <c r="L312" s="18">
        <v>0</v>
      </c>
      <c r="M312" s="18">
        <v>0</v>
      </c>
      <c r="N312" s="18">
        <v>0</v>
      </c>
      <c r="O312" s="18">
        <v>572</v>
      </c>
      <c r="P312" s="18">
        <v>0</v>
      </c>
      <c r="Q312" s="18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f>SUMIF([1]SA007!$C:$C,'SA007 2025.01-2026.05 '!$D312,[1]SA007!P:P)</f>
        <v>0</v>
      </c>
      <c r="AB312" s="18">
        <f>SUMIF([1]SA007!$C:$C,'SA007 2025.01-2026.05 '!$D312,[1]SA007!Q:Q)</f>
        <v>0</v>
      </c>
      <c r="AC312" s="19">
        <f t="shared" si="11"/>
        <v>572</v>
      </c>
      <c r="AD312" s="19">
        <f t="shared" si="12"/>
        <v>33.647058823529413</v>
      </c>
      <c r="AE312" s="20" t="s">
        <v>747</v>
      </c>
      <c r="AG312" s="21">
        <f>SUMIF([1]SO003!$H:$H,'SA007 2025.01-2026.05 '!$D312,[1]SO003!AF:AF)</f>
        <v>0</v>
      </c>
      <c r="AH312" s="21">
        <f>SUMIF([1]SO003!$H:$H,'SA007 2025.01-2026.05 '!$D312,[1]SO003!AH:AH)</f>
        <v>0</v>
      </c>
      <c r="AI312" s="21">
        <f>SUMIF([1]SO003!$H:$H,'SA007 2025.01-2026.05 '!$D312,[1]SO003!AJ:AJ)</f>
        <v>0</v>
      </c>
    </row>
    <row r="313" spans="1:35" x14ac:dyDescent="0.55000000000000004">
      <c r="A313" s="23" t="s">
        <v>219</v>
      </c>
      <c r="D313" s="2" t="s">
        <v>748</v>
      </c>
      <c r="E313" s="2" t="s">
        <v>249</v>
      </c>
      <c r="G313" s="3" t="s">
        <v>57</v>
      </c>
      <c r="H313" s="2" t="s">
        <v>67</v>
      </c>
      <c r="I313" s="17">
        <v>1.2</v>
      </c>
      <c r="J313" s="3">
        <v>74.400000000000006</v>
      </c>
      <c r="K313" s="3" t="s">
        <v>749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f>SUMIF([1]SA007!$C:$C,'SA007 2025.01-2026.05 '!$D313,[1]SA007!P:P)</f>
        <v>0</v>
      </c>
      <c r="AB313" s="18">
        <f>SUMIF([1]SA007!$C:$C,'SA007 2025.01-2026.05 '!$D313,[1]SA007!Q:Q)</f>
        <v>0</v>
      </c>
      <c r="AC313" s="19">
        <f t="shared" si="11"/>
        <v>0</v>
      </c>
      <c r="AD313" s="19">
        <f t="shared" si="12"/>
        <v>0</v>
      </c>
      <c r="AG313" s="21">
        <f>SUMIF([1]SO003!$H:$H,'SA007 2025.01-2026.05 '!$D313,[1]SO003!AF:AF)</f>
        <v>0</v>
      </c>
      <c r="AH313" s="21">
        <f>SUMIF([1]SO003!$H:$H,'SA007 2025.01-2026.05 '!$D313,[1]SO003!AH:AH)</f>
        <v>0</v>
      </c>
      <c r="AI313" s="21">
        <f>SUMIF([1]SO003!$H:$H,'SA007 2025.01-2026.05 '!$D313,[1]SO003!AJ:AJ)</f>
        <v>0</v>
      </c>
    </row>
    <row r="314" spans="1:35" x14ac:dyDescent="0.55000000000000004">
      <c r="A314" s="2" t="s">
        <v>254</v>
      </c>
      <c r="D314" s="22" t="s">
        <v>750</v>
      </c>
      <c r="E314" s="2" t="s">
        <v>116</v>
      </c>
      <c r="F314" s="2" t="s">
        <v>116</v>
      </c>
      <c r="G314" s="3" t="s">
        <v>47</v>
      </c>
      <c r="H314" s="2" t="s">
        <v>751</v>
      </c>
      <c r="I314" s="17">
        <v>1.6</v>
      </c>
      <c r="J314" s="3">
        <v>1219</v>
      </c>
      <c r="K314" s="3">
        <v>2438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f>SUMIF([1]SA007!$C:$C,'SA007 2025.01-2026.05 '!$D314,[1]SA007!P:P)</f>
        <v>0</v>
      </c>
      <c r="AB314" s="18">
        <f>SUMIF([1]SA007!$C:$C,'SA007 2025.01-2026.05 '!$D314,[1]SA007!Q:Q)</f>
        <v>0</v>
      </c>
      <c r="AC314" s="19">
        <f t="shared" si="11"/>
        <v>0</v>
      </c>
      <c r="AD314" s="19">
        <f t="shared" si="12"/>
        <v>0</v>
      </c>
      <c r="AG314" s="21">
        <f>SUMIF([1]SO003!$H:$H,'SA007 2025.01-2026.05 '!$D314,[1]SO003!AF:AF)</f>
        <v>0</v>
      </c>
      <c r="AH314" s="21">
        <f>SUMIF([1]SO003!$H:$H,'SA007 2025.01-2026.05 '!$D314,[1]SO003!AH:AH)</f>
        <v>0</v>
      </c>
      <c r="AI314" s="21">
        <f>SUMIF([1]SO003!$H:$H,'SA007 2025.01-2026.05 '!$D314,[1]SO003!AJ:AJ)</f>
        <v>0</v>
      </c>
    </row>
    <row r="315" spans="1:35" x14ac:dyDescent="0.55000000000000004">
      <c r="A315" s="2" t="s">
        <v>280</v>
      </c>
      <c r="B315" s="2" t="s">
        <v>77</v>
      </c>
      <c r="C315" s="2" t="s">
        <v>77</v>
      </c>
      <c r="D315" s="2" t="s">
        <v>752</v>
      </c>
      <c r="E315" s="2" t="s">
        <v>182</v>
      </c>
      <c r="G315" s="3" t="s">
        <v>39</v>
      </c>
      <c r="H315" s="2" t="s">
        <v>612</v>
      </c>
      <c r="I315" s="17">
        <v>1.5</v>
      </c>
      <c r="J315" s="3">
        <v>135</v>
      </c>
      <c r="K315" s="3">
        <v>641</v>
      </c>
      <c r="L315" s="18">
        <v>0</v>
      </c>
      <c r="M315" s="18">
        <v>0</v>
      </c>
      <c r="N315" s="18">
        <v>0</v>
      </c>
      <c r="O315" s="18">
        <v>4</v>
      </c>
      <c r="P315" s="18">
        <v>0</v>
      </c>
      <c r="Q315" s="18">
        <v>0</v>
      </c>
      <c r="R315" s="18">
        <v>0</v>
      </c>
      <c r="S315" s="18">
        <v>0</v>
      </c>
      <c r="T315" s="18">
        <v>0</v>
      </c>
      <c r="U315" s="18">
        <v>0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f>SUMIF([1]SA007!$C:$C,'SA007 2025.01-2026.05 '!$D315,[1]SA007!P:P)</f>
        <v>0</v>
      </c>
      <c r="AB315" s="18">
        <f>SUMIF([1]SA007!$C:$C,'SA007 2025.01-2026.05 '!$D315,[1]SA007!Q:Q)</f>
        <v>0</v>
      </c>
      <c r="AC315" s="19">
        <f t="shared" si="11"/>
        <v>4</v>
      </c>
      <c r="AD315" s="19">
        <f t="shared" si="12"/>
        <v>0.23529411764705882</v>
      </c>
      <c r="AE315" s="20" t="e">
        <v>#N/A</v>
      </c>
      <c r="AG315" s="21">
        <f>SUMIF([1]SO003!$H:$H,'SA007 2025.01-2026.05 '!$D315,[1]SO003!AF:AF)</f>
        <v>0</v>
      </c>
      <c r="AH315" s="21">
        <f>SUMIF([1]SO003!$H:$H,'SA007 2025.01-2026.05 '!$D315,[1]SO003!AH:AH)</f>
        <v>0</v>
      </c>
      <c r="AI315" s="21">
        <f>SUMIF([1]SO003!$H:$H,'SA007 2025.01-2026.05 '!$D315,[1]SO003!AJ:AJ)</f>
        <v>0</v>
      </c>
    </row>
    <row r="316" spans="1:35" x14ac:dyDescent="0.55000000000000004">
      <c r="A316" s="2" t="s">
        <v>145</v>
      </c>
      <c r="B316" s="2" t="s">
        <v>61</v>
      </c>
      <c r="C316" s="2" t="s">
        <v>61</v>
      </c>
      <c r="D316" s="2" t="s">
        <v>753</v>
      </c>
      <c r="E316" s="2" t="s">
        <v>182</v>
      </c>
      <c r="F316" s="2" t="s">
        <v>182</v>
      </c>
      <c r="G316" s="3" t="s">
        <v>63</v>
      </c>
      <c r="H316" s="2" t="s">
        <v>61</v>
      </c>
      <c r="I316" s="17">
        <v>0.8</v>
      </c>
      <c r="J316" s="3">
        <v>42</v>
      </c>
      <c r="K316" s="3" t="s">
        <v>41</v>
      </c>
      <c r="L316" s="18">
        <v>101</v>
      </c>
      <c r="M316" s="18">
        <v>228</v>
      </c>
      <c r="N316" s="18">
        <v>0</v>
      </c>
      <c r="O316" s="18">
        <v>0</v>
      </c>
      <c r="P316" s="18">
        <v>0</v>
      </c>
      <c r="Q316" s="18">
        <v>0</v>
      </c>
      <c r="R316" s="18">
        <v>157</v>
      </c>
      <c r="S316" s="18">
        <v>0</v>
      </c>
      <c r="T316" s="18">
        <v>134</v>
      </c>
      <c r="U316" s="18">
        <v>120</v>
      </c>
      <c r="V316" s="18">
        <v>117</v>
      </c>
      <c r="W316" s="18">
        <v>0</v>
      </c>
      <c r="X316" s="18">
        <v>110</v>
      </c>
      <c r="Y316" s="18">
        <v>0</v>
      </c>
      <c r="Z316" s="18">
        <v>239</v>
      </c>
      <c r="AA316" s="18">
        <f>SUMIF([1]SA007!$C:$C,'SA007 2025.01-2026.05 '!$D316,[1]SA007!P:P)</f>
        <v>0</v>
      </c>
      <c r="AB316" s="18">
        <f>SUMIF([1]SA007!$C:$C,'SA007 2025.01-2026.05 '!$D316,[1]SA007!Q:Q)</f>
        <v>0</v>
      </c>
      <c r="AC316" s="19">
        <f t="shared" si="11"/>
        <v>1206</v>
      </c>
      <c r="AD316" s="19">
        <f t="shared" si="12"/>
        <v>70.941176470588232</v>
      </c>
      <c r="AE316" s="20" t="s">
        <v>116</v>
      </c>
      <c r="AG316" s="21">
        <f>SUMIF([1]SO003!$H:$H,'SA007 2025.01-2026.05 '!$D316,[1]SO003!AF:AF)</f>
        <v>0</v>
      </c>
      <c r="AH316" s="21">
        <f>SUMIF([1]SO003!$H:$H,'SA007 2025.01-2026.05 '!$D316,[1]SO003!AH:AH)</f>
        <v>0</v>
      </c>
      <c r="AI316" s="21">
        <f>SUMIF([1]SO003!$H:$H,'SA007 2025.01-2026.05 '!$D316,[1]SO003!AJ:AJ)</f>
        <v>0</v>
      </c>
    </row>
    <row r="317" spans="1:35" x14ac:dyDescent="0.55000000000000004">
      <c r="A317" s="2" t="s">
        <v>145</v>
      </c>
      <c r="B317" s="2" t="s">
        <v>61</v>
      </c>
      <c r="C317" s="2" t="s">
        <v>61</v>
      </c>
      <c r="D317" s="2" t="s">
        <v>754</v>
      </c>
      <c r="E317" s="2" t="s">
        <v>182</v>
      </c>
      <c r="F317" s="2" t="s">
        <v>182</v>
      </c>
      <c r="G317" s="3" t="s">
        <v>63</v>
      </c>
      <c r="H317" s="2" t="s">
        <v>61</v>
      </c>
      <c r="I317" s="17">
        <v>0.8</v>
      </c>
      <c r="J317" s="3">
        <v>51</v>
      </c>
      <c r="K317" s="3" t="s">
        <v>41</v>
      </c>
      <c r="L317" s="18">
        <v>95</v>
      </c>
      <c r="M317" s="18">
        <v>0</v>
      </c>
      <c r="N317" s="18">
        <v>0</v>
      </c>
      <c r="O317" s="18">
        <v>105</v>
      </c>
      <c r="P317" s="18">
        <v>190</v>
      </c>
      <c r="Q317" s="18">
        <v>237</v>
      </c>
      <c r="R317" s="18">
        <v>294</v>
      </c>
      <c r="S317" s="18">
        <v>0</v>
      </c>
      <c r="T317" s="18">
        <v>163</v>
      </c>
      <c r="U317" s="18">
        <v>455</v>
      </c>
      <c r="V317" s="18">
        <v>0</v>
      </c>
      <c r="W317" s="18">
        <v>0</v>
      </c>
      <c r="X317" s="18">
        <v>240</v>
      </c>
      <c r="Y317" s="18">
        <v>0</v>
      </c>
      <c r="Z317" s="18">
        <v>170</v>
      </c>
      <c r="AA317" s="18">
        <f>SUMIF([1]SA007!$C:$C,'SA007 2025.01-2026.05 '!$D317,[1]SA007!P:P)</f>
        <v>0</v>
      </c>
      <c r="AB317" s="18">
        <f>SUMIF([1]SA007!$C:$C,'SA007 2025.01-2026.05 '!$D317,[1]SA007!Q:Q)</f>
        <v>0</v>
      </c>
      <c r="AC317" s="19">
        <f t="shared" si="11"/>
        <v>1949</v>
      </c>
      <c r="AD317" s="19">
        <f t="shared" si="12"/>
        <v>114.64705882352941</v>
      </c>
      <c r="AE317" s="20" t="s">
        <v>116</v>
      </c>
      <c r="AG317" s="21">
        <f>SUMIF([1]SO003!$H:$H,'SA007 2025.01-2026.05 '!$D317,[1]SO003!AF:AF)</f>
        <v>0</v>
      </c>
      <c r="AH317" s="21">
        <f>SUMIF([1]SO003!$H:$H,'SA007 2025.01-2026.05 '!$D317,[1]SO003!AH:AH)</f>
        <v>0</v>
      </c>
      <c r="AI317" s="21">
        <f>SUMIF([1]SO003!$H:$H,'SA007 2025.01-2026.05 '!$D317,[1]SO003!AJ:AJ)</f>
        <v>0</v>
      </c>
    </row>
    <row r="318" spans="1:35" x14ac:dyDescent="0.55000000000000004">
      <c r="A318" s="2" t="s">
        <v>755</v>
      </c>
      <c r="C318" s="2" t="s">
        <v>756</v>
      </c>
      <c r="D318" s="2" t="s">
        <v>757</v>
      </c>
      <c r="E318" s="2" t="s">
        <v>758</v>
      </c>
      <c r="G318" s="3" t="s">
        <v>47</v>
      </c>
      <c r="H318" s="2" t="s">
        <v>759</v>
      </c>
      <c r="I318" s="17">
        <v>2</v>
      </c>
      <c r="J318" s="3">
        <v>37</v>
      </c>
      <c r="K318" s="3">
        <v>1220</v>
      </c>
      <c r="L318" s="18">
        <v>0</v>
      </c>
      <c r="M318" s="18">
        <v>0</v>
      </c>
      <c r="N318" s="18">
        <v>0</v>
      </c>
      <c r="O318" s="18">
        <v>141</v>
      </c>
      <c r="P318" s="18">
        <v>139</v>
      </c>
      <c r="Q318" s="18">
        <v>133</v>
      </c>
      <c r="R318" s="18">
        <v>145</v>
      </c>
      <c r="S318" s="18">
        <v>0</v>
      </c>
      <c r="T318" s="18">
        <v>0</v>
      </c>
      <c r="U318" s="18">
        <v>140</v>
      </c>
      <c r="V318" s="18">
        <v>0</v>
      </c>
      <c r="W318" s="18">
        <v>0</v>
      </c>
      <c r="X318" s="18">
        <v>0</v>
      </c>
      <c r="Y318" s="18">
        <v>0</v>
      </c>
      <c r="Z318" s="18">
        <v>0</v>
      </c>
      <c r="AA318" s="18">
        <f>SUMIF([1]SA007!$C:$C,'SA007 2025.01-2026.05 '!$D318,[1]SA007!P:P)</f>
        <v>0</v>
      </c>
      <c r="AB318" s="18">
        <f>SUMIF([1]SA007!$C:$C,'SA007 2025.01-2026.05 '!$D318,[1]SA007!Q:Q)</f>
        <v>0</v>
      </c>
      <c r="AC318" s="19">
        <f t="shared" si="11"/>
        <v>698</v>
      </c>
      <c r="AD318" s="19">
        <f t="shared" si="12"/>
        <v>41.058823529411768</v>
      </c>
      <c r="AE318" s="20" t="s">
        <v>760</v>
      </c>
      <c r="AG318" s="21">
        <f>SUMIF([1]SO003!$H:$H,'SA007 2025.01-2026.05 '!$D318,[1]SO003!AF:AF)</f>
        <v>0</v>
      </c>
      <c r="AH318" s="21">
        <f>SUMIF([1]SO003!$H:$H,'SA007 2025.01-2026.05 '!$D318,[1]SO003!AH:AH)</f>
        <v>0</v>
      </c>
      <c r="AI318" s="21">
        <f>SUMIF([1]SO003!$H:$H,'SA007 2025.01-2026.05 '!$D318,[1]SO003!AJ:AJ)</f>
        <v>0</v>
      </c>
    </row>
    <row r="319" spans="1:35" x14ac:dyDescent="0.55000000000000004">
      <c r="A319" s="2" t="s">
        <v>254</v>
      </c>
      <c r="D319" s="22" t="s">
        <v>761</v>
      </c>
      <c r="E319" s="2" t="s">
        <v>555</v>
      </c>
      <c r="F319" s="2" t="s">
        <v>555</v>
      </c>
      <c r="G319" s="3" t="s">
        <v>47</v>
      </c>
      <c r="H319" s="2" t="s">
        <v>751</v>
      </c>
      <c r="I319" s="17">
        <v>1.6</v>
      </c>
      <c r="J319" s="3">
        <v>500</v>
      </c>
      <c r="K319" s="3" t="s">
        <v>762</v>
      </c>
      <c r="L319" s="21">
        <v>32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18">
        <v>0</v>
      </c>
      <c r="Y319" s="18">
        <v>0</v>
      </c>
      <c r="Z319" s="18">
        <v>0</v>
      </c>
      <c r="AA319" s="18">
        <f>SUMIF([1]SA007!$C:$C,'SA007 2025.01-2026.05 '!$D319,[1]SA007!P:P)</f>
        <v>0</v>
      </c>
      <c r="AB319" s="18">
        <f>SUMIF([1]SA007!$C:$C,'SA007 2025.01-2026.05 '!$D319,[1]SA007!Q:Q)</f>
        <v>0</v>
      </c>
      <c r="AC319" s="19">
        <f t="shared" si="11"/>
        <v>32</v>
      </c>
      <c r="AD319" s="19">
        <f t="shared" si="12"/>
        <v>1.8823529411764706</v>
      </c>
      <c r="AG319" s="21">
        <f>SUMIF([1]SO003!$H:$H,'SA007 2025.01-2026.05 '!$D319,[1]SO003!AF:AF)</f>
        <v>0</v>
      </c>
      <c r="AH319" s="21">
        <f>SUMIF([1]SO003!$H:$H,'SA007 2025.01-2026.05 '!$D319,[1]SO003!AH:AH)</f>
        <v>0</v>
      </c>
      <c r="AI319" s="21">
        <f>SUMIF([1]SO003!$H:$H,'SA007 2025.01-2026.05 '!$D319,[1]SO003!AJ:AJ)</f>
        <v>0</v>
      </c>
    </row>
    <row r="320" spans="1:35" x14ac:dyDescent="0.55000000000000004">
      <c r="A320" s="2" t="s">
        <v>763</v>
      </c>
      <c r="B320" s="2" t="s">
        <v>365</v>
      </c>
      <c r="C320" s="2" t="s">
        <v>365</v>
      </c>
      <c r="D320" s="2" t="s">
        <v>764</v>
      </c>
      <c r="E320" s="2" t="s">
        <v>363</v>
      </c>
      <c r="F320" s="2" t="s">
        <v>363</v>
      </c>
      <c r="G320" s="3" t="s">
        <v>47</v>
      </c>
      <c r="H320" s="2" t="s">
        <v>367</v>
      </c>
      <c r="I320" s="17">
        <v>1.6</v>
      </c>
      <c r="J320" s="3">
        <v>61</v>
      </c>
      <c r="K320" s="3">
        <v>1220</v>
      </c>
      <c r="L320" s="18">
        <v>0</v>
      </c>
      <c r="M320" s="18">
        <v>0</v>
      </c>
      <c r="N320" s="18">
        <v>0</v>
      </c>
      <c r="O320" s="18">
        <v>92</v>
      </c>
      <c r="P320" s="18">
        <v>93</v>
      </c>
      <c r="Q320" s="18">
        <v>57</v>
      </c>
      <c r="R320" s="18">
        <v>141</v>
      </c>
      <c r="S320" s="18">
        <v>0</v>
      </c>
      <c r="T320" s="18">
        <v>192</v>
      </c>
      <c r="U320" s="18">
        <v>235</v>
      </c>
      <c r="V320" s="18">
        <v>95</v>
      </c>
      <c r="W320" s="18">
        <v>0</v>
      </c>
      <c r="X320" s="18">
        <v>0</v>
      </c>
      <c r="Y320" s="18">
        <v>0</v>
      </c>
      <c r="Z320" s="18">
        <v>0</v>
      </c>
      <c r="AA320" s="18">
        <f>SUMIF([1]SA007!$C:$C,'SA007 2025.01-2026.05 '!$D320,[1]SA007!P:P)</f>
        <v>92</v>
      </c>
      <c r="AB320" s="18">
        <f>SUMIF([1]SA007!$C:$C,'SA007 2025.01-2026.05 '!$D320,[1]SA007!Q:Q)</f>
        <v>92</v>
      </c>
      <c r="AC320" s="19">
        <f t="shared" si="11"/>
        <v>1089</v>
      </c>
      <c r="AD320" s="19">
        <f t="shared" si="12"/>
        <v>64.058823529411768</v>
      </c>
      <c r="AE320" s="20" t="s">
        <v>116</v>
      </c>
      <c r="AG320" s="21">
        <f>SUMIF([1]SO003!$H:$H,'SA007 2025.01-2026.05 '!$D320,[1]SO003!AF:AF)</f>
        <v>140.20728000000003</v>
      </c>
      <c r="AH320" s="21">
        <f>SUMIF([1]SO003!$H:$H,'SA007 2025.01-2026.05 '!$D320,[1]SO003!AH:AH)</f>
        <v>148.61971680000002</v>
      </c>
      <c r="AI320" s="21">
        <f>SUMIF([1]SO003!$H:$H,'SA007 2025.01-2026.05 '!$D320,[1]SO003!AJ:AJ)</f>
        <v>0</v>
      </c>
    </row>
    <row r="321" spans="1:35" x14ac:dyDescent="0.55000000000000004">
      <c r="A321" s="2" t="s">
        <v>389</v>
      </c>
      <c r="B321" s="2" t="s">
        <v>213</v>
      </c>
      <c r="C321" s="2" t="s">
        <v>213</v>
      </c>
      <c r="D321" s="2" t="s">
        <v>765</v>
      </c>
      <c r="E321" s="2" t="s">
        <v>363</v>
      </c>
      <c r="G321" s="3" t="s">
        <v>47</v>
      </c>
      <c r="H321" s="2" t="s">
        <v>402</v>
      </c>
      <c r="I321" s="17">
        <v>2</v>
      </c>
      <c r="J321" s="3">
        <v>86</v>
      </c>
      <c r="K321" s="3">
        <v>1220</v>
      </c>
      <c r="L321" s="18">
        <v>0</v>
      </c>
      <c r="M321" s="18">
        <v>0</v>
      </c>
      <c r="N321" s="18">
        <v>0</v>
      </c>
      <c r="O321" s="18">
        <v>0</v>
      </c>
      <c r="P321" s="18">
        <v>330</v>
      </c>
      <c r="Q321" s="18">
        <v>0</v>
      </c>
      <c r="R321" s="18">
        <v>0</v>
      </c>
      <c r="S321" s="18">
        <v>0</v>
      </c>
      <c r="T321" s="18">
        <v>0</v>
      </c>
      <c r="U321" s="18">
        <v>495</v>
      </c>
      <c r="V321" s="18">
        <v>0</v>
      </c>
      <c r="W321" s="18">
        <v>0</v>
      </c>
      <c r="X321" s="18">
        <v>0</v>
      </c>
      <c r="Y321" s="18">
        <v>0</v>
      </c>
      <c r="Z321" s="18">
        <v>181</v>
      </c>
      <c r="AA321" s="18">
        <f>SUMIF([1]SA007!$C:$C,'SA007 2025.01-2026.05 '!$D321,[1]SA007!P:P)</f>
        <v>0</v>
      </c>
      <c r="AB321" s="18">
        <f>SUMIF([1]SA007!$C:$C,'SA007 2025.01-2026.05 '!$D321,[1]SA007!Q:Q)</f>
        <v>0</v>
      </c>
      <c r="AC321" s="19">
        <f t="shared" si="11"/>
        <v>1006</v>
      </c>
      <c r="AD321" s="19">
        <f t="shared" si="12"/>
        <v>59.176470588235297</v>
      </c>
      <c r="AE321" s="20" t="s">
        <v>116</v>
      </c>
      <c r="AG321" s="21">
        <f>SUMIF([1]SO003!$H:$H,'SA007 2025.01-2026.05 '!$D321,[1]SO003!AF:AF)</f>
        <v>0</v>
      </c>
      <c r="AH321" s="21">
        <f>SUMIF([1]SO003!$H:$H,'SA007 2025.01-2026.05 '!$D321,[1]SO003!AH:AH)</f>
        <v>0</v>
      </c>
      <c r="AI321" s="21">
        <f>SUMIF([1]SO003!$H:$H,'SA007 2025.01-2026.05 '!$D321,[1]SO003!AJ:AJ)</f>
        <v>0</v>
      </c>
    </row>
    <row r="322" spans="1:35" x14ac:dyDescent="0.55000000000000004">
      <c r="A322" s="2" t="s">
        <v>389</v>
      </c>
      <c r="B322" s="2" t="s">
        <v>213</v>
      </c>
      <c r="C322" s="2" t="s">
        <v>213</v>
      </c>
      <c r="D322" s="2" t="s">
        <v>766</v>
      </c>
      <c r="E322" s="2" t="s">
        <v>363</v>
      </c>
      <c r="G322" s="3" t="s">
        <v>47</v>
      </c>
      <c r="H322" s="2" t="s">
        <v>402</v>
      </c>
      <c r="I322" s="17">
        <v>2</v>
      </c>
      <c r="J322" s="3">
        <v>26</v>
      </c>
      <c r="K322" s="3">
        <v>1220</v>
      </c>
      <c r="L322" s="18">
        <v>0</v>
      </c>
      <c r="M322" s="18">
        <v>0</v>
      </c>
      <c r="N322" s="18">
        <v>0</v>
      </c>
      <c r="O322" s="18">
        <v>0</v>
      </c>
      <c r="P322" s="18">
        <v>49</v>
      </c>
      <c r="Q322" s="18">
        <v>0</v>
      </c>
      <c r="R322" s="18">
        <v>0</v>
      </c>
      <c r="S322" s="18">
        <v>100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f>SUMIF([1]SA007!$C:$C,'SA007 2025.01-2026.05 '!$D322,[1]SA007!P:P)</f>
        <v>0</v>
      </c>
      <c r="AB322" s="18">
        <f>SUMIF([1]SA007!$C:$C,'SA007 2025.01-2026.05 '!$D322,[1]SA007!Q:Q)</f>
        <v>0</v>
      </c>
      <c r="AC322" s="19">
        <f t="shared" si="11"/>
        <v>149</v>
      </c>
      <c r="AD322" s="19">
        <f t="shared" si="12"/>
        <v>8.764705882352942</v>
      </c>
      <c r="AE322" s="20" t="s">
        <v>48</v>
      </c>
      <c r="AG322" s="21">
        <f>SUMIF([1]SO003!$H:$H,'SA007 2025.01-2026.05 '!$D322,[1]SO003!AF:AF)</f>
        <v>0</v>
      </c>
      <c r="AH322" s="21">
        <f>SUMIF([1]SO003!$H:$H,'SA007 2025.01-2026.05 '!$D322,[1]SO003!AH:AH)</f>
        <v>0</v>
      </c>
      <c r="AI322" s="21">
        <f>SUMIF([1]SO003!$H:$H,'SA007 2025.01-2026.05 '!$D322,[1]SO003!AJ:AJ)</f>
        <v>0</v>
      </c>
    </row>
    <row r="323" spans="1:35" x14ac:dyDescent="0.55000000000000004">
      <c r="A323" s="2" t="s">
        <v>389</v>
      </c>
      <c r="B323" s="2" t="s">
        <v>213</v>
      </c>
      <c r="C323" s="2" t="s">
        <v>213</v>
      </c>
      <c r="D323" s="2" t="s">
        <v>767</v>
      </c>
      <c r="E323" s="2" t="s">
        <v>363</v>
      </c>
      <c r="G323" s="3" t="s">
        <v>47</v>
      </c>
      <c r="H323" s="2" t="s">
        <v>402</v>
      </c>
      <c r="I323" s="17">
        <v>2</v>
      </c>
      <c r="J323" s="3">
        <v>55</v>
      </c>
      <c r="K323" s="3">
        <v>1220</v>
      </c>
      <c r="L323" s="18">
        <v>0</v>
      </c>
      <c r="M323" s="18">
        <v>0</v>
      </c>
      <c r="N323" s="18">
        <v>0</v>
      </c>
      <c r="O323" s="18">
        <v>0</v>
      </c>
      <c r="P323" s="18">
        <v>155</v>
      </c>
      <c r="Q323" s="18">
        <v>0</v>
      </c>
      <c r="R323" s="18">
        <v>211</v>
      </c>
      <c r="S323" s="18">
        <v>0</v>
      </c>
      <c r="T323" s="18">
        <v>0</v>
      </c>
      <c r="U323" s="18">
        <v>0</v>
      </c>
      <c r="V323" s="18">
        <v>0</v>
      </c>
      <c r="W323" s="18">
        <v>164</v>
      </c>
      <c r="X323" s="18">
        <v>0</v>
      </c>
      <c r="Y323" s="18">
        <v>126</v>
      </c>
      <c r="Z323" s="18">
        <v>182</v>
      </c>
      <c r="AA323" s="18">
        <f>SUMIF([1]SA007!$C:$C,'SA007 2025.01-2026.05 '!$D323,[1]SA007!P:P)</f>
        <v>0</v>
      </c>
      <c r="AB323" s="18">
        <f>SUMIF([1]SA007!$C:$C,'SA007 2025.01-2026.05 '!$D323,[1]SA007!Q:Q)</f>
        <v>0</v>
      </c>
      <c r="AC323" s="19">
        <f t="shared" si="11"/>
        <v>838</v>
      </c>
      <c r="AD323" s="19">
        <f t="shared" si="12"/>
        <v>49.294117647058826</v>
      </c>
      <c r="AE323" s="20" t="s">
        <v>116</v>
      </c>
      <c r="AG323" s="21">
        <f>SUMIF([1]SO003!$H:$H,'SA007 2025.01-2026.05 '!$D323,[1]SO003!AF:AF)</f>
        <v>0</v>
      </c>
      <c r="AH323" s="21">
        <f>SUMIF([1]SO003!$H:$H,'SA007 2025.01-2026.05 '!$D323,[1]SO003!AH:AH)</f>
        <v>0</v>
      </c>
      <c r="AI323" s="21">
        <f>SUMIF([1]SO003!$H:$H,'SA007 2025.01-2026.05 '!$D323,[1]SO003!AJ:AJ)</f>
        <v>0</v>
      </c>
    </row>
    <row r="324" spans="1:35" x14ac:dyDescent="0.55000000000000004">
      <c r="A324" s="2" t="s">
        <v>433</v>
      </c>
      <c r="B324" s="2" t="s">
        <v>213</v>
      </c>
      <c r="C324" s="2" t="s">
        <v>213</v>
      </c>
      <c r="D324" s="2" t="s">
        <v>768</v>
      </c>
      <c r="E324" s="2" t="s">
        <v>363</v>
      </c>
      <c r="G324" s="3" t="s">
        <v>47</v>
      </c>
      <c r="H324" s="2" t="s">
        <v>402</v>
      </c>
      <c r="I324" s="17">
        <v>2.6</v>
      </c>
      <c r="J324" s="3">
        <v>80</v>
      </c>
      <c r="K324" s="3">
        <v>1220</v>
      </c>
      <c r="L324" s="18">
        <v>0</v>
      </c>
      <c r="M324" s="18">
        <v>0</v>
      </c>
      <c r="N324" s="18">
        <v>0</v>
      </c>
      <c r="O324" s="18">
        <v>0</v>
      </c>
      <c r="P324" s="18">
        <v>166</v>
      </c>
      <c r="Q324" s="18">
        <v>0</v>
      </c>
      <c r="R324" s="18">
        <v>0</v>
      </c>
      <c r="S324" s="18">
        <v>100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f>SUMIF([1]SA007!$C:$C,'SA007 2025.01-2026.05 '!$D324,[1]SA007!P:P)</f>
        <v>0</v>
      </c>
      <c r="AB324" s="18">
        <f>SUMIF([1]SA007!$C:$C,'SA007 2025.01-2026.05 '!$D324,[1]SA007!Q:Q)</f>
        <v>0</v>
      </c>
      <c r="AC324" s="19">
        <f t="shared" si="11"/>
        <v>266</v>
      </c>
      <c r="AD324" s="19">
        <f t="shared" si="12"/>
        <v>15.647058823529411</v>
      </c>
      <c r="AE324" s="20" t="s">
        <v>116</v>
      </c>
      <c r="AG324" s="21">
        <f>SUMIF([1]SO003!$H:$H,'SA007 2025.01-2026.05 '!$D324,[1]SO003!AF:AF)</f>
        <v>0</v>
      </c>
      <c r="AH324" s="21">
        <f>SUMIF([1]SO003!$H:$H,'SA007 2025.01-2026.05 '!$D324,[1]SO003!AH:AH)</f>
        <v>0</v>
      </c>
      <c r="AI324" s="21">
        <f>SUMIF([1]SO003!$H:$H,'SA007 2025.01-2026.05 '!$D324,[1]SO003!AJ:AJ)</f>
        <v>0</v>
      </c>
    </row>
    <row r="325" spans="1:35" x14ac:dyDescent="0.55000000000000004">
      <c r="A325" s="2" t="s">
        <v>72</v>
      </c>
      <c r="C325" s="2" t="s">
        <v>284</v>
      </c>
      <c r="D325" s="2" t="s">
        <v>769</v>
      </c>
      <c r="E325" s="2" t="s">
        <v>38</v>
      </c>
      <c r="G325" s="3" t="s">
        <v>57</v>
      </c>
      <c r="H325" s="2" t="s">
        <v>770</v>
      </c>
      <c r="I325" s="17">
        <v>1.5</v>
      </c>
      <c r="J325" s="3">
        <v>166</v>
      </c>
      <c r="K325" s="3" t="s">
        <v>41</v>
      </c>
      <c r="L325" s="18">
        <v>0</v>
      </c>
      <c r="M325" s="18">
        <v>0</v>
      </c>
      <c r="N325" s="18">
        <v>0</v>
      </c>
      <c r="O325" s="18">
        <v>0</v>
      </c>
      <c r="P325" s="18">
        <v>1847</v>
      </c>
      <c r="Q325" s="18">
        <v>0</v>
      </c>
      <c r="R325" s="18">
        <v>0</v>
      </c>
      <c r="S325" s="18">
        <v>988</v>
      </c>
      <c r="T325" s="18">
        <v>1042</v>
      </c>
      <c r="U325" s="18">
        <v>0</v>
      </c>
      <c r="V325" s="18">
        <v>2017</v>
      </c>
      <c r="W325" s="18">
        <v>0</v>
      </c>
      <c r="X325" s="18">
        <v>982</v>
      </c>
      <c r="Y325" s="18">
        <v>0</v>
      </c>
      <c r="Z325" s="18">
        <v>0</v>
      </c>
      <c r="AA325" s="18">
        <f>SUMIF([1]SA007!$C:$C,'SA007 2025.01-2026.05 '!$D325,[1]SA007!P:P)</f>
        <v>2039</v>
      </c>
      <c r="AB325" s="18">
        <f>SUMIF([1]SA007!$C:$C,'SA007 2025.01-2026.05 '!$D325,[1]SA007!Q:Q)</f>
        <v>0</v>
      </c>
      <c r="AC325" s="19">
        <f t="shared" si="11"/>
        <v>8915</v>
      </c>
      <c r="AD325" s="19">
        <f t="shared" si="12"/>
        <v>524.41176470588232</v>
      </c>
      <c r="AE325" s="20" t="s">
        <v>287</v>
      </c>
      <c r="AG325" s="21">
        <f>SUMIF([1]SO003!$H:$H,'SA007 2025.01-2026.05 '!$D325,[1]SO003!AF:AF)</f>
        <v>2000</v>
      </c>
      <c r="AH325" s="21">
        <f>SUMIF([1]SO003!$H:$H,'SA007 2025.01-2026.05 '!$D325,[1]SO003!AH:AH)</f>
        <v>0</v>
      </c>
      <c r="AI325" s="21">
        <f>SUMIF([1]SO003!$H:$H,'SA007 2025.01-2026.05 '!$D325,[1]SO003!AJ:AJ)</f>
        <v>1000</v>
      </c>
    </row>
    <row r="326" spans="1:35" x14ac:dyDescent="0.55000000000000004">
      <c r="A326" s="2" t="s">
        <v>433</v>
      </c>
      <c r="B326" s="2" t="s">
        <v>213</v>
      </c>
      <c r="C326" s="2" t="s">
        <v>213</v>
      </c>
      <c r="D326" s="2" t="s">
        <v>771</v>
      </c>
      <c r="E326" s="2" t="s">
        <v>182</v>
      </c>
      <c r="G326" s="3" t="s">
        <v>47</v>
      </c>
      <c r="H326" s="2" t="s">
        <v>402</v>
      </c>
      <c r="I326" s="17">
        <v>2.6</v>
      </c>
      <c r="J326" s="3">
        <v>139</v>
      </c>
      <c r="K326" s="3">
        <v>1220</v>
      </c>
      <c r="L326" s="18">
        <v>0</v>
      </c>
      <c r="M326" s="18">
        <v>0</v>
      </c>
      <c r="N326" s="18">
        <v>0</v>
      </c>
      <c r="O326" s="18">
        <v>0</v>
      </c>
      <c r="P326" s="18">
        <v>309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f>SUMIF([1]SA007!$C:$C,'SA007 2025.01-2026.05 '!$D326,[1]SA007!P:P)</f>
        <v>0</v>
      </c>
      <c r="AB326" s="18">
        <f>SUMIF([1]SA007!$C:$C,'SA007 2025.01-2026.05 '!$D326,[1]SA007!Q:Q)</f>
        <v>0</v>
      </c>
      <c r="AC326" s="19">
        <f t="shared" ref="AC326:AC389" si="13">SUM(L326:AB326)</f>
        <v>309</v>
      </c>
      <c r="AD326" s="19">
        <f t="shared" ref="AD326:AD389" si="14">AVERAGE(L326:AB326)</f>
        <v>18.176470588235293</v>
      </c>
      <c r="AE326" s="20" t="e">
        <v>#N/A</v>
      </c>
      <c r="AG326" s="21">
        <f>SUMIF([1]SO003!$H:$H,'SA007 2025.01-2026.05 '!$D326,[1]SO003!AF:AF)</f>
        <v>0</v>
      </c>
      <c r="AH326" s="21">
        <f>SUMIF([1]SO003!$H:$H,'SA007 2025.01-2026.05 '!$D326,[1]SO003!AH:AH)</f>
        <v>0</v>
      </c>
      <c r="AI326" s="21">
        <f>SUMIF([1]SO003!$H:$H,'SA007 2025.01-2026.05 '!$D326,[1]SO003!AJ:AJ)</f>
        <v>0</v>
      </c>
    </row>
    <row r="327" spans="1:35" x14ac:dyDescent="0.55000000000000004">
      <c r="A327" s="2" t="s">
        <v>145</v>
      </c>
      <c r="B327" s="2" t="s">
        <v>61</v>
      </c>
      <c r="C327" s="2" t="s">
        <v>61</v>
      </c>
      <c r="D327" s="2" t="s">
        <v>772</v>
      </c>
      <c r="E327" s="2" t="s">
        <v>182</v>
      </c>
      <c r="F327" s="2" t="s">
        <v>182</v>
      </c>
      <c r="G327" s="3" t="s">
        <v>63</v>
      </c>
      <c r="H327" s="2" t="s">
        <v>61</v>
      </c>
      <c r="I327" s="17">
        <v>0.8</v>
      </c>
      <c r="J327" s="3">
        <v>90</v>
      </c>
      <c r="K327" s="3" t="s">
        <v>41</v>
      </c>
      <c r="L327" s="18">
        <v>115</v>
      </c>
      <c r="M327" s="18">
        <v>140</v>
      </c>
      <c r="N327" s="18">
        <v>0</v>
      </c>
      <c r="O327" s="18">
        <v>0</v>
      </c>
      <c r="P327" s="18">
        <v>0</v>
      </c>
      <c r="Q327" s="18">
        <v>0</v>
      </c>
      <c r="R327" s="18">
        <v>500</v>
      </c>
      <c r="S327" s="18">
        <v>138</v>
      </c>
      <c r="T327" s="18">
        <v>141</v>
      </c>
      <c r="U327" s="18">
        <v>0</v>
      </c>
      <c r="V327" s="18">
        <v>0</v>
      </c>
      <c r="W327" s="18">
        <v>185</v>
      </c>
      <c r="X327" s="18">
        <v>99</v>
      </c>
      <c r="Y327" s="18">
        <v>272</v>
      </c>
      <c r="Z327" s="18">
        <v>0</v>
      </c>
      <c r="AA327" s="18">
        <f>SUMIF([1]SA007!$C:$C,'SA007 2025.01-2026.05 '!$D327,[1]SA007!P:P)</f>
        <v>0</v>
      </c>
      <c r="AB327" s="18">
        <f>SUMIF([1]SA007!$C:$C,'SA007 2025.01-2026.05 '!$D327,[1]SA007!Q:Q)</f>
        <v>0</v>
      </c>
      <c r="AC327" s="19">
        <f t="shared" si="13"/>
        <v>1590</v>
      </c>
      <c r="AD327" s="19">
        <f t="shared" si="14"/>
        <v>93.529411764705884</v>
      </c>
      <c r="AE327" s="20" t="s">
        <v>773</v>
      </c>
      <c r="AG327" s="21">
        <f>SUMIF([1]SO003!$H:$H,'SA007 2025.01-2026.05 '!$D327,[1]SO003!AF:AF)</f>
        <v>0</v>
      </c>
      <c r="AH327" s="21">
        <f>SUMIF([1]SO003!$H:$H,'SA007 2025.01-2026.05 '!$D327,[1]SO003!AH:AH)</f>
        <v>0</v>
      </c>
      <c r="AI327" s="21">
        <f>SUMIF([1]SO003!$H:$H,'SA007 2025.01-2026.05 '!$D327,[1]SO003!AJ:AJ)</f>
        <v>0</v>
      </c>
    </row>
    <row r="328" spans="1:35" x14ac:dyDescent="0.55000000000000004">
      <c r="A328" s="2" t="s">
        <v>356</v>
      </c>
      <c r="B328" s="2" t="s">
        <v>61</v>
      </c>
      <c r="C328" s="2" t="s">
        <v>61</v>
      </c>
      <c r="D328" s="2" t="s">
        <v>774</v>
      </c>
      <c r="E328" s="2" t="s">
        <v>129</v>
      </c>
      <c r="G328" s="3" t="s">
        <v>63</v>
      </c>
      <c r="H328" s="2" t="s">
        <v>98</v>
      </c>
      <c r="I328" s="17">
        <v>2</v>
      </c>
      <c r="J328" s="3">
        <v>45</v>
      </c>
      <c r="K328" s="3">
        <v>1219</v>
      </c>
      <c r="L328" s="18">
        <v>0</v>
      </c>
      <c r="M328" s="18">
        <v>0</v>
      </c>
      <c r="N328" s="18">
        <v>0</v>
      </c>
      <c r="O328" s="18">
        <v>0</v>
      </c>
      <c r="P328" s="18">
        <v>153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f>SUMIF([1]SA007!$C:$C,'SA007 2025.01-2026.05 '!$D328,[1]SA007!P:P)</f>
        <v>0</v>
      </c>
      <c r="AB328" s="18">
        <f>SUMIF([1]SA007!$C:$C,'SA007 2025.01-2026.05 '!$D328,[1]SA007!Q:Q)</f>
        <v>0</v>
      </c>
      <c r="AC328" s="19">
        <f t="shared" si="13"/>
        <v>153</v>
      </c>
      <c r="AD328" s="19">
        <f t="shared" si="14"/>
        <v>9</v>
      </c>
      <c r="AE328" s="20" t="s">
        <v>116</v>
      </c>
      <c r="AG328" s="21">
        <f>SUMIF([1]SO003!$H:$H,'SA007 2025.01-2026.05 '!$D328,[1]SO003!AF:AF)</f>
        <v>0</v>
      </c>
      <c r="AH328" s="21">
        <f>SUMIF([1]SO003!$H:$H,'SA007 2025.01-2026.05 '!$D328,[1]SO003!AH:AH)</f>
        <v>0</v>
      </c>
      <c r="AI328" s="21">
        <f>SUMIF([1]SO003!$H:$H,'SA007 2025.01-2026.05 '!$D328,[1]SO003!AJ:AJ)</f>
        <v>0</v>
      </c>
    </row>
    <row r="329" spans="1:35" x14ac:dyDescent="0.55000000000000004">
      <c r="A329" s="2" t="s">
        <v>475</v>
      </c>
      <c r="C329" s="2" t="s">
        <v>213</v>
      </c>
      <c r="D329" s="2" t="s">
        <v>775</v>
      </c>
      <c r="E329" s="2" t="s">
        <v>38</v>
      </c>
      <c r="G329" s="3" t="s">
        <v>47</v>
      </c>
      <c r="H329" s="2" t="s">
        <v>402</v>
      </c>
      <c r="I329" s="17">
        <v>4</v>
      </c>
      <c r="J329" s="3">
        <v>270</v>
      </c>
      <c r="K329" s="3">
        <v>1220</v>
      </c>
      <c r="L329" s="18">
        <v>0</v>
      </c>
      <c r="M329" s="18">
        <v>0</v>
      </c>
      <c r="N329" s="18">
        <v>0</v>
      </c>
      <c r="O329" s="18">
        <v>0</v>
      </c>
      <c r="P329" s="18">
        <v>93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f>SUMIF([1]SA007!$C:$C,'SA007 2025.01-2026.05 '!$D329,[1]SA007!P:P)</f>
        <v>0</v>
      </c>
      <c r="AB329" s="18">
        <f>SUMIF([1]SA007!$C:$C,'SA007 2025.01-2026.05 '!$D329,[1]SA007!Q:Q)</f>
        <v>0</v>
      </c>
      <c r="AC329" s="19">
        <f t="shared" si="13"/>
        <v>93</v>
      </c>
      <c r="AD329" s="19">
        <f t="shared" si="14"/>
        <v>5.4705882352941178</v>
      </c>
      <c r="AE329" s="20" t="s">
        <v>776</v>
      </c>
      <c r="AG329" s="21">
        <f>SUMIF([1]SO003!$H:$H,'SA007 2025.01-2026.05 '!$D329,[1]SO003!AF:AF)</f>
        <v>0</v>
      </c>
      <c r="AH329" s="21">
        <f>SUMIF([1]SO003!$H:$H,'SA007 2025.01-2026.05 '!$D329,[1]SO003!AH:AH)</f>
        <v>0</v>
      </c>
      <c r="AI329" s="21">
        <f>SUMIF([1]SO003!$H:$H,'SA007 2025.01-2026.05 '!$D329,[1]SO003!AJ:AJ)</f>
        <v>0</v>
      </c>
    </row>
    <row r="330" spans="1:35" x14ac:dyDescent="0.55000000000000004">
      <c r="A330" s="2" t="s">
        <v>364</v>
      </c>
      <c r="B330" s="2" t="s">
        <v>365</v>
      </c>
      <c r="C330" s="2" t="s">
        <v>365</v>
      </c>
      <c r="D330" s="2" t="s">
        <v>777</v>
      </c>
      <c r="E330" s="2" t="s">
        <v>182</v>
      </c>
      <c r="G330" s="3" t="s">
        <v>47</v>
      </c>
      <c r="H330" s="2" t="s">
        <v>469</v>
      </c>
      <c r="I330" s="17">
        <v>2</v>
      </c>
      <c r="J330" s="3">
        <v>65</v>
      </c>
      <c r="K330" s="3" t="s">
        <v>41</v>
      </c>
      <c r="L330" s="18">
        <v>0</v>
      </c>
      <c r="M330" s="18">
        <v>0</v>
      </c>
      <c r="N330" s="18">
        <v>0</v>
      </c>
      <c r="O330" s="18">
        <v>0</v>
      </c>
      <c r="P330" s="18">
        <v>200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115</v>
      </c>
      <c r="W330" s="18">
        <v>0</v>
      </c>
      <c r="X330" s="18">
        <v>0</v>
      </c>
      <c r="Y330" s="18">
        <v>0</v>
      </c>
      <c r="Z330" s="18">
        <v>0</v>
      </c>
      <c r="AA330" s="18">
        <f>SUMIF([1]SA007!$C:$C,'SA007 2025.01-2026.05 '!$D330,[1]SA007!P:P)</f>
        <v>0</v>
      </c>
      <c r="AB330" s="18">
        <f>SUMIF([1]SA007!$C:$C,'SA007 2025.01-2026.05 '!$D330,[1]SA007!Q:Q)</f>
        <v>0</v>
      </c>
      <c r="AC330" s="19">
        <f t="shared" si="13"/>
        <v>315</v>
      </c>
      <c r="AD330" s="19">
        <f t="shared" si="14"/>
        <v>18.529411764705884</v>
      </c>
      <c r="AE330" s="20" t="s">
        <v>778</v>
      </c>
      <c r="AG330" s="21">
        <f>SUMIF([1]SO003!$H:$H,'SA007 2025.01-2026.05 '!$D330,[1]SO003!AF:AF)</f>
        <v>0</v>
      </c>
      <c r="AH330" s="21">
        <f>SUMIF([1]SO003!$H:$H,'SA007 2025.01-2026.05 '!$D330,[1]SO003!AH:AH)</f>
        <v>0</v>
      </c>
      <c r="AI330" s="21">
        <f>SUMIF([1]SO003!$H:$H,'SA007 2025.01-2026.05 '!$D330,[1]SO003!AJ:AJ)</f>
        <v>0</v>
      </c>
    </row>
    <row r="331" spans="1:35" x14ac:dyDescent="0.55000000000000004">
      <c r="A331" s="2" t="s">
        <v>629</v>
      </c>
      <c r="C331" s="2" t="s">
        <v>61</v>
      </c>
      <c r="D331" s="2" t="s">
        <v>779</v>
      </c>
      <c r="E331" s="2" t="s">
        <v>428</v>
      </c>
      <c r="G331" s="3" t="s">
        <v>63</v>
      </c>
      <c r="H331" s="2" t="s">
        <v>61</v>
      </c>
      <c r="I331" s="17">
        <v>3</v>
      </c>
      <c r="J331" s="3">
        <v>60</v>
      </c>
      <c r="K331" s="3" t="s">
        <v>41</v>
      </c>
      <c r="L331" s="18">
        <v>0</v>
      </c>
      <c r="M331" s="18">
        <v>0</v>
      </c>
      <c r="N331" s="18">
        <v>0</v>
      </c>
      <c r="O331" s="18">
        <v>0</v>
      </c>
      <c r="P331" s="18">
        <v>4124</v>
      </c>
      <c r="Q331" s="18">
        <v>0</v>
      </c>
      <c r="R331" s="18">
        <v>3266</v>
      </c>
      <c r="S331" s="18">
        <v>2614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f>SUMIF([1]SA007!$C:$C,'SA007 2025.01-2026.05 '!$D331,[1]SA007!P:P)</f>
        <v>0</v>
      </c>
      <c r="AB331" s="18">
        <f>SUMIF([1]SA007!$C:$C,'SA007 2025.01-2026.05 '!$D331,[1]SA007!Q:Q)</f>
        <v>0</v>
      </c>
      <c r="AC331" s="19">
        <f t="shared" si="13"/>
        <v>10004</v>
      </c>
      <c r="AD331" s="19">
        <f t="shared" si="14"/>
        <v>588.47058823529414</v>
      </c>
      <c r="AE331" s="20" t="s">
        <v>780</v>
      </c>
      <c r="AG331" s="21">
        <f>SUMIF([1]SO003!$H:$H,'SA007 2025.01-2026.05 '!$D331,[1]SO003!AF:AF)</f>
        <v>0</v>
      </c>
      <c r="AH331" s="21">
        <f>SUMIF([1]SO003!$H:$H,'SA007 2025.01-2026.05 '!$D331,[1]SO003!AH:AH)</f>
        <v>0</v>
      </c>
      <c r="AI331" s="21">
        <f>SUMIF([1]SO003!$H:$H,'SA007 2025.01-2026.05 '!$D331,[1]SO003!AJ:AJ)</f>
        <v>0</v>
      </c>
    </row>
    <row r="332" spans="1:35" x14ac:dyDescent="0.55000000000000004">
      <c r="A332" s="2" t="s">
        <v>126</v>
      </c>
      <c r="C332" s="2" t="s">
        <v>61</v>
      </c>
      <c r="D332" s="2" t="s">
        <v>781</v>
      </c>
      <c r="E332" s="2" t="s">
        <v>115</v>
      </c>
      <c r="G332" s="3" t="s">
        <v>63</v>
      </c>
      <c r="H332" s="2" t="s">
        <v>64</v>
      </c>
      <c r="I332" s="17">
        <v>0.6</v>
      </c>
      <c r="J332" s="3">
        <v>488</v>
      </c>
      <c r="K332" s="3">
        <v>610</v>
      </c>
      <c r="L332" s="18">
        <v>0</v>
      </c>
      <c r="M332" s="18">
        <v>0</v>
      </c>
      <c r="N332" s="18">
        <v>0</v>
      </c>
      <c r="O332" s="18">
        <v>0</v>
      </c>
      <c r="P332" s="18">
        <v>982</v>
      </c>
      <c r="Q332" s="18">
        <v>990</v>
      </c>
      <c r="R332" s="18">
        <v>0</v>
      </c>
      <c r="S332" s="18">
        <v>0</v>
      </c>
      <c r="T332" s="18">
        <v>0</v>
      </c>
      <c r="U332" s="18">
        <v>0</v>
      </c>
      <c r="V332" s="18">
        <v>0</v>
      </c>
      <c r="W332" s="18">
        <v>1755</v>
      </c>
      <c r="X332" s="18">
        <v>0</v>
      </c>
      <c r="Y332" s="18">
        <v>0</v>
      </c>
      <c r="Z332" s="18">
        <v>0</v>
      </c>
      <c r="AA332" s="18">
        <f>SUMIF([1]SA007!$C:$C,'SA007 2025.01-2026.05 '!$D332,[1]SA007!P:P)</f>
        <v>726</v>
      </c>
      <c r="AB332" s="18">
        <f>SUMIF([1]SA007!$C:$C,'SA007 2025.01-2026.05 '!$D332,[1]SA007!Q:Q)</f>
        <v>0</v>
      </c>
      <c r="AC332" s="19">
        <f t="shared" si="13"/>
        <v>4453</v>
      </c>
      <c r="AD332" s="19">
        <f t="shared" si="14"/>
        <v>261.94117647058823</v>
      </c>
      <c r="AE332" s="20" t="s">
        <v>116</v>
      </c>
      <c r="AG332" s="21">
        <f>SUMIF([1]SO003!$H:$H,'SA007 2025.01-2026.05 '!$D332,[1]SO003!AF:AF)</f>
        <v>1280.0924663999999</v>
      </c>
      <c r="AH332" s="21">
        <f>SUMIF([1]SO003!$H:$H,'SA007 2025.01-2026.05 '!$D332,[1]SO003!AH:AH)</f>
        <v>1236.6282096</v>
      </c>
      <c r="AI332" s="21">
        <f>SUMIF([1]SO003!$H:$H,'SA007 2025.01-2026.05 '!$D332,[1]SO003!AJ:AJ)</f>
        <v>43.464256800000001</v>
      </c>
    </row>
    <row r="333" spans="1:35" x14ac:dyDescent="0.55000000000000004">
      <c r="A333" s="2" t="s">
        <v>72</v>
      </c>
      <c r="C333" s="2" t="s">
        <v>67</v>
      </c>
      <c r="D333" s="2" t="s">
        <v>782</v>
      </c>
      <c r="E333" s="2" t="s">
        <v>185</v>
      </c>
      <c r="G333" s="3" t="s">
        <v>57</v>
      </c>
      <c r="H333" s="2" t="s">
        <v>783</v>
      </c>
      <c r="I333" s="17">
        <v>1.5</v>
      </c>
      <c r="J333" s="3">
        <v>226</v>
      </c>
      <c r="K333" s="3">
        <v>1219</v>
      </c>
      <c r="L333" s="18">
        <v>0</v>
      </c>
      <c r="M333" s="18">
        <v>0</v>
      </c>
      <c r="N333" s="18">
        <v>0</v>
      </c>
      <c r="O333" s="18">
        <v>0</v>
      </c>
      <c r="P333" s="18">
        <v>956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412</v>
      </c>
      <c r="Y333" s="18">
        <v>0</v>
      </c>
      <c r="Z333" s="18">
        <v>0</v>
      </c>
      <c r="AA333" s="18">
        <f>SUMIF([1]SA007!$C:$C,'SA007 2025.01-2026.05 '!$D333,[1]SA007!P:P)</f>
        <v>650</v>
      </c>
      <c r="AB333" s="18">
        <f>SUMIF([1]SA007!$C:$C,'SA007 2025.01-2026.05 '!$D333,[1]SA007!Q:Q)</f>
        <v>0</v>
      </c>
      <c r="AC333" s="19">
        <f t="shared" si="13"/>
        <v>2018</v>
      </c>
      <c r="AD333" s="19">
        <f t="shared" si="14"/>
        <v>118.70588235294117</v>
      </c>
      <c r="AE333" s="20" t="s">
        <v>784</v>
      </c>
      <c r="AG333" s="21">
        <f>SUMIF([1]SO003!$H:$H,'SA007 2025.01-2026.05 '!$D333,[1]SO003!AF:AF)</f>
        <v>0</v>
      </c>
      <c r="AH333" s="21">
        <f>SUMIF([1]SO003!$H:$H,'SA007 2025.01-2026.05 '!$D333,[1]SO003!AH:AH)</f>
        <v>0</v>
      </c>
      <c r="AI333" s="21">
        <f>SUMIF([1]SO003!$H:$H,'SA007 2025.01-2026.05 '!$D333,[1]SO003!AJ:AJ)</f>
        <v>0</v>
      </c>
    </row>
    <row r="334" spans="1:35" x14ac:dyDescent="0.55000000000000004">
      <c r="A334" s="2" t="s">
        <v>681</v>
      </c>
      <c r="B334" s="2" t="s">
        <v>682</v>
      </c>
      <c r="C334" s="2" t="s">
        <v>682</v>
      </c>
      <c r="D334" s="2" t="s">
        <v>785</v>
      </c>
      <c r="E334" s="2" t="s">
        <v>129</v>
      </c>
      <c r="G334" s="3" t="s">
        <v>63</v>
      </c>
      <c r="H334" s="2" t="s">
        <v>786</v>
      </c>
      <c r="I334" s="17">
        <v>2.2999999999999998</v>
      </c>
      <c r="J334" s="3">
        <v>532</v>
      </c>
      <c r="K334" s="3">
        <v>580</v>
      </c>
      <c r="L334" s="18">
        <v>0</v>
      </c>
      <c r="M334" s="18">
        <v>0</v>
      </c>
      <c r="N334" s="18">
        <v>0</v>
      </c>
      <c r="O334" s="18">
        <v>0</v>
      </c>
      <c r="P334" s="18">
        <v>816</v>
      </c>
      <c r="Q334" s="18">
        <v>0</v>
      </c>
      <c r="R334" s="18">
        <v>0</v>
      </c>
      <c r="S334" s="18">
        <v>930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f>SUMIF([1]SA007!$C:$C,'SA007 2025.01-2026.05 '!$D334,[1]SA007!P:P)</f>
        <v>0</v>
      </c>
      <c r="AB334" s="18">
        <f>SUMIF([1]SA007!$C:$C,'SA007 2025.01-2026.05 '!$D334,[1]SA007!Q:Q)</f>
        <v>0</v>
      </c>
      <c r="AC334" s="19">
        <f t="shared" si="13"/>
        <v>1746</v>
      </c>
      <c r="AD334" s="19">
        <f t="shared" si="14"/>
        <v>102.70588235294117</v>
      </c>
      <c r="AE334" s="20" t="s">
        <v>684</v>
      </c>
      <c r="AG334" s="21">
        <f>SUMIF([1]SO003!$H:$H,'SA007 2025.01-2026.05 '!$D334,[1]SO003!AF:AF)</f>
        <v>0</v>
      </c>
      <c r="AH334" s="21">
        <f>SUMIF([1]SO003!$H:$H,'SA007 2025.01-2026.05 '!$D334,[1]SO003!AH:AH)</f>
        <v>0</v>
      </c>
      <c r="AI334" s="21">
        <f>SUMIF([1]SO003!$H:$H,'SA007 2025.01-2026.05 '!$D334,[1]SO003!AJ:AJ)</f>
        <v>0</v>
      </c>
    </row>
    <row r="335" spans="1:35" x14ac:dyDescent="0.55000000000000004">
      <c r="A335" s="2" t="s">
        <v>145</v>
      </c>
      <c r="B335" s="2" t="s">
        <v>61</v>
      </c>
      <c r="C335" s="2" t="s">
        <v>61</v>
      </c>
      <c r="D335" s="2" t="s">
        <v>787</v>
      </c>
      <c r="E335" s="2" t="s">
        <v>182</v>
      </c>
      <c r="F335" s="2" t="s">
        <v>182</v>
      </c>
      <c r="G335" s="3" t="s">
        <v>63</v>
      </c>
      <c r="H335" s="2" t="s">
        <v>61</v>
      </c>
      <c r="I335" s="17">
        <v>0.8</v>
      </c>
      <c r="J335" s="3">
        <v>33</v>
      </c>
      <c r="K335" s="3" t="s">
        <v>41</v>
      </c>
      <c r="L335" s="18">
        <v>0</v>
      </c>
      <c r="M335" s="18">
        <v>60</v>
      </c>
      <c r="N335" s="18">
        <v>120</v>
      </c>
      <c r="O335" s="18">
        <v>0</v>
      </c>
      <c r="P335" s="18">
        <v>100</v>
      </c>
      <c r="Q335" s="18">
        <v>60</v>
      </c>
      <c r="R335" s="18">
        <v>114</v>
      </c>
      <c r="S335" s="18">
        <v>0</v>
      </c>
      <c r="T335" s="18">
        <v>110</v>
      </c>
      <c r="U335" s="18">
        <v>201</v>
      </c>
      <c r="V335" s="18">
        <v>0</v>
      </c>
      <c r="W335" s="18">
        <v>0</v>
      </c>
      <c r="X335" s="18">
        <v>156</v>
      </c>
      <c r="Y335" s="18">
        <v>140</v>
      </c>
      <c r="Z335" s="18">
        <v>0</v>
      </c>
      <c r="AA335" s="18">
        <f>SUMIF([1]SA007!$C:$C,'SA007 2025.01-2026.05 '!$D335,[1]SA007!P:P)</f>
        <v>0</v>
      </c>
      <c r="AB335" s="18">
        <f>SUMIF([1]SA007!$C:$C,'SA007 2025.01-2026.05 '!$D335,[1]SA007!Q:Q)</f>
        <v>0</v>
      </c>
      <c r="AC335" s="19">
        <f t="shared" si="13"/>
        <v>1061</v>
      </c>
      <c r="AD335" s="19">
        <f t="shared" si="14"/>
        <v>62.411764705882355</v>
      </c>
      <c r="AE335" s="20" t="s">
        <v>739</v>
      </c>
      <c r="AG335" s="21">
        <f>SUMIF([1]SO003!$H:$H,'SA007 2025.01-2026.05 '!$D335,[1]SO003!AF:AF)</f>
        <v>0</v>
      </c>
      <c r="AH335" s="21">
        <f>SUMIF([1]SO003!$H:$H,'SA007 2025.01-2026.05 '!$D335,[1]SO003!AH:AH)</f>
        <v>0</v>
      </c>
      <c r="AI335" s="21">
        <f>SUMIF([1]SO003!$H:$H,'SA007 2025.01-2026.05 '!$D335,[1]SO003!AJ:AJ)</f>
        <v>0</v>
      </c>
    </row>
    <row r="336" spans="1:35" x14ac:dyDescent="0.55000000000000004">
      <c r="A336" s="2" t="s">
        <v>251</v>
      </c>
      <c r="D336" s="2" t="s">
        <v>788</v>
      </c>
      <c r="E336" s="2" t="s">
        <v>234</v>
      </c>
      <c r="G336" s="3" t="s">
        <v>39</v>
      </c>
      <c r="H336" s="2" t="s">
        <v>78</v>
      </c>
      <c r="I336" s="17">
        <v>1.6</v>
      </c>
      <c r="J336" s="3">
        <v>36</v>
      </c>
      <c r="K336" s="3" t="s">
        <v>41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550</v>
      </c>
      <c r="W336" s="18">
        <v>0</v>
      </c>
      <c r="X336" s="18">
        <v>0</v>
      </c>
      <c r="Y336" s="18">
        <v>0</v>
      </c>
      <c r="Z336" s="18">
        <v>0</v>
      </c>
      <c r="AA336" s="18">
        <f>SUMIF([1]SA007!$C:$C,'SA007 2025.01-2026.05 '!$D336,[1]SA007!P:P)</f>
        <v>0</v>
      </c>
      <c r="AB336" s="18">
        <f>SUMIF([1]SA007!$C:$C,'SA007 2025.01-2026.05 '!$D336,[1]SA007!Q:Q)</f>
        <v>0</v>
      </c>
      <c r="AC336" s="19">
        <f t="shared" si="13"/>
        <v>550</v>
      </c>
      <c r="AD336" s="19">
        <f t="shared" si="14"/>
        <v>32.352941176470587</v>
      </c>
      <c r="AG336" s="21">
        <f>SUMIF([1]SO003!$H:$H,'SA007 2025.01-2026.05 '!$D336,[1]SO003!AF:AF)</f>
        <v>0</v>
      </c>
      <c r="AH336" s="21">
        <f>SUMIF([1]SO003!$H:$H,'SA007 2025.01-2026.05 '!$D336,[1]SO003!AH:AH)</f>
        <v>0</v>
      </c>
      <c r="AI336" s="21">
        <f>SUMIF([1]SO003!$H:$H,'SA007 2025.01-2026.05 '!$D336,[1]SO003!AJ:AJ)</f>
        <v>0</v>
      </c>
    </row>
    <row r="337" spans="1:35" x14ac:dyDescent="0.55000000000000004">
      <c r="A337" s="2" t="s">
        <v>206</v>
      </c>
      <c r="B337" s="2" t="s">
        <v>61</v>
      </c>
      <c r="C337" s="2" t="s">
        <v>61</v>
      </c>
      <c r="D337" s="2" t="s">
        <v>789</v>
      </c>
      <c r="E337" s="2" t="s">
        <v>101</v>
      </c>
      <c r="G337" s="3" t="s">
        <v>63</v>
      </c>
      <c r="H337" s="2" t="s">
        <v>61</v>
      </c>
      <c r="I337" s="17">
        <v>1</v>
      </c>
      <c r="J337" s="3">
        <v>40</v>
      </c>
      <c r="K337" s="3" t="s">
        <v>208</v>
      </c>
      <c r="L337" s="18">
        <v>0</v>
      </c>
      <c r="M337" s="18">
        <v>0</v>
      </c>
      <c r="N337" s="18">
        <v>0</v>
      </c>
      <c r="O337" s="18">
        <v>0</v>
      </c>
      <c r="P337" s="18">
        <v>65</v>
      </c>
      <c r="Q337" s="18">
        <v>125</v>
      </c>
      <c r="R337" s="18">
        <v>125</v>
      </c>
      <c r="S337" s="18">
        <v>0</v>
      </c>
      <c r="T337" s="18">
        <v>126</v>
      </c>
      <c r="U337" s="18">
        <v>0</v>
      </c>
      <c r="V337" s="18">
        <v>0</v>
      </c>
      <c r="W337" s="18">
        <v>100</v>
      </c>
      <c r="X337" s="18">
        <v>95</v>
      </c>
      <c r="Y337" s="18">
        <v>0</v>
      </c>
      <c r="Z337" s="18">
        <v>106</v>
      </c>
      <c r="AA337" s="18">
        <f>SUMIF([1]SA007!$C:$C,'SA007 2025.01-2026.05 '!$D337,[1]SA007!P:P)</f>
        <v>0</v>
      </c>
      <c r="AB337" s="18">
        <f>SUMIF([1]SA007!$C:$C,'SA007 2025.01-2026.05 '!$D337,[1]SA007!Q:Q)</f>
        <v>0</v>
      </c>
      <c r="AC337" s="19">
        <f t="shared" si="13"/>
        <v>742</v>
      </c>
      <c r="AD337" s="19">
        <f t="shared" si="14"/>
        <v>43.647058823529413</v>
      </c>
      <c r="AE337" s="20" t="s">
        <v>116</v>
      </c>
      <c r="AG337" s="21">
        <f>SUMIF([1]SO003!$H:$H,'SA007 2025.01-2026.05 '!$D337,[1]SO003!AF:AF)</f>
        <v>0</v>
      </c>
      <c r="AH337" s="21">
        <f>SUMIF([1]SO003!$H:$H,'SA007 2025.01-2026.05 '!$D337,[1]SO003!AH:AH)</f>
        <v>0</v>
      </c>
      <c r="AI337" s="21">
        <f>SUMIF([1]SO003!$H:$H,'SA007 2025.01-2026.05 '!$D337,[1]SO003!AJ:AJ)</f>
        <v>0</v>
      </c>
    </row>
    <row r="338" spans="1:35" x14ac:dyDescent="0.55000000000000004">
      <c r="A338" s="2" t="s">
        <v>251</v>
      </c>
      <c r="D338" s="2" t="s">
        <v>790</v>
      </c>
      <c r="E338" s="2" t="s">
        <v>234</v>
      </c>
      <c r="G338" s="3" t="s">
        <v>39</v>
      </c>
      <c r="H338" s="2" t="s">
        <v>78</v>
      </c>
      <c r="I338" s="17">
        <v>1.6</v>
      </c>
      <c r="J338" s="3">
        <v>53</v>
      </c>
      <c r="K338" s="3" t="s">
        <v>41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651</v>
      </c>
      <c r="W338" s="18">
        <v>0</v>
      </c>
      <c r="X338" s="18">
        <v>0</v>
      </c>
      <c r="Y338" s="18">
        <v>0</v>
      </c>
      <c r="Z338" s="18">
        <v>0</v>
      </c>
      <c r="AA338" s="18">
        <f>SUMIF([1]SA007!$C:$C,'SA007 2025.01-2026.05 '!$D338,[1]SA007!P:P)</f>
        <v>0</v>
      </c>
      <c r="AB338" s="18">
        <f>SUMIF([1]SA007!$C:$C,'SA007 2025.01-2026.05 '!$D338,[1]SA007!Q:Q)</f>
        <v>0</v>
      </c>
      <c r="AC338" s="19">
        <f t="shared" si="13"/>
        <v>651</v>
      </c>
      <c r="AD338" s="19">
        <f t="shared" si="14"/>
        <v>38.294117647058826</v>
      </c>
      <c r="AG338" s="21">
        <f>SUMIF([1]SO003!$H:$H,'SA007 2025.01-2026.05 '!$D338,[1]SO003!AF:AF)</f>
        <v>0</v>
      </c>
      <c r="AH338" s="21">
        <f>SUMIF([1]SO003!$H:$H,'SA007 2025.01-2026.05 '!$D338,[1]SO003!AH:AH)</f>
        <v>0</v>
      </c>
      <c r="AI338" s="21">
        <f>SUMIF([1]SO003!$H:$H,'SA007 2025.01-2026.05 '!$D338,[1]SO003!AJ:AJ)</f>
        <v>0</v>
      </c>
    </row>
    <row r="339" spans="1:35" x14ac:dyDescent="0.55000000000000004">
      <c r="A339" s="2" t="s">
        <v>251</v>
      </c>
      <c r="B339" s="2" t="s">
        <v>77</v>
      </c>
      <c r="C339" s="2" t="s">
        <v>78</v>
      </c>
      <c r="D339" s="2" t="s">
        <v>791</v>
      </c>
      <c r="E339" s="2" t="s">
        <v>151</v>
      </c>
      <c r="F339" s="2" t="s">
        <v>151</v>
      </c>
      <c r="G339" s="3" t="s">
        <v>39</v>
      </c>
      <c r="H339" s="2" t="s">
        <v>792</v>
      </c>
      <c r="I339" s="17">
        <v>1.6</v>
      </c>
      <c r="J339" s="3">
        <v>310</v>
      </c>
      <c r="K339" s="3">
        <v>1219</v>
      </c>
      <c r="L339" s="18">
        <v>45</v>
      </c>
      <c r="M339" s="18">
        <v>0</v>
      </c>
      <c r="N339" s="18">
        <v>0</v>
      </c>
      <c r="O339" s="18">
        <v>0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0</v>
      </c>
      <c r="Z339" s="18">
        <v>0</v>
      </c>
      <c r="AA339" s="18">
        <f>SUMIF([1]SA007!$C:$C,'SA007 2025.01-2026.05 '!$D339,[1]SA007!P:P)</f>
        <v>0</v>
      </c>
      <c r="AB339" s="18">
        <f>SUMIF([1]SA007!$C:$C,'SA007 2025.01-2026.05 '!$D339,[1]SA007!Q:Q)</f>
        <v>0</v>
      </c>
      <c r="AC339" s="19">
        <f t="shared" si="13"/>
        <v>45</v>
      </c>
      <c r="AD339" s="19">
        <f t="shared" si="14"/>
        <v>2.6470588235294117</v>
      </c>
      <c r="AE339" s="20" t="s">
        <v>48</v>
      </c>
      <c r="AG339" s="21">
        <f>SUMIF([1]SO003!$H:$H,'SA007 2025.01-2026.05 '!$D339,[1]SO003!AF:AF)</f>
        <v>0</v>
      </c>
      <c r="AH339" s="21">
        <f>SUMIF([1]SO003!$H:$H,'SA007 2025.01-2026.05 '!$D339,[1]SO003!AH:AH)</f>
        <v>0</v>
      </c>
      <c r="AI339" s="21">
        <f>SUMIF([1]SO003!$H:$H,'SA007 2025.01-2026.05 '!$D339,[1]SO003!AJ:AJ)</f>
        <v>0</v>
      </c>
    </row>
    <row r="340" spans="1:35" x14ac:dyDescent="0.55000000000000004">
      <c r="A340" s="2" t="s">
        <v>251</v>
      </c>
      <c r="B340" s="2" t="s">
        <v>77</v>
      </c>
      <c r="C340" s="2" t="s">
        <v>78</v>
      </c>
      <c r="D340" s="2" t="s">
        <v>793</v>
      </c>
      <c r="E340" s="2" t="s">
        <v>151</v>
      </c>
      <c r="F340" s="2" t="s">
        <v>151</v>
      </c>
      <c r="G340" s="3" t="s">
        <v>39</v>
      </c>
      <c r="H340" s="2" t="s">
        <v>792</v>
      </c>
      <c r="I340" s="17">
        <v>1.6</v>
      </c>
      <c r="J340" s="3">
        <v>96</v>
      </c>
      <c r="K340" s="3" t="s">
        <v>41</v>
      </c>
      <c r="L340" s="18">
        <v>295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f>SUMIF([1]SA007!$C:$C,'SA007 2025.01-2026.05 '!$D340,[1]SA007!P:P)</f>
        <v>0</v>
      </c>
      <c r="AB340" s="18">
        <f>SUMIF([1]SA007!$C:$C,'SA007 2025.01-2026.05 '!$D340,[1]SA007!Q:Q)</f>
        <v>0</v>
      </c>
      <c r="AC340" s="19">
        <f t="shared" si="13"/>
        <v>295</v>
      </c>
      <c r="AD340" s="19">
        <f t="shared" si="14"/>
        <v>17.352941176470587</v>
      </c>
      <c r="AE340" s="20" t="s">
        <v>116</v>
      </c>
      <c r="AG340" s="21">
        <f>SUMIF([1]SO003!$H:$H,'SA007 2025.01-2026.05 '!$D340,[1]SO003!AF:AF)</f>
        <v>0</v>
      </c>
      <c r="AH340" s="21">
        <f>SUMIF([1]SO003!$H:$H,'SA007 2025.01-2026.05 '!$D340,[1]SO003!AH:AH)</f>
        <v>0</v>
      </c>
      <c r="AI340" s="21">
        <f>SUMIF([1]SO003!$H:$H,'SA007 2025.01-2026.05 '!$D340,[1]SO003!AJ:AJ)</f>
        <v>0</v>
      </c>
    </row>
    <row r="341" spans="1:35" x14ac:dyDescent="0.55000000000000004">
      <c r="A341" s="2" t="s">
        <v>794</v>
      </c>
      <c r="D341" s="22" t="s">
        <v>795</v>
      </c>
      <c r="E341" s="2" t="s">
        <v>796</v>
      </c>
      <c r="F341" s="3"/>
      <c r="G341" s="3" t="s">
        <v>57</v>
      </c>
      <c r="H341" s="2" t="s">
        <v>160</v>
      </c>
      <c r="I341" s="17">
        <v>1.6</v>
      </c>
      <c r="J341" s="3">
        <v>190</v>
      </c>
      <c r="K341" s="3" t="s">
        <v>731</v>
      </c>
      <c r="L341" s="18">
        <v>0</v>
      </c>
      <c r="M341" s="18">
        <v>0</v>
      </c>
      <c r="N341" s="18">
        <v>0</v>
      </c>
      <c r="O341" s="18">
        <v>0</v>
      </c>
      <c r="P341" s="18">
        <v>0</v>
      </c>
      <c r="Q341" s="18">
        <v>0</v>
      </c>
      <c r="R341" s="18">
        <v>0</v>
      </c>
      <c r="S341" s="18">
        <v>653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f>SUMIF([1]SA007!$C:$C,'SA007 2025.01-2026.05 '!$D341,[1]SA007!P:P)</f>
        <v>0</v>
      </c>
      <c r="AB341" s="18">
        <f>SUMIF([1]SA007!$C:$C,'SA007 2025.01-2026.05 '!$D341,[1]SA007!Q:Q)</f>
        <v>0</v>
      </c>
      <c r="AC341" s="19">
        <f t="shared" si="13"/>
        <v>653</v>
      </c>
      <c r="AD341" s="19">
        <f t="shared" si="14"/>
        <v>38.411764705882355</v>
      </c>
      <c r="AG341" s="21">
        <f>SUMIF([1]SO003!$H:$H,'SA007 2025.01-2026.05 '!$D341,[1]SO003!AF:AF)</f>
        <v>0</v>
      </c>
      <c r="AH341" s="21">
        <f>SUMIF([1]SO003!$H:$H,'SA007 2025.01-2026.05 '!$D341,[1]SO003!AH:AH)</f>
        <v>0</v>
      </c>
      <c r="AI341" s="21">
        <f>SUMIF([1]SO003!$H:$H,'SA007 2025.01-2026.05 '!$D341,[1]SO003!AJ:AJ)</f>
        <v>0</v>
      </c>
    </row>
    <row r="342" spans="1:35" x14ac:dyDescent="0.55000000000000004">
      <c r="A342" s="23" t="s">
        <v>219</v>
      </c>
      <c r="B342" s="2" t="s">
        <v>54</v>
      </c>
      <c r="D342" s="2" t="s">
        <v>797</v>
      </c>
      <c r="E342" s="2" t="s">
        <v>185</v>
      </c>
      <c r="G342" s="3" t="s">
        <v>57</v>
      </c>
      <c r="H342" s="2" t="s">
        <v>783</v>
      </c>
      <c r="I342" s="17">
        <v>1.2</v>
      </c>
      <c r="J342" s="3">
        <v>280</v>
      </c>
      <c r="K342" s="3">
        <v>1170</v>
      </c>
      <c r="L342" s="18">
        <v>0</v>
      </c>
      <c r="M342" s="18">
        <v>0</v>
      </c>
      <c r="N342" s="18">
        <v>0</v>
      </c>
      <c r="O342" s="18">
        <v>0</v>
      </c>
      <c r="P342" s="18">
        <v>453</v>
      </c>
      <c r="Q342" s="18">
        <v>0</v>
      </c>
      <c r="R342" s="18">
        <v>0</v>
      </c>
      <c r="S342" s="18">
        <v>0</v>
      </c>
      <c r="T342" s="18">
        <v>456</v>
      </c>
      <c r="U342" s="18">
        <v>0</v>
      </c>
      <c r="V342" s="18">
        <v>578</v>
      </c>
      <c r="W342" s="18">
        <v>0</v>
      </c>
      <c r="X342" s="18">
        <v>500</v>
      </c>
      <c r="Y342" s="18">
        <v>0</v>
      </c>
      <c r="Z342" s="18">
        <v>0</v>
      </c>
      <c r="AA342" s="18">
        <f>SUMIF([1]SA007!$C:$C,'SA007 2025.01-2026.05 '!$D342,[1]SA007!P:P)</f>
        <v>0</v>
      </c>
      <c r="AB342" s="18">
        <f>SUMIF([1]SA007!$C:$C,'SA007 2025.01-2026.05 '!$D342,[1]SA007!Q:Q)</f>
        <v>0</v>
      </c>
      <c r="AC342" s="19">
        <f t="shared" si="13"/>
        <v>1987</v>
      </c>
      <c r="AD342" s="19">
        <f t="shared" si="14"/>
        <v>116.88235294117646</v>
      </c>
      <c r="AE342" s="18"/>
      <c r="AG342" s="21">
        <f>SUMIF([1]SO003!$H:$H,'SA007 2025.01-2026.05 '!$D342,[1]SO003!AF:AF)</f>
        <v>0</v>
      </c>
      <c r="AH342" s="21">
        <f>SUMIF([1]SO003!$H:$H,'SA007 2025.01-2026.05 '!$D342,[1]SO003!AH:AH)</f>
        <v>0</v>
      </c>
      <c r="AI342" s="21">
        <f>SUMIF([1]SO003!$H:$H,'SA007 2025.01-2026.05 '!$D342,[1]SO003!AJ:AJ)</f>
        <v>0</v>
      </c>
    </row>
    <row r="343" spans="1:35" x14ac:dyDescent="0.55000000000000004">
      <c r="A343" s="2" t="s">
        <v>381</v>
      </c>
      <c r="B343" s="2" t="s">
        <v>599</v>
      </c>
      <c r="D343" s="2" t="s">
        <v>798</v>
      </c>
      <c r="E343" s="2" t="s">
        <v>240</v>
      </c>
      <c r="G343" s="3" t="s">
        <v>39</v>
      </c>
      <c r="H343" s="2" t="s">
        <v>282</v>
      </c>
      <c r="I343" s="17">
        <v>2</v>
      </c>
      <c r="J343" s="3">
        <v>504</v>
      </c>
      <c r="K343" s="3">
        <v>295</v>
      </c>
      <c r="L343" s="18">
        <v>0</v>
      </c>
      <c r="M343" s="18">
        <v>0</v>
      </c>
      <c r="N343" s="18">
        <v>0</v>
      </c>
      <c r="O343" s="18">
        <v>0</v>
      </c>
      <c r="P343" s="18">
        <v>3934</v>
      </c>
      <c r="Q343" s="18">
        <v>2341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f>SUMIF([1]SA007!$C:$C,'SA007 2025.01-2026.05 '!$D343,[1]SA007!P:P)</f>
        <v>0</v>
      </c>
      <c r="AB343" s="18">
        <f>SUMIF([1]SA007!$C:$C,'SA007 2025.01-2026.05 '!$D343,[1]SA007!Q:Q)</f>
        <v>0</v>
      </c>
      <c r="AC343" s="19">
        <f t="shared" si="13"/>
        <v>6275</v>
      </c>
      <c r="AD343" s="19">
        <f t="shared" si="14"/>
        <v>369.11764705882354</v>
      </c>
      <c r="AE343" s="20" t="s">
        <v>799</v>
      </c>
      <c r="AG343" s="21">
        <f>SUMIF([1]SO003!$H:$H,'SA007 2025.01-2026.05 '!$D343,[1]SO003!AF:AF)</f>
        <v>0</v>
      </c>
      <c r="AH343" s="21">
        <f>SUMIF([1]SO003!$H:$H,'SA007 2025.01-2026.05 '!$D343,[1]SO003!AH:AH)</f>
        <v>0</v>
      </c>
      <c r="AI343" s="21">
        <f>SUMIF([1]SO003!$H:$H,'SA007 2025.01-2026.05 '!$D343,[1]SO003!AJ:AJ)</f>
        <v>0</v>
      </c>
    </row>
    <row r="344" spans="1:35" x14ac:dyDescent="0.55000000000000004">
      <c r="A344" s="2" t="s">
        <v>171</v>
      </c>
      <c r="B344" s="2" t="s">
        <v>800</v>
      </c>
      <c r="C344" s="2" t="s">
        <v>800</v>
      </c>
      <c r="D344" s="2" t="s">
        <v>801</v>
      </c>
      <c r="E344" s="2" t="s">
        <v>101</v>
      </c>
      <c r="F344" s="2" t="s">
        <v>101</v>
      </c>
      <c r="G344" s="3" t="s">
        <v>57</v>
      </c>
      <c r="H344" s="2" t="s">
        <v>802</v>
      </c>
      <c r="I344" s="17">
        <v>1.6</v>
      </c>
      <c r="J344" s="3">
        <v>115</v>
      </c>
      <c r="K344" s="3">
        <v>852</v>
      </c>
      <c r="L344" s="18">
        <v>113</v>
      </c>
      <c r="M344" s="18">
        <v>123</v>
      </c>
      <c r="N344" s="18">
        <v>745</v>
      </c>
      <c r="O344" s="18">
        <v>741</v>
      </c>
      <c r="P344" s="18">
        <v>0</v>
      </c>
      <c r="Q344" s="18">
        <v>741</v>
      </c>
      <c r="R344" s="18">
        <v>728</v>
      </c>
      <c r="S344" s="18">
        <v>0</v>
      </c>
      <c r="T344" s="18">
        <v>380</v>
      </c>
      <c r="U344" s="18">
        <v>534</v>
      </c>
      <c r="V344" s="18">
        <v>747</v>
      </c>
      <c r="W344" s="18">
        <v>649</v>
      </c>
      <c r="X344" s="18">
        <v>0</v>
      </c>
      <c r="Y344" s="18">
        <v>0</v>
      </c>
      <c r="Z344" s="18">
        <v>0</v>
      </c>
      <c r="AA344" s="18">
        <f>SUMIF([1]SA007!$C:$C,'SA007 2025.01-2026.05 '!$D344,[1]SA007!P:P)</f>
        <v>1384</v>
      </c>
      <c r="AB344" s="18">
        <f>SUMIF([1]SA007!$C:$C,'SA007 2025.01-2026.05 '!$D344,[1]SA007!Q:Q)</f>
        <v>739</v>
      </c>
      <c r="AC344" s="19">
        <f t="shared" si="13"/>
        <v>7624</v>
      </c>
      <c r="AD344" s="19">
        <f t="shared" si="14"/>
        <v>448.47058823529414</v>
      </c>
      <c r="AE344" s="20" t="s">
        <v>166</v>
      </c>
      <c r="AG344" s="21">
        <f>SUMIF([1]SO003!$H:$H,'SA007 2025.01-2026.05 '!$D344,[1]SO003!AF:AF)</f>
        <v>738.37728000000004</v>
      </c>
      <c r="AH344" s="21">
        <f>SUMIF([1]SO003!$H:$H,'SA007 2025.01-2026.05 '!$D344,[1]SO003!AH:AH)</f>
        <v>738.37728000000004</v>
      </c>
      <c r="AI344" s="21">
        <f>SUMIF([1]SO003!$H:$H,'SA007 2025.01-2026.05 '!$D344,[1]SO003!AJ:AJ)</f>
        <v>0</v>
      </c>
    </row>
    <row r="345" spans="1:35" x14ac:dyDescent="0.55000000000000004">
      <c r="A345" s="2" t="s">
        <v>145</v>
      </c>
      <c r="B345" s="2" t="s">
        <v>61</v>
      </c>
      <c r="C345" s="2" t="s">
        <v>61</v>
      </c>
      <c r="D345" s="2" t="s">
        <v>803</v>
      </c>
      <c r="E345" s="2" t="s">
        <v>182</v>
      </c>
      <c r="F345" s="2" t="s">
        <v>182</v>
      </c>
      <c r="G345" s="3" t="s">
        <v>63</v>
      </c>
      <c r="H345" s="2" t="s">
        <v>61</v>
      </c>
      <c r="I345" s="17">
        <v>0.8</v>
      </c>
      <c r="J345" s="3">
        <v>55</v>
      </c>
      <c r="K345" s="3" t="s">
        <v>41</v>
      </c>
      <c r="L345" s="18">
        <v>0</v>
      </c>
      <c r="M345" s="18">
        <v>253</v>
      </c>
      <c r="N345" s="18">
        <v>450</v>
      </c>
      <c r="O345" s="18">
        <v>300</v>
      </c>
      <c r="P345" s="18">
        <v>115</v>
      </c>
      <c r="Q345" s="18">
        <v>610</v>
      </c>
      <c r="R345" s="18">
        <v>619</v>
      </c>
      <c r="S345" s="18">
        <v>415</v>
      </c>
      <c r="T345" s="18">
        <v>0</v>
      </c>
      <c r="U345" s="18">
        <v>700</v>
      </c>
      <c r="V345" s="18">
        <v>585</v>
      </c>
      <c r="W345" s="18">
        <v>0</v>
      </c>
      <c r="X345" s="18">
        <v>882</v>
      </c>
      <c r="Y345" s="18">
        <v>0</v>
      </c>
      <c r="Z345" s="18">
        <v>0</v>
      </c>
      <c r="AA345" s="18">
        <f>SUMIF([1]SA007!$C:$C,'SA007 2025.01-2026.05 '!$D345,[1]SA007!P:P)</f>
        <v>0</v>
      </c>
      <c r="AB345" s="18">
        <f>SUMIF([1]SA007!$C:$C,'SA007 2025.01-2026.05 '!$D345,[1]SA007!Q:Q)</f>
        <v>0</v>
      </c>
      <c r="AC345" s="19">
        <f t="shared" si="13"/>
        <v>4929</v>
      </c>
      <c r="AD345" s="19">
        <f t="shared" si="14"/>
        <v>289.94117647058823</v>
      </c>
      <c r="AE345" s="20" t="s">
        <v>804</v>
      </c>
      <c r="AG345" s="21">
        <f>SUMIF([1]SO003!$H:$H,'SA007 2025.01-2026.05 '!$D345,[1]SO003!AF:AF)</f>
        <v>0</v>
      </c>
      <c r="AH345" s="21">
        <f>SUMIF([1]SO003!$H:$H,'SA007 2025.01-2026.05 '!$D345,[1]SO003!AH:AH)</f>
        <v>0</v>
      </c>
      <c r="AI345" s="21">
        <f>SUMIF([1]SO003!$H:$H,'SA007 2025.01-2026.05 '!$D345,[1]SO003!AJ:AJ)</f>
        <v>0</v>
      </c>
    </row>
    <row r="346" spans="1:35" x14ac:dyDescent="0.55000000000000004">
      <c r="A346" s="2" t="s">
        <v>145</v>
      </c>
      <c r="B346" s="2" t="s">
        <v>61</v>
      </c>
      <c r="C346" s="2" t="s">
        <v>61</v>
      </c>
      <c r="D346" s="2" t="s">
        <v>805</v>
      </c>
      <c r="E346" s="2" t="s">
        <v>182</v>
      </c>
      <c r="F346" s="2" t="s">
        <v>182</v>
      </c>
      <c r="G346" s="3" t="s">
        <v>63</v>
      </c>
      <c r="H346" s="2" t="s">
        <v>61</v>
      </c>
      <c r="I346" s="17">
        <v>0.8</v>
      </c>
      <c r="J346" s="3">
        <v>40</v>
      </c>
      <c r="K346" s="3" t="s">
        <v>41</v>
      </c>
      <c r="L346" s="18">
        <v>195</v>
      </c>
      <c r="M346" s="18">
        <v>75</v>
      </c>
      <c r="N346" s="18">
        <v>150</v>
      </c>
      <c r="O346" s="18">
        <v>198</v>
      </c>
      <c r="P346" s="18">
        <v>214</v>
      </c>
      <c r="Q346" s="18">
        <v>0</v>
      </c>
      <c r="R346" s="18">
        <v>231</v>
      </c>
      <c r="S346" s="18">
        <v>210</v>
      </c>
      <c r="T346" s="18">
        <v>0</v>
      </c>
      <c r="U346" s="18">
        <v>294</v>
      </c>
      <c r="V346" s="18">
        <v>255</v>
      </c>
      <c r="W346" s="18">
        <v>0</v>
      </c>
      <c r="X346" s="18">
        <v>410</v>
      </c>
      <c r="Y346" s="18">
        <v>0</v>
      </c>
      <c r="Z346" s="18">
        <v>0</v>
      </c>
      <c r="AA346" s="18">
        <f>SUMIF([1]SA007!$C:$C,'SA007 2025.01-2026.05 '!$D346,[1]SA007!P:P)</f>
        <v>0</v>
      </c>
      <c r="AB346" s="18">
        <f>SUMIF([1]SA007!$C:$C,'SA007 2025.01-2026.05 '!$D346,[1]SA007!Q:Q)</f>
        <v>0</v>
      </c>
      <c r="AC346" s="19">
        <f t="shared" si="13"/>
        <v>2232</v>
      </c>
      <c r="AD346" s="19">
        <f t="shared" si="14"/>
        <v>131.29411764705881</v>
      </c>
      <c r="AE346" s="20" t="s">
        <v>116</v>
      </c>
      <c r="AG346" s="21">
        <f>SUMIF([1]SO003!$H:$H,'SA007 2025.01-2026.05 '!$D346,[1]SO003!AF:AF)</f>
        <v>0</v>
      </c>
      <c r="AH346" s="21">
        <f>SUMIF([1]SO003!$H:$H,'SA007 2025.01-2026.05 '!$D346,[1]SO003!AH:AH)</f>
        <v>0</v>
      </c>
      <c r="AI346" s="21">
        <f>SUMIF([1]SO003!$H:$H,'SA007 2025.01-2026.05 '!$D346,[1]SO003!AJ:AJ)</f>
        <v>0</v>
      </c>
    </row>
    <row r="347" spans="1:35" x14ac:dyDescent="0.55000000000000004">
      <c r="A347" s="2" t="s">
        <v>171</v>
      </c>
      <c r="C347" s="2" t="s">
        <v>800</v>
      </c>
      <c r="D347" s="2" t="s">
        <v>806</v>
      </c>
      <c r="E347" s="2" t="s">
        <v>101</v>
      </c>
      <c r="G347" s="3" t="s">
        <v>57</v>
      </c>
      <c r="H347" s="2" t="s">
        <v>802</v>
      </c>
      <c r="I347" s="17">
        <v>1.6</v>
      </c>
      <c r="J347" s="3">
        <v>228</v>
      </c>
      <c r="K347" s="3">
        <v>1048.2</v>
      </c>
      <c r="L347" s="18">
        <v>0</v>
      </c>
      <c r="M347" s="18">
        <v>0</v>
      </c>
      <c r="N347" s="18">
        <v>0</v>
      </c>
      <c r="O347" s="18">
        <v>0</v>
      </c>
      <c r="P347" s="18">
        <v>1212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f>SUMIF([1]SA007!$C:$C,'SA007 2025.01-2026.05 '!$D347,[1]SA007!P:P)</f>
        <v>0</v>
      </c>
      <c r="AB347" s="18">
        <f>SUMIF([1]SA007!$C:$C,'SA007 2025.01-2026.05 '!$D347,[1]SA007!Q:Q)</f>
        <v>0</v>
      </c>
      <c r="AC347" s="19">
        <f t="shared" si="13"/>
        <v>1212</v>
      </c>
      <c r="AD347" s="19">
        <f t="shared" si="14"/>
        <v>71.294117647058826</v>
      </c>
      <c r="AE347" s="20">
        <v>0</v>
      </c>
      <c r="AG347" s="21">
        <f>SUMIF([1]SO003!$H:$H,'SA007 2025.01-2026.05 '!$D347,[1]SO003!AF:AF)</f>
        <v>0</v>
      </c>
      <c r="AH347" s="21">
        <f>SUMIF([1]SO003!$H:$H,'SA007 2025.01-2026.05 '!$D347,[1]SO003!AH:AH)</f>
        <v>0</v>
      </c>
      <c r="AI347" s="21">
        <f>SUMIF([1]SO003!$H:$H,'SA007 2025.01-2026.05 '!$D347,[1]SO003!AJ:AJ)</f>
        <v>0</v>
      </c>
    </row>
    <row r="348" spans="1:35" x14ac:dyDescent="0.55000000000000004">
      <c r="A348" s="2" t="s">
        <v>364</v>
      </c>
      <c r="B348" s="2" t="s">
        <v>365</v>
      </c>
      <c r="D348" s="2" t="s">
        <v>807</v>
      </c>
      <c r="E348" s="2" t="s">
        <v>363</v>
      </c>
      <c r="G348" s="3" t="s">
        <v>47</v>
      </c>
      <c r="H348" s="2" t="s">
        <v>365</v>
      </c>
      <c r="I348" s="17">
        <v>2</v>
      </c>
      <c r="J348" s="3">
        <v>75</v>
      </c>
      <c r="K348" s="3">
        <v>1220</v>
      </c>
      <c r="L348" s="18">
        <v>0</v>
      </c>
      <c r="M348" s="18">
        <v>0</v>
      </c>
      <c r="N348" s="18">
        <v>0</v>
      </c>
      <c r="O348" s="18">
        <v>0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792</v>
      </c>
      <c r="V348" s="18">
        <v>0</v>
      </c>
      <c r="W348" s="18">
        <v>0</v>
      </c>
      <c r="X348" s="18">
        <v>1001</v>
      </c>
      <c r="Y348" s="18">
        <v>955</v>
      </c>
      <c r="Z348" s="18">
        <v>0</v>
      </c>
      <c r="AA348" s="18">
        <f>SUMIF([1]SA007!$C:$C,'SA007 2025.01-2026.05 '!$D348,[1]SA007!P:P)</f>
        <v>755</v>
      </c>
      <c r="AB348" s="18">
        <f>SUMIF([1]SA007!$C:$C,'SA007 2025.01-2026.05 '!$D348,[1]SA007!Q:Q)</f>
        <v>0</v>
      </c>
      <c r="AC348" s="19">
        <f t="shared" si="13"/>
        <v>3503</v>
      </c>
      <c r="AD348" s="19">
        <f t="shared" si="14"/>
        <v>206.05882352941177</v>
      </c>
      <c r="AE348" s="20" t="s">
        <v>48</v>
      </c>
      <c r="AG348" s="21">
        <f>SUMIF([1]SO003!$H:$H,'SA007 2025.01-2026.05 '!$D348,[1]SO003!AF:AF)</f>
        <v>646.44749999999999</v>
      </c>
      <c r="AH348" s="21">
        <f>SUMIF([1]SO003!$H:$H,'SA007 2025.01-2026.05 '!$D348,[1]SO003!AH:AH)</f>
        <v>571.74689999999998</v>
      </c>
      <c r="AI348" s="21">
        <f>SUMIF([1]SO003!$H:$H,'SA007 2025.01-2026.05 '!$D348,[1]SO003!AJ:AJ)</f>
        <v>74.700599999999994</v>
      </c>
    </row>
    <row r="349" spans="1:35" x14ac:dyDescent="0.55000000000000004">
      <c r="A349" s="2" t="s">
        <v>381</v>
      </c>
      <c r="B349" s="2" t="s">
        <v>612</v>
      </c>
      <c r="D349" s="2" t="s">
        <v>808</v>
      </c>
      <c r="E349" s="2" t="s">
        <v>240</v>
      </c>
      <c r="G349" s="3" t="s">
        <v>39</v>
      </c>
      <c r="H349" s="2" t="s">
        <v>612</v>
      </c>
      <c r="I349" s="17">
        <v>2</v>
      </c>
      <c r="J349" s="3">
        <v>232</v>
      </c>
      <c r="K349" s="3" t="s">
        <v>711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1174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f>SUMIF([1]SA007!$C:$C,'SA007 2025.01-2026.05 '!$D349,[1]SA007!P:P)</f>
        <v>0</v>
      </c>
      <c r="AB349" s="18">
        <f>SUMIF([1]SA007!$C:$C,'SA007 2025.01-2026.05 '!$D349,[1]SA007!Q:Q)</f>
        <v>0</v>
      </c>
      <c r="AC349" s="19">
        <f t="shared" si="13"/>
        <v>1174</v>
      </c>
      <c r="AD349" s="19">
        <f t="shared" si="14"/>
        <v>69.058823529411768</v>
      </c>
      <c r="AE349" s="20" t="s">
        <v>809</v>
      </c>
      <c r="AG349" s="21">
        <f>SUMIF([1]SO003!$H:$H,'SA007 2025.01-2026.05 '!$D349,[1]SO003!AF:AF)</f>
        <v>0</v>
      </c>
      <c r="AH349" s="21">
        <f>SUMIF([1]SO003!$H:$H,'SA007 2025.01-2026.05 '!$D349,[1]SO003!AH:AH)</f>
        <v>0</v>
      </c>
      <c r="AI349" s="21">
        <f>SUMIF([1]SO003!$H:$H,'SA007 2025.01-2026.05 '!$D349,[1]SO003!AJ:AJ)</f>
        <v>0</v>
      </c>
    </row>
    <row r="350" spans="1:35" x14ac:dyDescent="0.55000000000000004">
      <c r="A350" s="2" t="s">
        <v>171</v>
      </c>
      <c r="B350" s="2" t="s">
        <v>800</v>
      </c>
      <c r="C350" s="2" t="s">
        <v>800</v>
      </c>
      <c r="D350" s="2" t="s">
        <v>810</v>
      </c>
      <c r="E350" s="2" t="s">
        <v>101</v>
      </c>
      <c r="F350" s="2" t="s">
        <v>101</v>
      </c>
      <c r="G350" s="3" t="s">
        <v>175</v>
      </c>
      <c r="H350" s="2" t="s">
        <v>802</v>
      </c>
      <c r="I350" s="17">
        <v>1.6</v>
      </c>
      <c r="J350" s="3">
        <v>228</v>
      </c>
      <c r="K350" s="3">
        <v>1048.2</v>
      </c>
      <c r="L350" s="18">
        <v>0</v>
      </c>
      <c r="M350" s="18">
        <v>594</v>
      </c>
      <c r="N350" s="18">
        <v>1812</v>
      </c>
      <c r="O350" s="18">
        <v>1208</v>
      </c>
      <c r="P350" s="18">
        <v>1208</v>
      </c>
      <c r="Q350" s="18">
        <v>3622</v>
      </c>
      <c r="R350" s="18">
        <v>1182</v>
      </c>
      <c r="S350" s="18">
        <v>601</v>
      </c>
      <c r="T350" s="18">
        <v>1175</v>
      </c>
      <c r="U350" s="18">
        <v>2212</v>
      </c>
      <c r="V350" s="18">
        <v>272</v>
      </c>
      <c r="W350" s="18">
        <v>1799</v>
      </c>
      <c r="X350" s="18">
        <v>1336</v>
      </c>
      <c r="Y350" s="18">
        <v>1090</v>
      </c>
      <c r="Z350" s="18">
        <v>2063</v>
      </c>
      <c r="AA350" s="18">
        <f>SUMIF([1]SA007!$C:$C,'SA007 2025.01-2026.05 '!$D350,[1]SA007!P:P)</f>
        <v>2918</v>
      </c>
      <c r="AB350" s="18">
        <f>SUMIF([1]SA007!$C:$C,'SA007 2025.01-2026.05 '!$D350,[1]SA007!Q:Q)</f>
        <v>1192</v>
      </c>
      <c r="AC350" s="19">
        <f t="shared" si="13"/>
        <v>24284</v>
      </c>
      <c r="AD350" s="19">
        <f t="shared" si="14"/>
        <v>1428.4705882352941</v>
      </c>
      <c r="AE350" s="20" t="s">
        <v>166</v>
      </c>
      <c r="AG350" s="21">
        <f>SUMIF([1]SO003!$H:$H,'SA007 2025.01-2026.05 '!$D350,[1]SO003!AF:AF)</f>
        <v>1200.6837504000002</v>
      </c>
      <c r="AH350" s="21">
        <f>SUMIF([1]SO003!$H:$H,'SA007 2025.01-2026.05 '!$D350,[1]SO003!AH:AH)</f>
        <v>1200.6837504000002</v>
      </c>
      <c r="AI350" s="21">
        <f>SUMIF([1]SO003!$H:$H,'SA007 2025.01-2026.05 '!$D350,[1]SO003!AJ:AJ)</f>
        <v>0</v>
      </c>
    </row>
    <row r="351" spans="1:35" x14ac:dyDescent="0.55000000000000004">
      <c r="A351" s="2" t="s">
        <v>0</v>
      </c>
      <c r="B351" s="2" t="s">
        <v>78</v>
      </c>
      <c r="D351" s="2" t="s">
        <v>811</v>
      </c>
      <c r="E351" s="2" t="s">
        <v>182</v>
      </c>
      <c r="G351" s="3" t="s">
        <v>39</v>
      </c>
      <c r="H351" s="2" t="s">
        <v>78</v>
      </c>
      <c r="I351" s="17">
        <v>1.2</v>
      </c>
      <c r="J351" s="3">
        <v>117</v>
      </c>
      <c r="K351" s="3">
        <v>1220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28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f>SUMIF([1]SA007!$C:$C,'SA007 2025.01-2026.05 '!$D351,[1]SA007!P:P)</f>
        <v>0</v>
      </c>
      <c r="AB351" s="18">
        <f>SUMIF([1]SA007!$C:$C,'SA007 2025.01-2026.05 '!$D351,[1]SA007!Q:Q)</f>
        <v>0</v>
      </c>
      <c r="AC351" s="19">
        <f t="shared" si="13"/>
        <v>28</v>
      </c>
      <c r="AD351" s="19">
        <f t="shared" si="14"/>
        <v>1.6470588235294117</v>
      </c>
      <c r="AE351" s="20" t="e">
        <v>#N/A</v>
      </c>
      <c r="AG351" s="21">
        <f>SUMIF([1]SO003!$H:$H,'SA007 2025.01-2026.05 '!$D351,[1]SO003!AF:AF)</f>
        <v>0</v>
      </c>
      <c r="AH351" s="21">
        <f>SUMIF([1]SO003!$H:$H,'SA007 2025.01-2026.05 '!$D351,[1]SO003!AH:AH)</f>
        <v>0</v>
      </c>
      <c r="AI351" s="21">
        <f>SUMIF([1]SO003!$H:$H,'SA007 2025.01-2026.05 '!$D351,[1]SO003!AJ:AJ)</f>
        <v>0</v>
      </c>
    </row>
    <row r="352" spans="1:35" x14ac:dyDescent="0.55000000000000004">
      <c r="A352" s="23" t="s">
        <v>219</v>
      </c>
      <c r="D352" s="2" t="s">
        <v>812</v>
      </c>
      <c r="E352" s="2" t="s">
        <v>249</v>
      </c>
      <c r="G352" s="3" t="s">
        <v>57</v>
      </c>
      <c r="H352" s="2" t="s">
        <v>67</v>
      </c>
      <c r="I352" s="17">
        <v>1.2</v>
      </c>
      <c r="J352" s="3">
        <v>74.400000000000006</v>
      </c>
      <c r="K352" s="3" t="s">
        <v>749</v>
      </c>
      <c r="L352" s="18">
        <v>0</v>
      </c>
      <c r="M352" s="18">
        <v>0</v>
      </c>
      <c r="N352" s="18">
        <v>0</v>
      </c>
      <c r="O352" s="18">
        <v>0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54</v>
      </c>
      <c r="X352" s="18">
        <v>0</v>
      </c>
      <c r="Y352" s="18">
        <v>0</v>
      </c>
      <c r="Z352" s="18">
        <v>0</v>
      </c>
      <c r="AA352" s="18">
        <f>SUMIF([1]SA007!$C:$C,'SA007 2025.01-2026.05 '!$D352,[1]SA007!P:P)</f>
        <v>0</v>
      </c>
      <c r="AB352" s="18">
        <f>SUMIF([1]SA007!$C:$C,'SA007 2025.01-2026.05 '!$D352,[1]SA007!Q:Q)</f>
        <v>0</v>
      </c>
      <c r="AC352" s="19">
        <f t="shared" si="13"/>
        <v>54</v>
      </c>
      <c r="AD352" s="19">
        <f t="shared" si="14"/>
        <v>3.1764705882352939</v>
      </c>
      <c r="AG352" s="21">
        <f>SUMIF([1]SO003!$H:$H,'SA007 2025.01-2026.05 '!$D352,[1]SO003!AF:AF)</f>
        <v>0</v>
      </c>
      <c r="AH352" s="21">
        <f>SUMIF([1]SO003!$H:$H,'SA007 2025.01-2026.05 '!$D352,[1]SO003!AH:AH)</f>
        <v>0</v>
      </c>
      <c r="AI352" s="21">
        <f>SUMIF([1]SO003!$H:$H,'SA007 2025.01-2026.05 '!$D352,[1]SO003!AJ:AJ)</f>
        <v>0</v>
      </c>
    </row>
    <row r="353" spans="1:35" x14ac:dyDescent="0.55000000000000004">
      <c r="A353" s="2" t="s">
        <v>433</v>
      </c>
      <c r="B353" s="2" t="s">
        <v>213</v>
      </c>
      <c r="D353" s="2" t="s">
        <v>813</v>
      </c>
      <c r="E353" s="2" t="s">
        <v>182</v>
      </c>
      <c r="G353" s="3" t="s">
        <v>47</v>
      </c>
      <c r="H353" s="2" t="s">
        <v>402</v>
      </c>
      <c r="I353" s="17">
        <v>2.6</v>
      </c>
      <c r="J353" s="3">
        <v>139</v>
      </c>
      <c r="K353" s="3">
        <v>1220</v>
      </c>
      <c r="L353" s="18">
        <v>0</v>
      </c>
      <c r="M353" s="18">
        <v>0</v>
      </c>
      <c r="N353" s="18">
        <v>0</v>
      </c>
      <c r="O353" s="18">
        <v>0</v>
      </c>
      <c r="P353" s="18">
        <v>0</v>
      </c>
      <c r="Q353" s="18">
        <v>160</v>
      </c>
      <c r="R353" s="18">
        <v>498</v>
      </c>
      <c r="S353" s="18">
        <v>80</v>
      </c>
      <c r="T353" s="18">
        <v>0</v>
      </c>
      <c r="U353" s="18">
        <v>524</v>
      </c>
      <c r="V353" s="18">
        <v>1006</v>
      </c>
      <c r="W353" s="18">
        <v>0</v>
      </c>
      <c r="X353" s="18">
        <v>845</v>
      </c>
      <c r="Y353" s="18">
        <v>742</v>
      </c>
      <c r="Z353" s="18">
        <v>0</v>
      </c>
      <c r="AA353" s="18">
        <f>SUMIF([1]SA007!$C:$C,'SA007 2025.01-2026.05 '!$D353,[1]SA007!P:P)</f>
        <v>0</v>
      </c>
      <c r="AB353" s="18">
        <f>SUMIF([1]SA007!$C:$C,'SA007 2025.01-2026.05 '!$D353,[1]SA007!Q:Q)</f>
        <v>0</v>
      </c>
      <c r="AC353" s="19">
        <f t="shared" si="13"/>
        <v>3855</v>
      </c>
      <c r="AD353" s="19">
        <f t="shared" si="14"/>
        <v>226.76470588235293</v>
      </c>
      <c r="AE353" s="20" t="s">
        <v>814</v>
      </c>
      <c r="AG353" s="21">
        <f>SUMIF([1]SO003!$H:$H,'SA007 2025.01-2026.05 '!$D353,[1]SO003!AF:AF)</f>
        <v>0</v>
      </c>
      <c r="AH353" s="21">
        <f>SUMIF([1]SO003!$H:$H,'SA007 2025.01-2026.05 '!$D353,[1]SO003!AH:AH)</f>
        <v>0</v>
      </c>
      <c r="AI353" s="21">
        <f>SUMIF([1]SO003!$H:$H,'SA007 2025.01-2026.05 '!$D353,[1]SO003!AJ:AJ)</f>
        <v>0</v>
      </c>
    </row>
    <row r="354" spans="1:35" x14ac:dyDescent="0.55000000000000004">
      <c r="A354" s="2" t="s">
        <v>491</v>
      </c>
      <c r="B354" s="2" t="s">
        <v>44</v>
      </c>
      <c r="D354" s="2" t="s">
        <v>815</v>
      </c>
      <c r="E354" s="2" t="s">
        <v>227</v>
      </c>
      <c r="G354" s="3" t="s">
        <v>47</v>
      </c>
      <c r="H354" s="2" t="s">
        <v>44</v>
      </c>
      <c r="I354" s="17">
        <v>5</v>
      </c>
      <c r="J354" s="3">
        <v>130</v>
      </c>
      <c r="K354" s="3">
        <v>1220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3125</v>
      </c>
      <c r="W354" s="18">
        <v>0</v>
      </c>
      <c r="X354" s="18">
        <v>0</v>
      </c>
      <c r="Y354" s="18">
        <v>0</v>
      </c>
      <c r="Z354" s="18">
        <v>0</v>
      </c>
      <c r="AA354" s="18">
        <f>SUMIF([1]SA007!$C:$C,'SA007 2025.01-2026.05 '!$D354,[1]SA007!P:P)</f>
        <v>0</v>
      </c>
      <c r="AB354" s="18">
        <f>SUMIF([1]SA007!$C:$C,'SA007 2025.01-2026.05 '!$D354,[1]SA007!Q:Q)</f>
        <v>0</v>
      </c>
      <c r="AC354" s="19">
        <f t="shared" si="13"/>
        <v>3125</v>
      </c>
      <c r="AD354" s="19">
        <f t="shared" si="14"/>
        <v>183.8235294117647</v>
      </c>
      <c r="AE354" s="20" t="s">
        <v>816</v>
      </c>
      <c r="AG354" s="21">
        <f>SUMIF([1]SO003!$H:$H,'SA007 2025.01-2026.05 '!$D354,[1]SO003!AF:AF)</f>
        <v>0</v>
      </c>
      <c r="AH354" s="21">
        <f>SUMIF([1]SO003!$H:$H,'SA007 2025.01-2026.05 '!$D354,[1]SO003!AH:AH)</f>
        <v>0</v>
      </c>
      <c r="AI354" s="21">
        <f>SUMIF([1]SO003!$H:$H,'SA007 2025.01-2026.05 '!$D354,[1]SO003!AJ:AJ)</f>
        <v>0</v>
      </c>
    </row>
    <row r="355" spans="1:35" x14ac:dyDescent="0.55000000000000004">
      <c r="A355" s="2" t="s">
        <v>356</v>
      </c>
      <c r="B355" s="2" t="s">
        <v>61</v>
      </c>
      <c r="D355" s="2" t="s">
        <v>817</v>
      </c>
      <c r="E355" s="2" t="s">
        <v>101</v>
      </c>
      <c r="G355" s="3" t="s">
        <v>63</v>
      </c>
      <c r="H355" s="2" t="s">
        <v>61</v>
      </c>
      <c r="I355" s="17">
        <v>2</v>
      </c>
      <c r="J355" s="3">
        <v>132</v>
      </c>
      <c r="K355" s="3" t="s">
        <v>102</v>
      </c>
      <c r="L355" s="18">
        <v>0</v>
      </c>
      <c r="M355" s="18">
        <v>0</v>
      </c>
      <c r="N355" s="18">
        <v>0</v>
      </c>
      <c r="O355" s="18">
        <v>0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0</v>
      </c>
      <c r="AA355" s="18">
        <f>SUMIF([1]SA007!$C:$C,'SA007 2025.01-2026.05 '!$D355,[1]SA007!P:P)</f>
        <v>0</v>
      </c>
      <c r="AB355" s="18">
        <f>SUMIF([1]SA007!$C:$C,'SA007 2025.01-2026.05 '!$D355,[1]SA007!Q:Q)</f>
        <v>0</v>
      </c>
      <c r="AC355" s="19">
        <f t="shared" si="13"/>
        <v>0</v>
      </c>
      <c r="AD355" s="19">
        <f t="shared" si="14"/>
        <v>0</v>
      </c>
      <c r="AE355" s="20" t="s">
        <v>116</v>
      </c>
      <c r="AG355" s="21">
        <f>SUMIF([1]SO003!$H:$H,'SA007 2025.01-2026.05 '!$D355,[1]SO003!AF:AF)</f>
        <v>1500</v>
      </c>
      <c r="AH355" s="21">
        <f>SUMIF([1]SO003!$H:$H,'SA007 2025.01-2026.05 '!$D355,[1]SO003!AH:AH)</f>
        <v>1712</v>
      </c>
      <c r="AI355" s="21">
        <f>SUMIF([1]SO003!$H:$H,'SA007 2025.01-2026.05 '!$D355,[1]SO003!AJ:AJ)</f>
        <v>0</v>
      </c>
    </row>
    <row r="356" spans="1:35" x14ac:dyDescent="0.55000000000000004">
      <c r="A356" s="2" t="s">
        <v>53</v>
      </c>
      <c r="D356" s="2" t="s">
        <v>818</v>
      </c>
      <c r="E356" s="2" t="s">
        <v>69</v>
      </c>
      <c r="G356" s="3" t="s">
        <v>57</v>
      </c>
      <c r="H356" s="2" t="s">
        <v>67</v>
      </c>
      <c r="I356" s="17">
        <v>0.5</v>
      </c>
      <c r="J356" s="3">
        <v>168.5</v>
      </c>
      <c r="K356" s="3" t="s">
        <v>819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81</v>
      </c>
      <c r="W356" s="18">
        <v>0</v>
      </c>
      <c r="X356" s="18">
        <v>0</v>
      </c>
      <c r="Y356" s="18">
        <v>0</v>
      </c>
      <c r="Z356" s="18">
        <v>0</v>
      </c>
      <c r="AA356" s="18">
        <f>SUMIF([1]SA007!$C:$C,'SA007 2025.01-2026.05 '!$D356,[1]SA007!P:P)</f>
        <v>0</v>
      </c>
      <c r="AB356" s="18">
        <f>SUMIF([1]SA007!$C:$C,'SA007 2025.01-2026.05 '!$D356,[1]SA007!Q:Q)</f>
        <v>0</v>
      </c>
      <c r="AC356" s="19">
        <f t="shared" si="13"/>
        <v>81</v>
      </c>
      <c r="AD356" s="19">
        <f t="shared" si="14"/>
        <v>4.7647058823529411</v>
      </c>
      <c r="AG356" s="21">
        <f>SUMIF([1]SO003!$H:$H,'SA007 2025.01-2026.05 '!$D356,[1]SO003!AF:AF)</f>
        <v>0</v>
      </c>
      <c r="AH356" s="21">
        <f>SUMIF([1]SO003!$H:$H,'SA007 2025.01-2026.05 '!$D356,[1]SO003!AH:AH)</f>
        <v>0</v>
      </c>
      <c r="AI356" s="21">
        <f>SUMIF([1]SO003!$H:$H,'SA007 2025.01-2026.05 '!$D356,[1]SO003!AJ:AJ)</f>
        <v>0</v>
      </c>
    </row>
    <row r="357" spans="1:35" x14ac:dyDescent="0.55000000000000004">
      <c r="A357" s="2" t="s">
        <v>794</v>
      </c>
      <c r="B357" s="2" t="s">
        <v>67</v>
      </c>
      <c r="C357" s="2" t="s">
        <v>67</v>
      </c>
      <c r="D357" s="2" t="s">
        <v>820</v>
      </c>
      <c r="E357" s="2" t="s">
        <v>249</v>
      </c>
      <c r="F357" s="2" t="s">
        <v>249</v>
      </c>
      <c r="G357" s="3" t="s">
        <v>57</v>
      </c>
      <c r="H357" s="2" t="s">
        <v>218</v>
      </c>
      <c r="I357" s="17">
        <v>1.6</v>
      </c>
      <c r="J357" s="3">
        <v>43.8</v>
      </c>
      <c r="K357" s="3">
        <v>780</v>
      </c>
      <c r="L357" s="18">
        <v>0</v>
      </c>
      <c r="M357" s="18">
        <v>168</v>
      </c>
      <c r="N357" s="18">
        <v>0</v>
      </c>
      <c r="O357" s="18">
        <v>0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86</v>
      </c>
      <c r="W357" s="18">
        <v>0</v>
      </c>
      <c r="X357" s="18">
        <v>0</v>
      </c>
      <c r="Y357" s="18">
        <v>0</v>
      </c>
      <c r="Z357" s="18">
        <v>67</v>
      </c>
      <c r="AA357" s="18">
        <f>SUMIF([1]SA007!$C:$C,'SA007 2025.01-2026.05 '!$D357,[1]SA007!P:P)</f>
        <v>0</v>
      </c>
      <c r="AB357" s="18">
        <f>SUMIF([1]SA007!$C:$C,'SA007 2025.01-2026.05 '!$D357,[1]SA007!Q:Q)</f>
        <v>0</v>
      </c>
      <c r="AC357" s="19">
        <f t="shared" si="13"/>
        <v>321</v>
      </c>
      <c r="AD357" s="19">
        <f t="shared" si="14"/>
        <v>18.882352941176471</v>
      </c>
      <c r="AE357" s="20" t="s">
        <v>821</v>
      </c>
      <c r="AG357" s="21">
        <f>SUMIF([1]SO003!$H:$H,'SA007 2025.01-2026.05 '!$D357,[1]SO003!AF:AF)</f>
        <v>85.819968000000003</v>
      </c>
      <c r="AH357" s="21">
        <f>SUMIF([1]SO003!$H:$H,'SA007 2025.01-2026.05 '!$D357,[1]SO003!AH:AH)</f>
        <v>80.241670080000006</v>
      </c>
      <c r="AI357" s="21">
        <f>SUMIF([1]SO003!$H:$H,'SA007 2025.01-2026.05 '!$D357,[1]SO003!AJ:AJ)</f>
        <v>5.5782979199999998</v>
      </c>
    </row>
    <row r="358" spans="1:35" x14ac:dyDescent="0.55000000000000004">
      <c r="A358" s="2" t="s">
        <v>794</v>
      </c>
      <c r="C358" s="2" t="s">
        <v>67</v>
      </c>
      <c r="D358" s="2" t="s">
        <v>822</v>
      </c>
      <c r="E358" s="2" t="s">
        <v>249</v>
      </c>
      <c r="G358" s="3" t="s">
        <v>57</v>
      </c>
      <c r="H358" s="2" t="s">
        <v>218</v>
      </c>
      <c r="I358" s="17">
        <v>1.6</v>
      </c>
      <c r="J358" s="3">
        <v>43.8</v>
      </c>
      <c r="K358" s="3">
        <v>780</v>
      </c>
      <c r="L358" s="18">
        <v>0</v>
      </c>
      <c r="M358" s="18">
        <v>0</v>
      </c>
      <c r="N358" s="18">
        <v>0</v>
      </c>
      <c r="O358" s="18">
        <v>83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f>SUMIF([1]SA007!$C:$C,'SA007 2025.01-2026.05 '!$D358,[1]SA007!P:P)</f>
        <v>0</v>
      </c>
      <c r="AB358" s="18">
        <f>SUMIF([1]SA007!$C:$C,'SA007 2025.01-2026.05 '!$D358,[1]SA007!Q:Q)</f>
        <v>0</v>
      </c>
      <c r="AC358" s="19">
        <f t="shared" si="13"/>
        <v>83</v>
      </c>
      <c r="AD358" s="19">
        <f t="shared" si="14"/>
        <v>4.882352941176471</v>
      </c>
      <c r="AE358" s="20" t="s">
        <v>821</v>
      </c>
      <c r="AG358" s="21">
        <f>SUMIF([1]SO003!$H:$H,'SA007 2025.01-2026.05 '!$D358,[1]SO003!AF:AF)</f>
        <v>85.819968000000003</v>
      </c>
      <c r="AH358" s="21">
        <f>SUMIF([1]SO003!$H:$H,'SA007 2025.01-2026.05 '!$D358,[1]SO003!AH:AH)</f>
        <v>80.241670080000006</v>
      </c>
      <c r="AI358" s="21">
        <f>SUMIF([1]SO003!$H:$H,'SA007 2025.01-2026.05 '!$D358,[1]SO003!AJ:AJ)</f>
        <v>5.5782979199999998</v>
      </c>
    </row>
    <row r="359" spans="1:35" x14ac:dyDescent="0.55000000000000004">
      <c r="A359" s="2" t="s">
        <v>178</v>
      </c>
      <c r="D359" s="22" t="s">
        <v>823</v>
      </c>
      <c r="E359" s="2" t="s">
        <v>182</v>
      </c>
      <c r="F359" s="2" t="s">
        <v>182</v>
      </c>
      <c r="G359" s="3" t="s">
        <v>57</v>
      </c>
      <c r="H359" s="2" t="s">
        <v>67</v>
      </c>
      <c r="I359" s="17">
        <v>1</v>
      </c>
      <c r="J359" s="3">
        <v>260</v>
      </c>
      <c r="K359" s="3" t="s">
        <v>41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220</v>
      </c>
      <c r="X359" s="18">
        <v>0</v>
      </c>
      <c r="Y359" s="18">
        <v>0</v>
      </c>
      <c r="Z359" s="18">
        <v>0</v>
      </c>
      <c r="AA359" s="18">
        <f>SUMIF([1]SA007!$C:$C,'SA007 2025.01-2026.05 '!$D359,[1]SA007!P:P)</f>
        <v>0</v>
      </c>
      <c r="AB359" s="18">
        <f>SUMIF([1]SA007!$C:$C,'SA007 2025.01-2026.05 '!$D359,[1]SA007!Q:Q)</f>
        <v>0</v>
      </c>
      <c r="AC359" s="19">
        <f t="shared" si="13"/>
        <v>220</v>
      </c>
      <c r="AD359" s="19">
        <f t="shared" si="14"/>
        <v>12.941176470588236</v>
      </c>
      <c r="AG359" s="21">
        <f>SUMIF([1]SO003!$H:$H,'SA007 2025.01-2026.05 '!$D359,[1]SO003!AF:AF)</f>
        <v>0</v>
      </c>
      <c r="AH359" s="21">
        <f>SUMIF([1]SO003!$H:$H,'SA007 2025.01-2026.05 '!$D359,[1]SO003!AH:AH)</f>
        <v>0</v>
      </c>
      <c r="AI359" s="21">
        <f>SUMIF([1]SO003!$H:$H,'SA007 2025.01-2026.05 '!$D359,[1]SO003!AJ:AJ)</f>
        <v>0</v>
      </c>
    </row>
    <row r="360" spans="1:35" x14ac:dyDescent="0.55000000000000004">
      <c r="A360" s="2" t="s">
        <v>157</v>
      </c>
      <c r="D360" s="2" t="s">
        <v>824</v>
      </c>
      <c r="E360" s="2" t="s">
        <v>185</v>
      </c>
      <c r="G360" s="3" t="s">
        <v>57</v>
      </c>
      <c r="H360" s="2" t="s">
        <v>783</v>
      </c>
      <c r="I360" s="17">
        <v>0.8</v>
      </c>
      <c r="J360" s="3">
        <v>250</v>
      </c>
      <c r="K360" s="3" t="s">
        <v>731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f>SUMIF([1]SA007!$C:$C,'SA007 2025.01-2026.05 '!$D360,[1]SA007!P:P)</f>
        <v>0</v>
      </c>
      <c r="AB360" s="18">
        <f>SUMIF([1]SA007!$C:$C,'SA007 2025.01-2026.05 '!$D360,[1]SA007!Q:Q)</f>
        <v>0</v>
      </c>
      <c r="AC360" s="19">
        <f t="shared" si="13"/>
        <v>0</v>
      </c>
      <c r="AD360" s="19">
        <f t="shared" si="14"/>
        <v>0</v>
      </c>
      <c r="AG360" s="21">
        <f>SUMIF([1]SO003!$H:$H,'SA007 2025.01-2026.05 '!$D360,[1]SO003!AF:AF)</f>
        <v>0</v>
      </c>
      <c r="AH360" s="21">
        <f>SUMIF([1]SO003!$H:$H,'SA007 2025.01-2026.05 '!$D360,[1]SO003!AH:AH)</f>
        <v>0</v>
      </c>
      <c r="AI360" s="21">
        <f>SUMIF([1]SO003!$H:$H,'SA007 2025.01-2026.05 '!$D360,[1]SO003!AJ:AJ)</f>
        <v>0</v>
      </c>
    </row>
    <row r="361" spans="1:35" x14ac:dyDescent="0.55000000000000004">
      <c r="A361" s="2" t="s">
        <v>825</v>
      </c>
      <c r="B361" s="2" t="s">
        <v>367</v>
      </c>
      <c r="D361" s="2" t="s">
        <v>826</v>
      </c>
      <c r="E361" s="2" t="s">
        <v>129</v>
      </c>
      <c r="G361" s="3" t="s">
        <v>47</v>
      </c>
      <c r="H361" s="2" t="s">
        <v>367</v>
      </c>
      <c r="I361" s="17">
        <v>7</v>
      </c>
      <c r="J361" s="3">
        <v>119</v>
      </c>
      <c r="K361" s="3">
        <v>1110</v>
      </c>
      <c r="L361" s="18">
        <v>0</v>
      </c>
      <c r="M361" s="18">
        <v>0</v>
      </c>
      <c r="N361" s="18">
        <v>0</v>
      </c>
      <c r="O361" s="18">
        <v>0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f>SUMIF([1]SA007!$C:$C,'SA007 2025.01-2026.05 '!$D361,[1]SA007!P:P)</f>
        <v>0</v>
      </c>
      <c r="AB361" s="18">
        <f>SUMIF([1]SA007!$C:$C,'SA007 2025.01-2026.05 '!$D361,[1]SA007!Q:Q)</f>
        <v>0</v>
      </c>
      <c r="AC361" s="19">
        <f t="shared" si="13"/>
        <v>0</v>
      </c>
      <c r="AD361" s="19">
        <f t="shared" si="14"/>
        <v>0</v>
      </c>
      <c r="AE361" s="20" t="s">
        <v>116</v>
      </c>
      <c r="AG361" s="21">
        <f>SUMIF([1]SO003!$H:$H,'SA007 2025.01-2026.05 '!$D361,[1]SO003!AF:AF)</f>
        <v>0</v>
      </c>
      <c r="AH361" s="21">
        <f>SUMIF([1]SO003!$H:$H,'SA007 2025.01-2026.05 '!$D361,[1]SO003!AH:AH)</f>
        <v>0</v>
      </c>
      <c r="AI361" s="21">
        <f>SUMIF([1]SO003!$H:$H,'SA007 2025.01-2026.05 '!$D361,[1]SO003!AJ:AJ)</f>
        <v>0</v>
      </c>
    </row>
    <row r="362" spans="1:35" x14ac:dyDescent="0.55000000000000004">
      <c r="A362" s="2" t="s">
        <v>827</v>
      </c>
      <c r="B362" s="2" t="s">
        <v>54</v>
      </c>
      <c r="D362" s="2" t="s">
        <v>828</v>
      </c>
      <c r="E362" s="2" t="s">
        <v>185</v>
      </c>
      <c r="G362" s="3" t="s">
        <v>57</v>
      </c>
      <c r="H362" s="2" t="s">
        <v>783</v>
      </c>
      <c r="I362" s="17">
        <v>0.4</v>
      </c>
      <c r="J362" s="3">
        <v>48</v>
      </c>
      <c r="K362" s="3">
        <v>822</v>
      </c>
      <c r="L362" s="18">
        <v>0</v>
      </c>
      <c r="M362" s="18">
        <v>0</v>
      </c>
      <c r="N362" s="18">
        <v>0</v>
      </c>
      <c r="O362" s="18">
        <v>0</v>
      </c>
      <c r="P362" s="18">
        <v>64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39</v>
      </c>
      <c r="X362" s="18">
        <v>0</v>
      </c>
      <c r="Y362" s="18">
        <v>0</v>
      </c>
      <c r="Z362" s="18">
        <v>0</v>
      </c>
      <c r="AA362" s="18">
        <f>SUMIF([1]SA007!$C:$C,'SA007 2025.01-2026.05 '!$D362,[1]SA007!P:P)</f>
        <v>0</v>
      </c>
      <c r="AB362" s="18">
        <f>SUMIF([1]SA007!$C:$C,'SA007 2025.01-2026.05 '!$D362,[1]SA007!Q:Q)</f>
        <v>0</v>
      </c>
      <c r="AC362" s="19">
        <f t="shared" si="13"/>
        <v>103</v>
      </c>
      <c r="AD362" s="19">
        <f t="shared" si="14"/>
        <v>6.0588235294117645</v>
      </c>
      <c r="AE362" s="20" t="s">
        <v>829</v>
      </c>
      <c r="AG362" s="21">
        <f>SUMIF([1]SO003!$H:$H,'SA007 2025.01-2026.05 '!$D362,[1]SO003!AF:AF)</f>
        <v>0</v>
      </c>
      <c r="AH362" s="21">
        <f>SUMIF([1]SO003!$H:$H,'SA007 2025.01-2026.05 '!$D362,[1]SO003!AH:AH)</f>
        <v>0</v>
      </c>
      <c r="AI362" s="21">
        <f>SUMIF([1]SO003!$H:$H,'SA007 2025.01-2026.05 '!$D362,[1]SO003!AJ:AJ)</f>
        <v>0</v>
      </c>
    </row>
    <row r="363" spans="1:35" x14ac:dyDescent="0.55000000000000004">
      <c r="A363" s="2" t="s">
        <v>740</v>
      </c>
      <c r="B363" s="2" t="s">
        <v>365</v>
      </c>
      <c r="D363" s="2" t="s">
        <v>830</v>
      </c>
      <c r="E363" s="2" t="s">
        <v>129</v>
      </c>
      <c r="G363" s="3" t="s">
        <v>47</v>
      </c>
      <c r="H363" s="2" t="s">
        <v>469</v>
      </c>
      <c r="I363" s="17">
        <v>5</v>
      </c>
      <c r="J363" s="3">
        <v>66</v>
      </c>
      <c r="K363" s="3" t="s">
        <v>831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727</v>
      </c>
      <c r="S363" s="18">
        <v>0</v>
      </c>
      <c r="T363" s="18">
        <v>0</v>
      </c>
      <c r="U363" s="18">
        <v>0</v>
      </c>
      <c r="V363" s="18">
        <v>522</v>
      </c>
      <c r="W363" s="18">
        <v>361</v>
      </c>
      <c r="X363" s="18">
        <v>0</v>
      </c>
      <c r="Y363" s="18">
        <v>0</v>
      </c>
      <c r="Z363" s="18">
        <v>502</v>
      </c>
      <c r="AA363" s="18">
        <f>SUMIF([1]SA007!$C:$C,'SA007 2025.01-2026.05 '!$D363,[1]SA007!P:P)</f>
        <v>0</v>
      </c>
      <c r="AB363" s="18">
        <f>SUMIF([1]SA007!$C:$C,'SA007 2025.01-2026.05 '!$D363,[1]SA007!Q:Q)</f>
        <v>0</v>
      </c>
      <c r="AC363" s="19">
        <f t="shared" si="13"/>
        <v>2112</v>
      </c>
      <c r="AD363" s="19">
        <f t="shared" si="14"/>
        <v>124.23529411764706</v>
      </c>
      <c r="AE363" s="20" t="s">
        <v>742</v>
      </c>
      <c r="AG363" s="21">
        <f>SUMIF([1]SO003!$H:$H,'SA007 2025.01-2026.05 '!$D363,[1]SO003!AF:AF)</f>
        <v>361.37475000000001</v>
      </c>
      <c r="AH363" s="21">
        <f>SUMIF([1]SO003!$H:$H,'SA007 2025.01-2026.05 '!$D363,[1]SO003!AH:AH)</f>
        <v>361.37475000000001</v>
      </c>
      <c r="AI363" s="21">
        <f>SUMIF([1]SO003!$H:$H,'SA007 2025.01-2026.05 '!$D363,[1]SO003!AJ:AJ)</f>
        <v>0</v>
      </c>
    </row>
    <row r="364" spans="1:35" x14ac:dyDescent="0.55000000000000004">
      <c r="A364" s="2" t="s">
        <v>832</v>
      </c>
      <c r="D364" s="2" t="s">
        <v>833</v>
      </c>
      <c r="E364" s="2" t="s">
        <v>301</v>
      </c>
      <c r="G364" s="3" t="s">
        <v>302</v>
      </c>
      <c r="H364" s="2" t="s">
        <v>303</v>
      </c>
      <c r="I364" s="17">
        <v>2.5</v>
      </c>
      <c r="J364" s="3">
        <v>345</v>
      </c>
      <c r="K364" s="3" t="s">
        <v>834</v>
      </c>
      <c r="L364" s="18">
        <v>3601</v>
      </c>
      <c r="M364" s="18">
        <v>1203</v>
      </c>
      <c r="N364" s="18">
        <v>1408</v>
      </c>
      <c r="O364" s="18">
        <v>1796</v>
      </c>
      <c r="P364" s="18">
        <v>6450</v>
      </c>
      <c r="Q364" s="18">
        <v>1803</v>
      </c>
      <c r="R364" s="18">
        <v>3601</v>
      </c>
      <c r="S364" s="18">
        <v>4072</v>
      </c>
      <c r="T364" s="18">
        <v>4087</v>
      </c>
      <c r="U364" s="18">
        <v>3439</v>
      </c>
      <c r="V364" s="18">
        <v>2696</v>
      </c>
      <c r="W364" s="18">
        <v>2712</v>
      </c>
      <c r="X364" s="18">
        <v>912</v>
      </c>
      <c r="Y364" s="18">
        <v>7974</v>
      </c>
      <c r="Z364" s="18">
        <v>2825</v>
      </c>
      <c r="AA364" s="18">
        <f>SUMIF([1]SA007!$C:$C,'SA007 2025.01-2026.05 '!$D364,[1]SA007!P:P)</f>
        <v>904</v>
      </c>
      <c r="AB364" s="18">
        <f>SUMIF([1]SA007!$C:$C,'SA007 2025.01-2026.05 '!$D364,[1]SA007!Q:Q)</f>
        <v>0</v>
      </c>
      <c r="AC364" s="19">
        <f t="shared" si="13"/>
        <v>49483</v>
      </c>
      <c r="AD364" s="19">
        <f t="shared" si="14"/>
        <v>2910.7647058823532</v>
      </c>
      <c r="AE364" s="20" t="s">
        <v>835</v>
      </c>
      <c r="AG364" s="21">
        <f>SUMIF([1]SO003!$H:$H,'SA007 2025.01-2026.05 '!$D364,[1]SO003!AF:AF)</f>
        <v>0</v>
      </c>
      <c r="AH364" s="21">
        <f>SUMIF([1]SO003!$H:$H,'SA007 2025.01-2026.05 '!$D364,[1]SO003!AH:AH)</f>
        <v>0</v>
      </c>
      <c r="AI364" s="21">
        <f>SUMIF([1]SO003!$H:$H,'SA007 2025.01-2026.05 '!$D364,[1]SO003!AJ:AJ)</f>
        <v>0</v>
      </c>
    </row>
    <row r="365" spans="1:35" x14ac:dyDescent="0.55000000000000004">
      <c r="A365" s="2" t="s">
        <v>836</v>
      </c>
      <c r="B365" s="2" t="s">
        <v>199</v>
      </c>
      <c r="D365" s="2" t="s">
        <v>837</v>
      </c>
      <c r="E365" s="2" t="s">
        <v>106</v>
      </c>
      <c r="F365" s="2" t="s">
        <v>106</v>
      </c>
      <c r="G365" s="3" t="s">
        <v>63</v>
      </c>
      <c r="H365" s="2" t="s">
        <v>199</v>
      </c>
      <c r="I365" s="17">
        <v>0.9</v>
      </c>
      <c r="J365" s="3">
        <v>37</v>
      </c>
      <c r="K365" s="3" t="s">
        <v>41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120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f>SUMIF([1]SA007!$C:$C,'SA007 2025.01-2026.05 '!$D365,[1]SA007!P:P)</f>
        <v>0</v>
      </c>
      <c r="AB365" s="18">
        <f>SUMIF([1]SA007!$C:$C,'SA007 2025.01-2026.05 '!$D365,[1]SA007!Q:Q)</f>
        <v>0</v>
      </c>
      <c r="AC365" s="19">
        <f t="shared" si="13"/>
        <v>120</v>
      </c>
      <c r="AD365" s="19">
        <f t="shared" si="14"/>
        <v>7.0588235294117645</v>
      </c>
      <c r="AE365" s="20" t="s">
        <v>48</v>
      </c>
      <c r="AG365" s="21">
        <f>SUMIF([1]SO003!$H:$H,'SA007 2025.01-2026.05 '!$D365,[1]SO003!AF:AF)</f>
        <v>0</v>
      </c>
      <c r="AH365" s="21">
        <f>SUMIF([1]SO003!$H:$H,'SA007 2025.01-2026.05 '!$D365,[1]SO003!AH:AH)</f>
        <v>0</v>
      </c>
      <c r="AI365" s="21">
        <f>SUMIF([1]SO003!$H:$H,'SA007 2025.01-2026.05 '!$D365,[1]SO003!AJ:AJ)</f>
        <v>0</v>
      </c>
    </row>
    <row r="366" spans="1:35" x14ac:dyDescent="0.55000000000000004">
      <c r="A366" s="2" t="s">
        <v>389</v>
      </c>
      <c r="B366" s="2" t="s">
        <v>213</v>
      </c>
      <c r="D366" s="2" t="s">
        <v>838</v>
      </c>
      <c r="E366" s="2" t="s">
        <v>363</v>
      </c>
      <c r="G366" s="3" t="s">
        <v>47</v>
      </c>
      <c r="H366" s="2" t="s">
        <v>213</v>
      </c>
      <c r="I366" s="17">
        <v>2</v>
      </c>
      <c r="J366" s="3">
        <v>51</v>
      </c>
      <c r="K366" s="3" t="s">
        <v>819</v>
      </c>
      <c r="L366" s="18">
        <v>0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655</v>
      </c>
      <c r="Z366" s="18">
        <v>0</v>
      </c>
      <c r="AA366" s="18">
        <f>SUMIF([1]SA007!$C:$C,'SA007 2025.01-2026.05 '!$D366,[1]SA007!P:P)</f>
        <v>684</v>
      </c>
      <c r="AB366" s="18">
        <f>SUMIF([1]SA007!$C:$C,'SA007 2025.01-2026.05 '!$D366,[1]SA007!Q:Q)</f>
        <v>0</v>
      </c>
      <c r="AC366" s="19">
        <f t="shared" si="13"/>
        <v>1339</v>
      </c>
      <c r="AD366" s="19">
        <f t="shared" si="14"/>
        <v>78.764705882352942</v>
      </c>
      <c r="AE366" s="20" t="s">
        <v>116</v>
      </c>
      <c r="AG366" s="21">
        <f>SUMIF([1]SO003!$H:$H,'SA007 2025.01-2026.05 '!$D366,[1]SO003!AF:AF)</f>
        <v>0</v>
      </c>
      <c r="AH366" s="21">
        <f>SUMIF([1]SO003!$H:$H,'SA007 2025.01-2026.05 '!$D366,[1]SO003!AH:AH)</f>
        <v>0</v>
      </c>
      <c r="AI366" s="21">
        <f>SUMIF([1]SO003!$H:$H,'SA007 2025.01-2026.05 '!$D366,[1]SO003!AJ:AJ)</f>
        <v>0</v>
      </c>
    </row>
    <row r="367" spans="1:35" x14ac:dyDescent="0.55000000000000004">
      <c r="A367" s="2" t="s">
        <v>364</v>
      </c>
      <c r="B367" s="2" t="s">
        <v>365</v>
      </c>
      <c r="D367" s="2" t="s">
        <v>839</v>
      </c>
      <c r="E367" s="2" t="s">
        <v>363</v>
      </c>
      <c r="G367" s="3" t="s">
        <v>47</v>
      </c>
      <c r="H367" s="2" t="s">
        <v>367</v>
      </c>
      <c r="I367" s="17">
        <v>2</v>
      </c>
      <c r="J367" s="3">
        <v>95</v>
      </c>
      <c r="K367" s="3" t="s">
        <v>819</v>
      </c>
      <c r="L367" s="18">
        <v>0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179</v>
      </c>
      <c r="S367" s="18">
        <v>92</v>
      </c>
      <c r="T367" s="18">
        <v>180</v>
      </c>
      <c r="U367" s="18">
        <v>270</v>
      </c>
      <c r="V367" s="18">
        <v>0</v>
      </c>
      <c r="W367" s="18">
        <v>0</v>
      </c>
      <c r="X367" s="18">
        <v>0</v>
      </c>
      <c r="Y367" s="18">
        <v>0</v>
      </c>
      <c r="Z367" s="18">
        <v>92</v>
      </c>
      <c r="AA367" s="18">
        <f>SUMIF([1]SA007!$C:$C,'SA007 2025.01-2026.05 '!$D367,[1]SA007!P:P)</f>
        <v>0</v>
      </c>
      <c r="AB367" s="18">
        <f>SUMIF([1]SA007!$C:$C,'SA007 2025.01-2026.05 '!$D367,[1]SA007!Q:Q)</f>
        <v>0</v>
      </c>
      <c r="AC367" s="19">
        <f t="shared" si="13"/>
        <v>813</v>
      </c>
      <c r="AD367" s="19">
        <f t="shared" si="14"/>
        <v>47.823529411764703</v>
      </c>
      <c r="AE367" s="20" t="s">
        <v>48</v>
      </c>
      <c r="AG367" s="21">
        <f>SUMIF([1]SO003!$H:$H,'SA007 2025.01-2026.05 '!$D367,[1]SO003!AF:AF)</f>
        <v>90.981500000000011</v>
      </c>
      <c r="AH367" s="21">
        <f>SUMIF([1]SO003!$H:$H,'SA007 2025.01-2026.05 '!$D367,[1]SO003!AH:AH)</f>
        <v>181.96300000000002</v>
      </c>
      <c r="AI367" s="21">
        <f>SUMIF([1]SO003!$H:$H,'SA007 2025.01-2026.05 '!$D367,[1]SO003!AJ:AJ)</f>
        <v>0</v>
      </c>
    </row>
    <row r="368" spans="1:35" x14ac:dyDescent="0.55000000000000004">
      <c r="A368" s="2" t="s">
        <v>433</v>
      </c>
      <c r="B368" s="2" t="s">
        <v>213</v>
      </c>
      <c r="D368" s="2" t="s">
        <v>840</v>
      </c>
      <c r="E368" s="2" t="s">
        <v>182</v>
      </c>
      <c r="G368" s="3" t="s">
        <v>47</v>
      </c>
      <c r="H368" s="2" t="s">
        <v>402</v>
      </c>
      <c r="I368" s="17">
        <v>2.6</v>
      </c>
      <c r="J368" s="3">
        <v>102</v>
      </c>
      <c r="K368" s="3" t="s">
        <v>819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63</v>
      </c>
      <c r="S368" s="18">
        <v>0</v>
      </c>
      <c r="T368" s="18">
        <v>54</v>
      </c>
      <c r="U368" s="18">
        <v>0</v>
      </c>
      <c r="V368" s="18">
        <v>49</v>
      </c>
      <c r="W368" s="18">
        <v>0</v>
      </c>
      <c r="X368" s="18">
        <v>0</v>
      </c>
      <c r="Y368" s="18">
        <v>0</v>
      </c>
      <c r="Z368" s="18">
        <v>50</v>
      </c>
      <c r="AA368" s="18">
        <f>SUMIF([1]SA007!$C:$C,'SA007 2025.01-2026.05 '!$D368,[1]SA007!P:P)</f>
        <v>0</v>
      </c>
      <c r="AB368" s="18">
        <f>SUMIF([1]SA007!$C:$C,'SA007 2025.01-2026.05 '!$D368,[1]SA007!Q:Q)</f>
        <v>0</v>
      </c>
      <c r="AC368" s="19">
        <f t="shared" si="13"/>
        <v>216</v>
      </c>
      <c r="AD368" s="19">
        <f t="shared" si="14"/>
        <v>12.705882352941176</v>
      </c>
      <c r="AE368" s="20" t="s">
        <v>841</v>
      </c>
      <c r="AG368" s="21">
        <f>SUMIF([1]SO003!$H:$H,'SA007 2025.01-2026.05 '!$D368,[1]SO003!AF:AF)</f>
        <v>0</v>
      </c>
      <c r="AH368" s="21">
        <f>SUMIF([1]SO003!$H:$H,'SA007 2025.01-2026.05 '!$D368,[1]SO003!AH:AH)</f>
        <v>0</v>
      </c>
      <c r="AI368" s="21">
        <f>SUMIF([1]SO003!$H:$H,'SA007 2025.01-2026.05 '!$D368,[1]SO003!AJ:AJ)</f>
        <v>0</v>
      </c>
    </row>
    <row r="369" spans="1:35" x14ac:dyDescent="0.55000000000000004">
      <c r="A369" s="2" t="s">
        <v>794</v>
      </c>
      <c r="D369" s="2" t="s">
        <v>842</v>
      </c>
      <c r="E369" s="2" t="s">
        <v>249</v>
      </c>
      <c r="G369" s="3" t="s">
        <v>57</v>
      </c>
      <c r="H369" s="2" t="s">
        <v>218</v>
      </c>
      <c r="I369" s="17">
        <v>1.6</v>
      </c>
      <c r="J369" s="3">
        <v>43.8</v>
      </c>
      <c r="K369" s="3" t="s">
        <v>843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86</v>
      </c>
      <c r="X369" s="18">
        <v>0</v>
      </c>
      <c r="Y369" s="18">
        <v>0</v>
      </c>
      <c r="Z369" s="18">
        <v>0</v>
      </c>
      <c r="AA369" s="18">
        <f>SUMIF([1]SA007!$C:$C,'SA007 2025.01-2026.05 '!$D369,[1]SA007!P:P)</f>
        <v>0</v>
      </c>
      <c r="AB369" s="18">
        <f>SUMIF([1]SA007!$C:$C,'SA007 2025.01-2026.05 '!$D369,[1]SA007!Q:Q)</f>
        <v>0</v>
      </c>
      <c r="AC369" s="19">
        <f t="shared" si="13"/>
        <v>86</v>
      </c>
      <c r="AD369" s="19">
        <f t="shared" si="14"/>
        <v>5.0588235294117645</v>
      </c>
      <c r="AG369" s="21">
        <f>SUMIF([1]SO003!$H:$H,'SA007 2025.01-2026.05 '!$D369,[1]SO003!AF:AF)</f>
        <v>0</v>
      </c>
      <c r="AH369" s="21">
        <f>SUMIF([1]SO003!$H:$H,'SA007 2025.01-2026.05 '!$D369,[1]SO003!AH:AH)</f>
        <v>0</v>
      </c>
      <c r="AI369" s="21">
        <f>SUMIF([1]SO003!$H:$H,'SA007 2025.01-2026.05 '!$D369,[1]SO003!AJ:AJ)</f>
        <v>0</v>
      </c>
    </row>
    <row r="370" spans="1:35" x14ac:dyDescent="0.55000000000000004">
      <c r="A370" s="2" t="s">
        <v>794</v>
      </c>
      <c r="B370" s="2" t="s">
        <v>67</v>
      </c>
      <c r="C370" s="2" t="s">
        <v>67</v>
      </c>
      <c r="D370" s="2" t="s">
        <v>844</v>
      </c>
      <c r="E370" s="2" t="s">
        <v>38</v>
      </c>
      <c r="F370" s="2" t="s">
        <v>38</v>
      </c>
      <c r="G370" s="3" t="s">
        <v>57</v>
      </c>
      <c r="H370" s="2" t="s">
        <v>845</v>
      </c>
      <c r="I370" s="17">
        <v>1.6</v>
      </c>
      <c r="J370" s="3">
        <v>19.8</v>
      </c>
      <c r="K370" s="3" t="s">
        <v>41</v>
      </c>
      <c r="L370" s="18">
        <v>4047</v>
      </c>
      <c r="M370" s="18">
        <v>0</v>
      </c>
      <c r="N370" s="18">
        <v>2440</v>
      </c>
      <c r="O370" s="18">
        <v>2960</v>
      </c>
      <c r="P370" s="18">
        <v>0</v>
      </c>
      <c r="Q370" s="18">
        <v>0</v>
      </c>
      <c r="R370" s="18">
        <v>1068</v>
      </c>
      <c r="S370" s="18">
        <v>0</v>
      </c>
      <c r="T370" s="18">
        <v>0</v>
      </c>
      <c r="U370" s="18">
        <v>0</v>
      </c>
      <c r="V370" s="18">
        <v>1001</v>
      </c>
      <c r="W370" s="18">
        <v>0</v>
      </c>
      <c r="X370" s="18">
        <v>2016</v>
      </c>
      <c r="Y370" s="18">
        <v>2855</v>
      </c>
      <c r="Z370" s="18">
        <v>0</v>
      </c>
      <c r="AA370" s="18">
        <f>SUMIF([1]SA007!$C:$C,'SA007 2025.01-2026.05 '!$D370,[1]SA007!P:P)</f>
        <v>1210</v>
      </c>
      <c r="AB370" s="18">
        <f>SUMIF([1]SA007!$C:$C,'SA007 2025.01-2026.05 '!$D370,[1]SA007!Q:Q)</f>
        <v>0</v>
      </c>
      <c r="AC370" s="19">
        <f t="shared" si="13"/>
        <v>17597</v>
      </c>
      <c r="AD370" s="19">
        <f t="shared" si="14"/>
        <v>1035.1176470588234</v>
      </c>
      <c r="AE370" s="20" t="s">
        <v>846</v>
      </c>
      <c r="AG370" s="21">
        <f>SUMIF([1]SO003!$H:$H,'SA007 2025.01-2026.05 '!$D370,[1]SO003!AF:AF)</f>
        <v>3000</v>
      </c>
      <c r="AH370" s="21">
        <f>SUMIF([1]SO003!$H:$H,'SA007 2025.01-2026.05 '!$D370,[1]SO003!AH:AH)</f>
        <v>0</v>
      </c>
      <c r="AI370" s="21">
        <f>SUMIF([1]SO003!$H:$H,'SA007 2025.01-2026.05 '!$D370,[1]SO003!AJ:AJ)</f>
        <v>3000</v>
      </c>
    </row>
    <row r="371" spans="1:35" x14ac:dyDescent="0.55000000000000004">
      <c r="A371" s="2" t="s">
        <v>433</v>
      </c>
      <c r="B371" s="2" t="s">
        <v>213</v>
      </c>
      <c r="D371" s="2" t="s">
        <v>847</v>
      </c>
      <c r="E371" s="2" t="s">
        <v>106</v>
      </c>
      <c r="F371" s="2" t="s">
        <v>106</v>
      </c>
      <c r="G371" s="3" t="s">
        <v>47</v>
      </c>
      <c r="H371" s="2" t="s">
        <v>402</v>
      </c>
      <c r="I371" s="17">
        <v>2.5</v>
      </c>
      <c r="J371" s="3">
        <v>101</v>
      </c>
      <c r="K371" s="3" t="s">
        <v>315</v>
      </c>
      <c r="L371" s="18">
        <v>0</v>
      </c>
      <c r="M371" s="18">
        <v>0</v>
      </c>
      <c r="N371" s="18">
        <v>0</v>
      </c>
      <c r="O371" s="18">
        <v>0</v>
      </c>
      <c r="P371" s="18">
        <v>0</v>
      </c>
      <c r="Q371" s="18">
        <v>0</v>
      </c>
      <c r="R371" s="18">
        <v>400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f>SUMIF([1]SA007!$C:$C,'SA007 2025.01-2026.05 '!$D371,[1]SA007!P:P)</f>
        <v>0</v>
      </c>
      <c r="AB371" s="18">
        <f>SUMIF([1]SA007!$C:$C,'SA007 2025.01-2026.05 '!$D371,[1]SA007!Q:Q)</f>
        <v>0</v>
      </c>
      <c r="AC371" s="19">
        <f t="shared" si="13"/>
        <v>400</v>
      </c>
      <c r="AD371" s="19">
        <f t="shared" si="14"/>
        <v>23.529411764705884</v>
      </c>
      <c r="AE371" s="20" t="s">
        <v>116</v>
      </c>
      <c r="AG371" s="21">
        <f>SUMIF([1]SO003!$H:$H,'SA007 2025.01-2026.05 '!$D371,[1]SO003!AF:AF)</f>
        <v>0</v>
      </c>
      <c r="AH371" s="21">
        <f>SUMIF([1]SO003!$H:$H,'SA007 2025.01-2026.05 '!$D371,[1]SO003!AH:AH)</f>
        <v>0</v>
      </c>
      <c r="AI371" s="21">
        <f>SUMIF([1]SO003!$H:$H,'SA007 2025.01-2026.05 '!$D371,[1]SO003!AJ:AJ)</f>
        <v>0</v>
      </c>
    </row>
    <row r="372" spans="1:35" x14ac:dyDescent="0.55000000000000004">
      <c r="A372" s="2" t="s">
        <v>171</v>
      </c>
      <c r="B372" s="2" t="s">
        <v>800</v>
      </c>
      <c r="C372" s="2" t="s">
        <v>800</v>
      </c>
      <c r="D372" s="2" t="s">
        <v>848</v>
      </c>
      <c r="E372" s="2" t="s">
        <v>849</v>
      </c>
      <c r="F372" s="2" t="s">
        <v>849</v>
      </c>
      <c r="G372" s="3" t="s">
        <v>175</v>
      </c>
      <c r="H372" s="2" t="s">
        <v>800</v>
      </c>
      <c r="I372" s="17">
        <v>1.6</v>
      </c>
      <c r="J372" s="3">
        <v>90</v>
      </c>
      <c r="K372" s="3">
        <v>223</v>
      </c>
      <c r="L372" s="18">
        <v>0</v>
      </c>
      <c r="M372" s="18">
        <v>812</v>
      </c>
      <c r="N372" s="18">
        <v>393</v>
      </c>
      <c r="O372" s="18">
        <v>0</v>
      </c>
      <c r="P372" s="18">
        <v>466</v>
      </c>
      <c r="Q372" s="18">
        <v>0</v>
      </c>
      <c r="R372" s="18">
        <v>0</v>
      </c>
      <c r="S372" s="18">
        <v>0</v>
      </c>
      <c r="T372" s="18">
        <v>378</v>
      </c>
      <c r="U372" s="18">
        <v>500</v>
      </c>
      <c r="V372" s="18">
        <v>0</v>
      </c>
      <c r="W372" s="18">
        <v>730</v>
      </c>
      <c r="X372" s="18">
        <v>0</v>
      </c>
      <c r="Y372" s="18">
        <v>724</v>
      </c>
      <c r="Z372" s="18">
        <v>0</v>
      </c>
      <c r="AA372" s="18">
        <f>SUMIF([1]SA007!$C:$C,'SA007 2025.01-2026.05 '!$D372,[1]SA007!P:P)</f>
        <v>0</v>
      </c>
      <c r="AB372" s="18">
        <f>SUMIF([1]SA007!$C:$C,'SA007 2025.01-2026.05 '!$D372,[1]SA007!Q:Q)</f>
        <v>0</v>
      </c>
      <c r="AC372" s="19">
        <f t="shared" si="13"/>
        <v>4003</v>
      </c>
      <c r="AD372" s="19">
        <f t="shared" si="14"/>
        <v>235.47058823529412</v>
      </c>
      <c r="AE372" s="20" t="s">
        <v>459</v>
      </c>
      <c r="AG372" s="21">
        <f>SUMIF([1]SO003!$H:$H,'SA007 2025.01-2026.05 '!$D372,[1]SO003!AF:AF)</f>
        <v>0</v>
      </c>
      <c r="AH372" s="21">
        <f>SUMIF([1]SO003!$H:$H,'SA007 2025.01-2026.05 '!$D372,[1]SO003!AH:AH)</f>
        <v>0</v>
      </c>
      <c r="AI372" s="21">
        <f>SUMIF([1]SO003!$H:$H,'SA007 2025.01-2026.05 '!$D372,[1]SO003!AJ:AJ)</f>
        <v>0</v>
      </c>
    </row>
    <row r="373" spans="1:35" x14ac:dyDescent="0.55000000000000004">
      <c r="A373" s="2" t="s">
        <v>426</v>
      </c>
      <c r="B373" s="2" t="s">
        <v>61</v>
      </c>
      <c r="D373" s="2" t="s">
        <v>850</v>
      </c>
      <c r="E373" s="2" t="s">
        <v>182</v>
      </c>
      <c r="F373" s="2" t="s">
        <v>182</v>
      </c>
      <c r="G373" s="3" t="s">
        <v>63</v>
      </c>
      <c r="H373" s="2" t="s">
        <v>64</v>
      </c>
      <c r="I373" s="17">
        <v>2.5</v>
      </c>
      <c r="J373" s="3">
        <v>209</v>
      </c>
      <c r="K373" s="3" t="s">
        <v>851</v>
      </c>
      <c r="L373" s="18">
        <v>0</v>
      </c>
      <c r="M373" s="18">
        <v>0</v>
      </c>
      <c r="N373" s="18">
        <v>0</v>
      </c>
      <c r="O373" s="18">
        <v>0</v>
      </c>
      <c r="P373" s="18">
        <v>0</v>
      </c>
      <c r="Q373" s="18">
        <v>0</v>
      </c>
      <c r="R373" s="18">
        <v>74</v>
      </c>
      <c r="S373" s="18">
        <v>4816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f>SUMIF([1]SA007!$C:$C,'SA007 2025.01-2026.05 '!$D373,[1]SA007!P:P)</f>
        <v>0</v>
      </c>
      <c r="AB373" s="18">
        <f>SUMIF([1]SA007!$C:$C,'SA007 2025.01-2026.05 '!$D373,[1]SA007!Q:Q)</f>
        <v>0</v>
      </c>
      <c r="AC373" s="19">
        <f t="shared" si="13"/>
        <v>4890</v>
      </c>
      <c r="AD373" s="19">
        <f t="shared" si="14"/>
        <v>287.64705882352939</v>
      </c>
      <c r="AE373" s="20" t="s">
        <v>48</v>
      </c>
      <c r="AG373" s="21">
        <f>SUMIF([1]SO003!$H:$H,'SA007 2025.01-2026.05 '!$D373,[1]SO003!AF:AF)</f>
        <v>0</v>
      </c>
      <c r="AH373" s="21">
        <f>SUMIF([1]SO003!$H:$H,'SA007 2025.01-2026.05 '!$D373,[1]SO003!AH:AH)</f>
        <v>0</v>
      </c>
      <c r="AI373" s="21">
        <f>SUMIF([1]SO003!$H:$H,'SA007 2025.01-2026.05 '!$D373,[1]SO003!AJ:AJ)</f>
        <v>0</v>
      </c>
    </row>
    <row r="374" spans="1:35" x14ac:dyDescent="0.55000000000000004">
      <c r="A374" s="2" t="s">
        <v>145</v>
      </c>
      <c r="B374" s="2" t="s">
        <v>61</v>
      </c>
      <c r="C374" s="2" t="s">
        <v>61</v>
      </c>
      <c r="D374" s="2" t="s">
        <v>852</v>
      </c>
      <c r="E374" s="2" t="s">
        <v>182</v>
      </c>
      <c r="F374" s="2" t="s">
        <v>182</v>
      </c>
      <c r="G374" s="3" t="s">
        <v>63</v>
      </c>
      <c r="H374" s="2" t="s">
        <v>61</v>
      </c>
      <c r="I374" s="17">
        <v>0.8</v>
      </c>
      <c r="J374" s="3">
        <v>55</v>
      </c>
      <c r="K374" s="3" t="s">
        <v>41</v>
      </c>
      <c r="L374" s="18">
        <v>214</v>
      </c>
      <c r="M374" s="18">
        <v>332</v>
      </c>
      <c r="N374" s="18">
        <v>253</v>
      </c>
      <c r="O374" s="18">
        <v>313</v>
      </c>
      <c r="P374" s="18">
        <v>230</v>
      </c>
      <c r="Q374" s="18">
        <v>200</v>
      </c>
      <c r="R374" s="18">
        <v>412</v>
      </c>
      <c r="S374" s="18">
        <v>288</v>
      </c>
      <c r="T374" s="18">
        <v>0</v>
      </c>
      <c r="U374" s="18">
        <v>375</v>
      </c>
      <c r="V374" s="18">
        <v>234</v>
      </c>
      <c r="W374" s="18">
        <v>0</v>
      </c>
      <c r="X374" s="18">
        <v>456</v>
      </c>
      <c r="Y374" s="18">
        <v>0</v>
      </c>
      <c r="Z374" s="18">
        <v>505</v>
      </c>
      <c r="AA374" s="18">
        <f>SUMIF([1]SA007!$C:$C,'SA007 2025.01-2026.05 '!$D374,[1]SA007!P:P)</f>
        <v>0</v>
      </c>
      <c r="AB374" s="18">
        <f>SUMIF([1]SA007!$C:$C,'SA007 2025.01-2026.05 '!$D374,[1]SA007!Q:Q)</f>
        <v>0</v>
      </c>
      <c r="AC374" s="19">
        <f t="shared" si="13"/>
        <v>3812</v>
      </c>
      <c r="AD374" s="19">
        <f t="shared" si="14"/>
        <v>224.23529411764707</v>
      </c>
      <c r="AE374" s="20" t="s">
        <v>853</v>
      </c>
      <c r="AG374" s="21">
        <f>SUMIF([1]SO003!$H:$H,'SA007 2025.01-2026.05 '!$D374,[1]SO003!AF:AF)</f>
        <v>0</v>
      </c>
      <c r="AH374" s="21">
        <f>SUMIF([1]SO003!$H:$H,'SA007 2025.01-2026.05 '!$D374,[1]SO003!AH:AH)</f>
        <v>0</v>
      </c>
      <c r="AI374" s="21">
        <f>SUMIF([1]SO003!$H:$H,'SA007 2025.01-2026.05 '!$D374,[1]SO003!AJ:AJ)</f>
        <v>0</v>
      </c>
    </row>
    <row r="375" spans="1:35" x14ac:dyDescent="0.55000000000000004">
      <c r="A375" s="2" t="s">
        <v>145</v>
      </c>
      <c r="B375" s="2" t="s">
        <v>61</v>
      </c>
      <c r="C375" s="2" t="s">
        <v>61</v>
      </c>
      <c r="D375" s="2" t="s">
        <v>854</v>
      </c>
      <c r="E375" s="2" t="s">
        <v>182</v>
      </c>
      <c r="F375" s="2" t="s">
        <v>182</v>
      </c>
      <c r="G375" s="3" t="s">
        <v>63</v>
      </c>
      <c r="H375" s="2" t="s">
        <v>61</v>
      </c>
      <c r="I375" s="17">
        <v>0.8</v>
      </c>
      <c r="J375" s="3">
        <v>80</v>
      </c>
      <c r="K375" s="3" t="s">
        <v>41</v>
      </c>
      <c r="L375" s="18">
        <v>455</v>
      </c>
      <c r="M375" s="18">
        <v>596</v>
      </c>
      <c r="N375" s="18">
        <v>740</v>
      </c>
      <c r="O375" s="18">
        <v>584</v>
      </c>
      <c r="P375" s="18">
        <v>395</v>
      </c>
      <c r="Q375" s="18">
        <v>1402</v>
      </c>
      <c r="R375" s="18">
        <v>0</v>
      </c>
      <c r="S375" s="18">
        <v>1205</v>
      </c>
      <c r="T375" s="18">
        <v>0</v>
      </c>
      <c r="U375" s="18">
        <v>196</v>
      </c>
      <c r="V375" s="18">
        <v>1218</v>
      </c>
      <c r="W375" s="18">
        <v>0</v>
      </c>
      <c r="X375" s="18">
        <v>1194</v>
      </c>
      <c r="Y375" s="18">
        <v>0</v>
      </c>
      <c r="Z375" s="18">
        <v>567</v>
      </c>
      <c r="AA375" s="18">
        <f>SUMIF([1]SA007!$C:$C,'SA007 2025.01-2026.05 '!$D375,[1]SA007!P:P)</f>
        <v>0</v>
      </c>
      <c r="AB375" s="18">
        <f>SUMIF([1]SA007!$C:$C,'SA007 2025.01-2026.05 '!$D375,[1]SA007!Q:Q)</f>
        <v>0</v>
      </c>
      <c r="AC375" s="19">
        <f t="shared" si="13"/>
        <v>8552</v>
      </c>
      <c r="AD375" s="19">
        <f t="shared" si="14"/>
        <v>503.05882352941177</v>
      </c>
      <c r="AE375" s="20" t="s">
        <v>209</v>
      </c>
      <c r="AG375" s="21">
        <f>SUMIF([1]SO003!$H:$H,'SA007 2025.01-2026.05 '!$D375,[1]SO003!AF:AF)</f>
        <v>0</v>
      </c>
      <c r="AH375" s="21">
        <f>SUMIF([1]SO003!$H:$H,'SA007 2025.01-2026.05 '!$D375,[1]SO003!AH:AH)</f>
        <v>0</v>
      </c>
      <c r="AI375" s="21">
        <f>SUMIF([1]SO003!$H:$H,'SA007 2025.01-2026.05 '!$D375,[1]SO003!AJ:AJ)</f>
        <v>0</v>
      </c>
    </row>
    <row r="376" spans="1:35" x14ac:dyDescent="0.55000000000000004">
      <c r="A376" s="2" t="s">
        <v>206</v>
      </c>
      <c r="B376" s="2" t="s">
        <v>61</v>
      </c>
      <c r="D376" s="2" t="s">
        <v>855</v>
      </c>
      <c r="E376" s="2" t="s">
        <v>182</v>
      </c>
      <c r="G376" s="3" t="s">
        <v>63</v>
      </c>
      <c r="H376" s="2" t="s">
        <v>64</v>
      </c>
      <c r="I376" s="17">
        <v>1</v>
      </c>
      <c r="J376" s="3">
        <v>85</v>
      </c>
      <c r="K376" s="3" t="s">
        <v>856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49</v>
      </c>
      <c r="S376" s="18">
        <v>0</v>
      </c>
      <c r="T376" s="18">
        <v>258</v>
      </c>
      <c r="U376" s="18">
        <v>0</v>
      </c>
      <c r="V376" s="18">
        <v>0</v>
      </c>
      <c r="W376" s="18">
        <v>202</v>
      </c>
      <c r="X376" s="18">
        <v>0</v>
      </c>
      <c r="Y376" s="18">
        <v>515</v>
      </c>
      <c r="Z376" s="18">
        <v>0</v>
      </c>
      <c r="AA376" s="18">
        <f>SUMIF([1]SA007!$C:$C,'SA007 2025.01-2026.05 '!$D376,[1]SA007!P:P)</f>
        <v>132</v>
      </c>
      <c r="AB376" s="18">
        <f>SUMIF([1]SA007!$C:$C,'SA007 2025.01-2026.05 '!$D376,[1]SA007!Q:Q)</f>
        <v>0</v>
      </c>
      <c r="AC376" s="19">
        <f t="shared" si="13"/>
        <v>1156</v>
      </c>
      <c r="AD376" s="19">
        <f t="shared" si="14"/>
        <v>68</v>
      </c>
      <c r="AE376" s="20" t="s">
        <v>48</v>
      </c>
      <c r="AG376" s="21">
        <f>SUMIF([1]SO003!$H:$H,'SA007 2025.01-2026.05 '!$D376,[1]SO003!AF:AF)</f>
        <v>0</v>
      </c>
      <c r="AH376" s="21">
        <f>SUMIF([1]SO003!$H:$H,'SA007 2025.01-2026.05 '!$D376,[1]SO003!AH:AH)</f>
        <v>0</v>
      </c>
      <c r="AI376" s="21">
        <f>SUMIF([1]SO003!$H:$H,'SA007 2025.01-2026.05 '!$D376,[1]SO003!AJ:AJ)</f>
        <v>0</v>
      </c>
    </row>
    <row r="377" spans="1:35" x14ac:dyDescent="0.55000000000000004">
      <c r="A377" s="2" t="s">
        <v>206</v>
      </c>
      <c r="B377" s="2" t="s">
        <v>61</v>
      </c>
      <c r="D377" s="2" t="s">
        <v>857</v>
      </c>
      <c r="E377" s="2" t="s">
        <v>182</v>
      </c>
      <c r="G377" s="3" t="s">
        <v>63</v>
      </c>
      <c r="H377" s="2" t="s">
        <v>64</v>
      </c>
      <c r="I377" s="17">
        <v>1</v>
      </c>
      <c r="J377" s="3">
        <v>85</v>
      </c>
      <c r="K377" s="3" t="s">
        <v>858</v>
      </c>
      <c r="L377" s="18">
        <v>0</v>
      </c>
      <c r="M377" s="18">
        <v>0</v>
      </c>
      <c r="N377" s="18">
        <v>0</v>
      </c>
      <c r="O377" s="18">
        <v>0</v>
      </c>
      <c r="P377" s="18">
        <v>0</v>
      </c>
      <c r="Q377" s="18">
        <v>0</v>
      </c>
      <c r="R377" s="18">
        <v>50</v>
      </c>
      <c r="S377" s="18">
        <v>0</v>
      </c>
      <c r="T377" s="18">
        <v>273</v>
      </c>
      <c r="U377" s="18">
        <v>0</v>
      </c>
      <c r="V377" s="18">
        <v>0</v>
      </c>
      <c r="W377" s="18">
        <v>289</v>
      </c>
      <c r="X377" s="18">
        <v>0</v>
      </c>
      <c r="Y377" s="18">
        <v>538</v>
      </c>
      <c r="Z377" s="18">
        <v>404</v>
      </c>
      <c r="AA377" s="18">
        <f>SUMIF([1]SA007!$C:$C,'SA007 2025.01-2026.05 '!$D377,[1]SA007!P:P)</f>
        <v>134</v>
      </c>
      <c r="AB377" s="18">
        <f>SUMIF([1]SA007!$C:$C,'SA007 2025.01-2026.05 '!$D377,[1]SA007!Q:Q)</f>
        <v>0</v>
      </c>
      <c r="AC377" s="19">
        <f t="shared" si="13"/>
        <v>1688</v>
      </c>
      <c r="AD377" s="19">
        <f t="shared" si="14"/>
        <v>99.294117647058826</v>
      </c>
      <c r="AE377" s="20" t="s">
        <v>48</v>
      </c>
      <c r="AG377" s="21">
        <f>SUMIF([1]SO003!$H:$H,'SA007 2025.01-2026.05 '!$D377,[1]SO003!AF:AF)</f>
        <v>0</v>
      </c>
      <c r="AH377" s="21">
        <f>SUMIF([1]SO003!$H:$H,'SA007 2025.01-2026.05 '!$D377,[1]SO003!AH:AH)</f>
        <v>0</v>
      </c>
      <c r="AI377" s="21">
        <f>SUMIF([1]SO003!$H:$H,'SA007 2025.01-2026.05 '!$D377,[1]SO003!AJ:AJ)</f>
        <v>0</v>
      </c>
    </row>
    <row r="378" spans="1:35" x14ac:dyDescent="0.55000000000000004">
      <c r="A378" s="2" t="s">
        <v>145</v>
      </c>
      <c r="B378" s="2" t="s">
        <v>61</v>
      </c>
      <c r="C378" s="2" t="s">
        <v>61</v>
      </c>
      <c r="D378" s="2" t="s">
        <v>859</v>
      </c>
      <c r="E378" s="2" t="s">
        <v>182</v>
      </c>
      <c r="F378" s="2" t="s">
        <v>182</v>
      </c>
      <c r="G378" s="3" t="s">
        <v>63</v>
      </c>
      <c r="H378" s="2" t="s">
        <v>61</v>
      </c>
      <c r="I378" s="17">
        <v>0.8</v>
      </c>
      <c r="J378" s="3">
        <v>95</v>
      </c>
      <c r="K378" s="3" t="s">
        <v>41</v>
      </c>
      <c r="L378" s="18">
        <v>142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f>SUMIF([1]SA007!$C:$C,'SA007 2025.01-2026.05 '!$D378,[1]SA007!P:P)</f>
        <v>0</v>
      </c>
      <c r="AB378" s="18">
        <f>SUMIF([1]SA007!$C:$C,'SA007 2025.01-2026.05 '!$D378,[1]SA007!Q:Q)</f>
        <v>0</v>
      </c>
      <c r="AC378" s="19">
        <f t="shared" si="13"/>
        <v>142</v>
      </c>
      <c r="AD378" s="19">
        <f t="shared" si="14"/>
        <v>8.3529411764705888</v>
      </c>
      <c r="AE378" s="20" t="e">
        <v>#N/A</v>
      </c>
      <c r="AG378" s="21">
        <f>SUMIF([1]SO003!$H:$H,'SA007 2025.01-2026.05 '!$D378,[1]SO003!AF:AF)</f>
        <v>0</v>
      </c>
      <c r="AH378" s="21">
        <f>SUMIF([1]SO003!$H:$H,'SA007 2025.01-2026.05 '!$D378,[1]SO003!AH:AH)</f>
        <v>0</v>
      </c>
      <c r="AI378" s="21">
        <f>SUMIF([1]SO003!$H:$H,'SA007 2025.01-2026.05 '!$D378,[1]SO003!AJ:AJ)</f>
        <v>0</v>
      </c>
    </row>
    <row r="379" spans="1:35" x14ac:dyDescent="0.55000000000000004">
      <c r="A379" s="2" t="s">
        <v>145</v>
      </c>
      <c r="B379" s="2" t="s">
        <v>61</v>
      </c>
      <c r="C379" s="2" t="s">
        <v>61</v>
      </c>
      <c r="D379" s="2" t="s">
        <v>860</v>
      </c>
      <c r="E379" s="2" t="s">
        <v>182</v>
      </c>
      <c r="F379" s="2" t="s">
        <v>182</v>
      </c>
      <c r="G379" s="3" t="s">
        <v>63</v>
      </c>
      <c r="H379" s="2" t="s">
        <v>61</v>
      </c>
      <c r="I379" s="17">
        <v>0.8</v>
      </c>
      <c r="J379" s="3">
        <v>51</v>
      </c>
      <c r="K379" s="3" t="s">
        <v>41</v>
      </c>
      <c r="L379" s="18">
        <v>0</v>
      </c>
      <c r="M379" s="18">
        <v>190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f>SUMIF([1]SA007!$C:$C,'SA007 2025.01-2026.05 '!$D379,[1]SA007!P:P)</f>
        <v>0</v>
      </c>
      <c r="AB379" s="18">
        <f>SUMIF([1]SA007!$C:$C,'SA007 2025.01-2026.05 '!$D379,[1]SA007!Q:Q)</f>
        <v>0</v>
      </c>
      <c r="AC379" s="19">
        <f t="shared" si="13"/>
        <v>190</v>
      </c>
      <c r="AD379" s="19">
        <f t="shared" si="14"/>
        <v>11.176470588235293</v>
      </c>
      <c r="AE379" s="20" t="e">
        <v>#N/A</v>
      </c>
      <c r="AG379" s="21">
        <f>SUMIF([1]SO003!$H:$H,'SA007 2025.01-2026.05 '!$D379,[1]SO003!AF:AF)</f>
        <v>0</v>
      </c>
      <c r="AH379" s="21">
        <f>SUMIF([1]SO003!$H:$H,'SA007 2025.01-2026.05 '!$D379,[1]SO003!AH:AH)</f>
        <v>0</v>
      </c>
      <c r="AI379" s="21">
        <f>SUMIF([1]SO003!$H:$H,'SA007 2025.01-2026.05 '!$D379,[1]SO003!AJ:AJ)</f>
        <v>0</v>
      </c>
    </row>
    <row r="380" spans="1:35" x14ac:dyDescent="0.55000000000000004">
      <c r="A380" s="2" t="s">
        <v>145</v>
      </c>
      <c r="B380" s="2" t="s">
        <v>61</v>
      </c>
      <c r="C380" s="2" t="s">
        <v>61</v>
      </c>
      <c r="D380" s="2" t="s">
        <v>861</v>
      </c>
      <c r="E380" s="2" t="s">
        <v>182</v>
      </c>
      <c r="F380" s="2" t="s">
        <v>182</v>
      </c>
      <c r="G380" s="3" t="s">
        <v>63</v>
      </c>
      <c r="H380" s="2" t="s">
        <v>61</v>
      </c>
      <c r="I380" s="17">
        <v>0.8</v>
      </c>
      <c r="J380" s="3">
        <v>95</v>
      </c>
      <c r="K380" s="3" t="s">
        <v>41</v>
      </c>
      <c r="L380" s="18">
        <v>142</v>
      </c>
      <c r="M380" s="18">
        <v>0</v>
      </c>
      <c r="N380" s="18">
        <v>0</v>
      </c>
      <c r="O380" s="18">
        <v>0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f>SUMIF([1]SA007!$C:$C,'SA007 2025.01-2026.05 '!$D380,[1]SA007!P:P)</f>
        <v>0</v>
      </c>
      <c r="AB380" s="18">
        <f>SUMIF([1]SA007!$C:$C,'SA007 2025.01-2026.05 '!$D380,[1]SA007!Q:Q)</f>
        <v>0</v>
      </c>
      <c r="AC380" s="19">
        <f t="shared" si="13"/>
        <v>142</v>
      </c>
      <c r="AD380" s="19">
        <f t="shared" si="14"/>
        <v>8.3529411764705888</v>
      </c>
      <c r="AE380" s="20" t="e">
        <v>#N/A</v>
      </c>
      <c r="AG380" s="21">
        <f>SUMIF([1]SO003!$H:$H,'SA007 2025.01-2026.05 '!$D380,[1]SO003!AF:AF)</f>
        <v>0</v>
      </c>
      <c r="AH380" s="21">
        <f>SUMIF([1]SO003!$H:$H,'SA007 2025.01-2026.05 '!$D380,[1]SO003!AH:AH)</f>
        <v>0</v>
      </c>
      <c r="AI380" s="21">
        <f>SUMIF([1]SO003!$H:$H,'SA007 2025.01-2026.05 '!$D380,[1]SO003!AJ:AJ)</f>
        <v>0</v>
      </c>
    </row>
    <row r="381" spans="1:35" x14ac:dyDescent="0.55000000000000004">
      <c r="A381" s="2" t="s">
        <v>574</v>
      </c>
      <c r="B381" s="2" t="s">
        <v>575</v>
      </c>
      <c r="D381" s="2" t="s">
        <v>862</v>
      </c>
      <c r="E381" s="2" t="s">
        <v>46</v>
      </c>
      <c r="F381" s="2" t="s">
        <v>46</v>
      </c>
      <c r="G381" s="3" t="s">
        <v>47</v>
      </c>
      <c r="H381" s="2" t="s">
        <v>575</v>
      </c>
      <c r="I381" s="17">
        <v>5</v>
      </c>
      <c r="J381" s="3">
        <v>200</v>
      </c>
      <c r="K381" s="3" t="s">
        <v>863</v>
      </c>
      <c r="L381" s="18">
        <v>0</v>
      </c>
      <c r="M381" s="18">
        <v>0</v>
      </c>
      <c r="N381" s="18">
        <v>0</v>
      </c>
      <c r="O381" s="18">
        <v>0</v>
      </c>
      <c r="P381" s="18">
        <v>0</v>
      </c>
      <c r="Q381" s="18">
        <v>0</v>
      </c>
      <c r="R381" s="18">
        <v>996</v>
      </c>
      <c r="S381" s="18">
        <v>1970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f>SUMIF([1]SA007!$C:$C,'SA007 2025.01-2026.05 '!$D381,[1]SA007!P:P)</f>
        <v>0</v>
      </c>
      <c r="AB381" s="18">
        <f>SUMIF([1]SA007!$C:$C,'SA007 2025.01-2026.05 '!$D381,[1]SA007!Q:Q)</f>
        <v>0</v>
      </c>
      <c r="AC381" s="19">
        <f t="shared" si="13"/>
        <v>2966</v>
      </c>
      <c r="AD381" s="19">
        <f t="shared" si="14"/>
        <v>174.47058823529412</v>
      </c>
      <c r="AE381" s="20" t="s">
        <v>116</v>
      </c>
      <c r="AG381" s="21">
        <f>SUMIF([1]SO003!$H:$H,'SA007 2025.01-2026.05 '!$D381,[1]SO003!AF:AF)</f>
        <v>1497.8271</v>
      </c>
      <c r="AH381" s="21">
        <f>SUMIF([1]SO003!$H:$H,'SA007 2025.01-2026.05 '!$D381,[1]SO003!AH:AH)</f>
        <v>0</v>
      </c>
      <c r="AI381" s="21">
        <f>SUMIF([1]SO003!$H:$H,'SA007 2025.01-2026.05 '!$D381,[1]SO003!AJ:AJ)</f>
        <v>1497.8271</v>
      </c>
    </row>
    <row r="382" spans="1:35" x14ac:dyDescent="0.55000000000000004">
      <c r="A382" s="2" t="s">
        <v>145</v>
      </c>
      <c r="B382" s="2" t="s">
        <v>61</v>
      </c>
      <c r="C382" s="2" t="s">
        <v>61</v>
      </c>
      <c r="D382" s="2" t="s">
        <v>864</v>
      </c>
      <c r="E382" s="2" t="s">
        <v>182</v>
      </c>
      <c r="G382" s="3" t="s">
        <v>63</v>
      </c>
      <c r="H382" s="2" t="s">
        <v>61</v>
      </c>
      <c r="I382" s="17">
        <v>0.8</v>
      </c>
      <c r="J382" s="3">
        <v>95</v>
      </c>
      <c r="K382" s="3" t="s">
        <v>41</v>
      </c>
      <c r="L382" s="18">
        <v>0</v>
      </c>
      <c r="M382" s="18">
        <v>0</v>
      </c>
      <c r="N382" s="18">
        <v>0</v>
      </c>
      <c r="O382" s="18">
        <v>198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f>SUMIF([1]SA007!$C:$C,'SA007 2025.01-2026.05 '!$D382,[1]SA007!P:P)</f>
        <v>0</v>
      </c>
      <c r="AB382" s="18">
        <f>SUMIF([1]SA007!$C:$C,'SA007 2025.01-2026.05 '!$D382,[1]SA007!Q:Q)</f>
        <v>0</v>
      </c>
      <c r="AC382" s="19">
        <f t="shared" si="13"/>
        <v>198</v>
      </c>
      <c r="AD382" s="19">
        <f t="shared" si="14"/>
        <v>11.647058823529411</v>
      </c>
      <c r="AE382" s="20" t="e">
        <v>#N/A</v>
      </c>
      <c r="AG382" s="21">
        <f>SUMIF([1]SO003!$H:$H,'SA007 2025.01-2026.05 '!$D382,[1]SO003!AF:AF)</f>
        <v>0</v>
      </c>
      <c r="AH382" s="21">
        <f>SUMIF([1]SO003!$H:$H,'SA007 2025.01-2026.05 '!$D382,[1]SO003!AH:AH)</f>
        <v>0</v>
      </c>
      <c r="AI382" s="21">
        <f>SUMIF([1]SO003!$H:$H,'SA007 2025.01-2026.05 '!$D382,[1]SO003!AJ:AJ)</f>
        <v>0</v>
      </c>
    </row>
    <row r="383" spans="1:35" x14ac:dyDescent="0.55000000000000004">
      <c r="A383" s="2" t="s">
        <v>571</v>
      </c>
      <c r="B383" s="2" t="s">
        <v>365</v>
      </c>
      <c r="D383" s="2" t="s">
        <v>865</v>
      </c>
      <c r="E383" s="2" t="s">
        <v>428</v>
      </c>
      <c r="G383" s="3" t="s">
        <v>47</v>
      </c>
      <c r="H383" s="2" t="s">
        <v>367</v>
      </c>
      <c r="I383" s="17">
        <v>4.5</v>
      </c>
      <c r="J383" s="3">
        <v>50</v>
      </c>
      <c r="K383" s="3" t="s">
        <v>41</v>
      </c>
      <c r="L383" s="18">
        <v>0</v>
      </c>
      <c r="M383" s="18">
        <v>0</v>
      </c>
      <c r="N383" s="18">
        <v>0</v>
      </c>
      <c r="O383" s="18">
        <v>0</v>
      </c>
      <c r="P383" s="18">
        <v>0</v>
      </c>
      <c r="Q383" s="18">
        <v>0</v>
      </c>
      <c r="R383" s="18">
        <v>2740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0</v>
      </c>
      <c r="Z383" s="18">
        <v>0</v>
      </c>
      <c r="AA383" s="18">
        <f>SUMIF([1]SA007!$C:$C,'SA007 2025.01-2026.05 '!$D383,[1]SA007!P:P)</f>
        <v>0</v>
      </c>
      <c r="AB383" s="18">
        <f>SUMIF([1]SA007!$C:$C,'SA007 2025.01-2026.05 '!$D383,[1]SA007!Q:Q)</f>
        <v>0</v>
      </c>
      <c r="AC383" s="19">
        <f t="shared" si="13"/>
        <v>2740</v>
      </c>
      <c r="AD383" s="19">
        <f t="shared" si="14"/>
        <v>161.1764705882353</v>
      </c>
      <c r="AE383" s="20" t="s">
        <v>866</v>
      </c>
      <c r="AG383" s="21">
        <f>SUMIF([1]SO003!$H:$H,'SA007 2025.01-2026.05 '!$D383,[1]SO003!AF:AF)</f>
        <v>0</v>
      </c>
      <c r="AH383" s="21">
        <f>SUMIF([1]SO003!$H:$H,'SA007 2025.01-2026.05 '!$D383,[1]SO003!AH:AH)</f>
        <v>0</v>
      </c>
      <c r="AI383" s="21">
        <f>SUMIF([1]SO003!$H:$H,'SA007 2025.01-2026.05 '!$D383,[1]SO003!AJ:AJ)</f>
        <v>0</v>
      </c>
    </row>
    <row r="384" spans="1:35" x14ac:dyDescent="0.55000000000000004">
      <c r="A384" s="2" t="s">
        <v>867</v>
      </c>
      <c r="B384" s="2" t="s">
        <v>61</v>
      </c>
      <c r="D384" s="2" t="s">
        <v>868</v>
      </c>
      <c r="E384" s="2" t="s">
        <v>437</v>
      </c>
      <c r="G384" s="3" t="s">
        <v>63</v>
      </c>
      <c r="H384" s="2" t="s">
        <v>64</v>
      </c>
      <c r="I384" s="17">
        <v>1.2</v>
      </c>
      <c r="J384" s="3">
        <v>43</v>
      </c>
      <c r="K384" s="3" t="s">
        <v>41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546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f>SUMIF([1]SA007!$C:$C,'SA007 2025.01-2026.05 '!$D384,[1]SA007!P:P)</f>
        <v>0</v>
      </c>
      <c r="AB384" s="18">
        <f>SUMIF([1]SA007!$C:$C,'SA007 2025.01-2026.05 '!$D384,[1]SA007!Q:Q)</f>
        <v>0</v>
      </c>
      <c r="AC384" s="19">
        <f t="shared" si="13"/>
        <v>546</v>
      </c>
      <c r="AD384" s="19">
        <f t="shared" si="14"/>
        <v>32.117647058823529</v>
      </c>
      <c r="AE384" s="20" t="s">
        <v>869</v>
      </c>
      <c r="AG384" s="21">
        <f>SUMIF([1]SO003!$H:$H,'SA007 2025.01-2026.05 '!$D384,[1]SO003!AF:AF)</f>
        <v>0</v>
      </c>
      <c r="AH384" s="21">
        <f>SUMIF([1]SO003!$H:$H,'SA007 2025.01-2026.05 '!$D384,[1]SO003!AH:AH)</f>
        <v>0</v>
      </c>
      <c r="AI384" s="21">
        <f>SUMIF([1]SO003!$H:$H,'SA007 2025.01-2026.05 '!$D384,[1]SO003!AJ:AJ)</f>
        <v>0</v>
      </c>
    </row>
    <row r="385" spans="1:35" x14ac:dyDescent="0.55000000000000004">
      <c r="A385" s="2" t="s">
        <v>870</v>
      </c>
      <c r="D385" s="2" t="s">
        <v>871</v>
      </c>
      <c r="E385" s="2" t="s">
        <v>444</v>
      </c>
      <c r="G385" s="3" t="s">
        <v>302</v>
      </c>
      <c r="H385" s="2" t="s">
        <v>872</v>
      </c>
      <c r="I385" s="17">
        <v>2</v>
      </c>
      <c r="J385" s="3">
        <v>141</v>
      </c>
      <c r="K385" s="3" t="s">
        <v>731</v>
      </c>
      <c r="L385" s="18">
        <v>0</v>
      </c>
      <c r="M385" s="18">
        <v>0</v>
      </c>
      <c r="N385" s="18">
        <v>0</v>
      </c>
      <c r="O385" s="18">
        <v>0</v>
      </c>
      <c r="P385" s="18">
        <v>552</v>
      </c>
      <c r="Q385" s="18">
        <v>552</v>
      </c>
      <c r="R385" s="18">
        <v>553</v>
      </c>
      <c r="S385" s="18">
        <v>0</v>
      </c>
      <c r="T385" s="18">
        <v>1102</v>
      </c>
      <c r="U385" s="18">
        <v>552</v>
      </c>
      <c r="V385" s="18">
        <v>551</v>
      </c>
      <c r="W385" s="18">
        <v>551</v>
      </c>
      <c r="X385" s="18">
        <v>552</v>
      </c>
      <c r="Y385" s="18">
        <v>552</v>
      </c>
      <c r="Z385" s="18">
        <v>552</v>
      </c>
      <c r="AA385" s="18">
        <f>SUMIF([1]SA007!$C:$C,'SA007 2025.01-2026.05 '!$D385,[1]SA007!P:P)</f>
        <v>547</v>
      </c>
      <c r="AB385" s="18">
        <f>SUMIF([1]SA007!$C:$C,'SA007 2025.01-2026.05 '!$D385,[1]SA007!Q:Q)</f>
        <v>780</v>
      </c>
      <c r="AC385" s="19">
        <f t="shared" si="13"/>
        <v>7396</v>
      </c>
      <c r="AD385" s="19">
        <f t="shared" si="14"/>
        <v>435.05882352941177</v>
      </c>
      <c r="AE385" s="20" t="s">
        <v>873</v>
      </c>
      <c r="AG385" s="21">
        <f>SUMIF([1]SO003!$H:$H,'SA007 2025.01-2026.05 '!$D385,[1]SO003!AF:AF)</f>
        <v>0</v>
      </c>
      <c r="AH385" s="21">
        <f>SUMIF([1]SO003!$H:$H,'SA007 2025.01-2026.05 '!$D385,[1]SO003!AH:AH)</f>
        <v>0</v>
      </c>
      <c r="AI385" s="21">
        <f>SUMIF([1]SO003!$H:$H,'SA007 2025.01-2026.05 '!$D385,[1]SO003!AJ:AJ)</f>
        <v>0</v>
      </c>
    </row>
    <row r="386" spans="1:35" x14ac:dyDescent="0.55000000000000004">
      <c r="A386" s="2" t="s">
        <v>740</v>
      </c>
      <c r="B386" s="2" t="s">
        <v>365</v>
      </c>
      <c r="D386" s="2" t="s">
        <v>874</v>
      </c>
      <c r="E386" s="2" t="s">
        <v>129</v>
      </c>
      <c r="G386" s="3" t="s">
        <v>47</v>
      </c>
      <c r="H386" s="2" t="s">
        <v>469</v>
      </c>
      <c r="I386" s="17">
        <v>5</v>
      </c>
      <c r="J386" s="3">
        <v>66</v>
      </c>
      <c r="K386" s="3" t="s">
        <v>875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270</v>
      </c>
      <c r="S386" s="18">
        <v>0</v>
      </c>
      <c r="T386" s="18">
        <v>0</v>
      </c>
      <c r="U386" s="18">
        <v>0</v>
      </c>
      <c r="V386" s="18">
        <v>61</v>
      </c>
      <c r="W386" s="18">
        <v>0</v>
      </c>
      <c r="X386" s="18">
        <v>0</v>
      </c>
      <c r="Y386" s="18">
        <v>0</v>
      </c>
      <c r="Z386" s="18">
        <v>193</v>
      </c>
      <c r="AA386" s="18">
        <f>SUMIF([1]SA007!$C:$C,'SA007 2025.01-2026.05 '!$D386,[1]SA007!P:P)</f>
        <v>0</v>
      </c>
      <c r="AB386" s="18">
        <f>SUMIF([1]SA007!$C:$C,'SA007 2025.01-2026.05 '!$D386,[1]SA007!Q:Q)</f>
        <v>0</v>
      </c>
      <c r="AC386" s="19">
        <f t="shared" si="13"/>
        <v>524</v>
      </c>
      <c r="AD386" s="19">
        <f t="shared" si="14"/>
        <v>30.823529411764707</v>
      </c>
      <c r="AE386" s="20" t="s">
        <v>742</v>
      </c>
      <c r="AG386" s="21">
        <f>SUMIF([1]SO003!$H:$H,'SA007 2025.01-2026.05 '!$D386,[1]SO003!AF:AF)</f>
        <v>0</v>
      </c>
      <c r="AH386" s="21">
        <f>SUMIF([1]SO003!$H:$H,'SA007 2025.01-2026.05 '!$D386,[1]SO003!AH:AH)</f>
        <v>0</v>
      </c>
      <c r="AI386" s="21">
        <f>SUMIF([1]SO003!$H:$H,'SA007 2025.01-2026.05 '!$D386,[1]SO003!AJ:AJ)</f>
        <v>0</v>
      </c>
    </row>
    <row r="387" spans="1:35" x14ac:dyDescent="0.55000000000000004">
      <c r="A387" s="2" t="s">
        <v>171</v>
      </c>
      <c r="B387" s="2" t="s">
        <v>800</v>
      </c>
      <c r="C387" s="2" t="s">
        <v>800</v>
      </c>
      <c r="D387" s="2" t="s">
        <v>876</v>
      </c>
      <c r="E387" s="2" t="s">
        <v>849</v>
      </c>
      <c r="F387" s="2" t="s">
        <v>849</v>
      </c>
      <c r="G387" s="3" t="s">
        <v>175</v>
      </c>
      <c r="H387" s="2" t="s">
        <v>800</v>
      </c>
      <c r="I387" s="17">
        <v>1.6</v>
      </c>
      <c r="J387" s="3">
        <v>1219</v>
      </c>
      <c r="K387" s="3">
        <v>218</v>
      </c>
      <c r="L387" s="18">
        <v>0</v>
      </c>
      <c r="M387" s="18">
        <v>648</v>
      </c>
      <c r="N387" s="18">
        <v>0</v>
      </c>
      <c r="O387" s="18">
        <v>0</v>
      </c>
      <c r="P387" s="18">
        <v>492</v>
      </c>
      <c r="Q387" s="18">
        <v>510</v>
      </c>
      <c r="R387" s="18">
        <v>0</v>
      </c>
      <c r="S387" s="18">
        <v>472</v>
      </c>
      <c r="T387" s="18">
        <v>444</v>
      </c>
      <c r="U387" s="18">
        <v>664</v>
      </c>
      <c r="V387" s="18">
        <v>626</v>
      </c>
      <c r="W387" s="18">
        <v>490</v>
      </c>
      <c r="X387" s="18">
        <v>0</v>
      </c>
      <c r="Y387" s="18">
        <v>495</v>
      </c>
      <c r="Z387" s="18">
        <v>0</v>
      </c>
      <c r="AA387" s="18">
        <f>SUMIF([1]SA007!$C:$C,'SA007 2025.01-2026.05 '!$D387,[1]SA007!P:P)</f>
        <v>741</v>
      </c>
      <c r="AB387" s="18">
        <f>SUMIF([1]SA007!$C:$C,'SA007 2025.01-2026.05 '!$D387,[1]SA007!Q:Q)</f>
        <v>0</v>
      </c>
      <c r="AC387" s="19">
        <f t="shared" si="13"/>
        <v>5582</v>
      </c>
      <c r="AD387" s="19">
        <f t="shared" si="14"/>
        <v>328.35294117647061</v>
      </c>
      <c r="AE387" s="20" t="s">
        <v>116</v>
      </c>
      <c r="AG387" s="21">
        <f>SUMIF([1]SO003!$H:$H,'SA007 2025.01-2026.05 '!$D387,[1]SO003!AF:AF)</f>
        <v>0</v>
      </c>
      <c r="AH387" s="21">
        <f>SUMIF([1]SO003!$H:$H,'SA007 2025.01-2026.05 '!$D387,[1]SO003!AH:AH)</f>
        <v>0</v>
      </c>
      <c r="AI387" s="21">
        <f>SUMIF([1]SO003!$H:$H,'SA007 2025.01-2026.05 '!$D387,[1]SO003!AJ:AJ)</f>
        <v>0</v>
      </c>
    </row>
    <row r="388" spans="1:35" x14ac:dyDescent="0.55000000000000004">
      <c r="A388" s="23" t="s">
        <v>219</v>
      </c>
      <c r="D388" s="2" t="s">
        <v>877</v>
      </c>
      <c r="E388" s="2" t="s">
        <v>38</v>
      </c>
      <c r="G388" s="3" t="s">
        <v>57</v>
      </c>
      <c r="H388" s="2" t="s">
        <v>54</v>
      </c>
      <c r="I388" s="17">
        <v>1.2</v>
      </c>
      <c r="J388" s="3">
        <v>165</v>
      </c>
      <c r="K388" s="3" t="s">
        <v>41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926</v>
      </c>
      <c r="S388" s="18">
        <v>2259</v>
      </c>
      <c r="T388" s="18">
        <v>2352</v>
      </c>
      <c r="U388" s="18">
        <v>1246</v>
      </c>
      <c r="V388" s="18">
        <v>2030</v>
      </c>
      <c r="W388" s="18">
        <v>0</v>
      </c>
      <c r="X388" s="18">
        <v>1035</v>
      </c>
      <c r="Y388" s="18">
        <v>3627</v>
      </c>
      <c r="Z388" s="18">
        <v>0</v>
      </c>
      <c r="AA388" s="18">
        <f>SUMIF([1]SA007!$C:$C,'SA007 2025.01-2026.05 '!$D388,[1]SA007!P:P)</f>
        <v>1050</v>
      </c>
      <c r="AB388" s="18">
        <f>SUMIF([1]SA007!$C:$C,'SA007 2025.01-2026.05 '!$D388,[1]SA007!Q:Q)</f>
        <v>4192</v>
      </c>
      <c r="AC388" s="19">
        <f t="shared" si="13"/>
        <v>18717</v>
      </c>
      <c r="AD388" s="19">
        <f t="shared" si="14"/>
        <v>1101</v>
      </c>
      <c r="AE388" s="20" t="s">
        <v>878</v>
      </c>
      <c r="AG388" s="21">
        <f>SUMIF([1]SO003!$H:$H,'SA007 2025.01-2026.05 '!$D388,[1]SO003!AF:AF)</f>
        <v>2300</v>
      </c>
      <c r="AH388" s="21">
        <f>SUMIF([1]SO003!$H:$H,'SA007 2025.01-2026.05 '!$D388,[1]SO003!AH:AH)</f>
        <v>2800</v>
      </c>
      <c r="AI388" s="21">
        <f>SUMIF([1]SO003!$H:$H,'SA007 2025.01-2026.05 '!$D388,[1]SO003!AJ:AJ)</f>
        <v>0</v>
      </c>
    </row>
    <row r="389" spans="1:35" x14ac:dyDescent="0.55000000000000004">
      <c r="A389" s="2" t="s">
        <v>280</v>
      </c>
      <c r="B389" s="2" t="s">
        <v>77</v>
      </c>
      <c r="D389" s="2" t="s">
        <v>879</v>
      </c>
      <c r="E389" s="2" t="s">
        <v>240</v>
      </c>
      <c r="G389" s="3" t="s">
        <v>39</v>
      </c>
      <c r="H389" s="2" t="s">
        <v>880</v>
      </c>
      <c r="I389" s="17">
        <v>1.5</v>
      </c>
      <c r="J389" s="3">
        <v>158</v>
      </c>
      <c r="K389" s="3" t="s">
        <v>41</v>
      </c>
      <c r="L389" s="18">
        <v>0</v>
      </c>
      <c r="M389" s="18">
        <v>0</v>
      </c>
      <c r="N389" s="18">
        <v>0</v>
      </c>
      <c r="O389" s="18">
        <v>0</v>
      </c>
      <c r="P389" s="18">
        <v>0</v>
      </c>
      <c r="Q389" s="18">
        <v>0</v>
      </c>
      <c r="R389" s="18">
        <v>865.6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f>SUMIF([1]SA007!$C:$C,'SA007 2025.01-2026.05 '!$D389,[1]SA007!P:P)</f>
        <v>0</v>
      </c>
      <c r="AB389" s="18">
        <f>SUMIF([1]SA007!$C:$C,'SA007 2025.01-2026.05 '!$D389,[1]SA007!Q:Q)</f>
        <v>0</v>
      </c>
      <c r="AC389" s="19">
        <f t="shared" si="13"/>
        <v>865.6</v>
      </c>
      <c r="AD389" s="19">
        <f t="shared" si="14"/>
        <v>50.917647058823533</v>
      </c>
      <c r="AE389" s="20" t="s">
        <v>591</v>
      </c>
      <c r="AG389" s="21">
        <f>SUMIF([1]SO003!$H:$H,'SA007 2025.01-2026.05 '!$D389,[1]SO003!AF:AF)</f>
        <v>0</v>
      </c>
      <c r="AH389" s="21">
        <f>SUMIF([1]SO003!$H:$H,'SA007 2025.01-2026.05 '!$D389,[1]SO003!AH:AH)</f>
        <v>0</v>
      </c>
      <c r="AI389" s="21">
        <f>SUMIF([1]SO003!$H:$H,'SA007 2025.01-2026.05 '!$D389,[1]SO003!AJ:AJ)</f>
        <v>0</v>
      </c>
    </row>
    <row r="390" spans="1:35" x14ac:dyDescent="0.55000000000000004">
      <c r="A390" s="2" t="s">
        <v>280</v>
      </c>
      <c r="B390" s="2" t="s">
        <v>77</v>
      </c>
      <c r="D390" s="2" t="s">
        <v>881</v>
      </c>
      <c r="E390" s="2" t="s">
        <v>240</v>
      </c>
      <c r="G390" s="3" t="s">
        <v>39</v>
      </c>
      <c r="H390" s="2" t="s">
        <v>612</v>
      </c>
      <c r="I390" s="17">
        <v>1.5</v>
      </c>
      <c r="J390" s="3">
        <v>206</v>
      </c>
      <c r="K390" s="3" t="s">
        <v>711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570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f>SUMIF([1]SA007!$C:$C,'SA007 2025.01-2026.05 '!$D390,[1]SA007!P:P)</f>
        <v>0</v>
      </c>
      <c r="AB390" s="18">
        <f>SUMIF([1]SA007!$C:$C,'SA007 2025.01-2026.05 '!$D390,[1]SA007!Q:Q)</f>
        <v>1460</v>
      </c>
      <c r="AC390" s="19">
        <f t="shared" ref="AC390:AC453" si="15">SUM(L390:AB390)</f>
        <v>2030</v>
      </c>
      <c r="AD390" s="19">
        <f t="shared" ref="AD390:AD453" si="16">AVERAGE(L390:AB390)</f>
        <v>119.41176470588235</v>
      </c>
      <c r="AE390" s="20" t="s">
        <v>882</v>
      </c>
      <c r="AG390" s="21">
        <f>SUMIF([1]SO003!$H:$H,'SA007 2025.01-2026.05 '!$D390,[1]SO003!AF:AF)</f>
        <v>0</v>
      </c>
      <c r="AH390" s="21">
        <f>SUMIF([1]SO003!$H:$H,'SA007 2025.01-2026.05 '!$D390,[1]SO003!AH:AH)</f>
        <v>0</v>
      </c>
      <c r="AI390" s="21">
        <f>SUMIF([1]SO003!$H:$H,'SA007 2025.01-2026.05 '!$D390,[1]SO003!AJ:AJ)</f>
        <v>0</v>
      </c>
    </row>
    <row r="391" spans="1:35" x14ac:dyDescent="0.55000000000000004">
      <c r="A391" s="2" t="s">
        <v>145</v>
      </c>
      <c r="B391" s="2" t="s">
        <v>61</v>
      </c>
      <c r="C391" s="2" t="s">
        <v>61</v>
      </c>
      <c r="D391" s="2" t="s">
        <v>883</v>
      </c>
      <c r="E391" s="2" t="s">
        <v>38</v>
      </c>
      <c r="G391" s="3" t="s">
        <v>63</v>
      </c>
      <c r="H391" s="2" t="s">
        <v>61</v>
      </c>
      <c r="I391" s="17">
        <v>0.8</v>
      </c>
      <c r="J391" s="3">
        <v>46</v>
      </c>
      <c r="K391" s="3" t="s">
        <v>41</v>
      </c>
      <c r="L391" s="18">
        <v>0</v>
      </c>
      <c r="M391" s="18">
        <v>0</v>
      </c>
      <c r="N391" s="18">
        <v>0</v>
      </c>
      <c r="O391" s="18">
        <v>563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695</v>
      </c>
      <c r="Z391" s="18">
        <v>0</v>
      </c>
      <c r="AA391" s="18">
        <f>SUMIF([1]SA007!$C:$C,'SA007 2025.01-2026.05 '!$D391,[1]SA007!P:P)</f>
        <v>0</v>
      </c>
      <c r="AB391" s="18">
        <f>SUMIF([1]SA007!$C:$C,'SA007 2025.01-2026.05 '!$D391,[1]SA007!Q:Q)</f>
        <v>0</v>
      </c>
      <c r="AC391" s="19">
        <f t="shared" si="15"/>
        <v>1258</v>
      </c>
      <c r="AD391" s="19">
        <f t="shared" si="16"/>
        <v>74</v>
      </c>
      <c r="AE391" s="20" t="s">
        <v>884</v>
      </c>
      <c r="AG391" s="21">
        <f>SUMIF([1]SO003!$H:$H,'SA007 2025.01-2026.05 '!$D391,[1]SO003!AF:AF)</f>
        <v>0</v>
      </c>
      <c r="AH391" s="21">
        <f>SUMIF([1]SO003!$H:$H,'SA007 2025.01-2026.05 '!$D391,[1]SO003!AH:AH)</f>
        <v>0</v>
      </c>
      <c r="AI391" s="21">
        <f>SUMIF([1]SO003!$H:$H,'SA007 2025.01-2026.05 '!$D391,[1]SO003!AJ:AJ)</f>
        <v>0</v>
      </c>
    </row>
    <row r="392" spans="1:35" x14ac:dyDescent="0.55000000000000004">
      <c r="A392" s="2" t="s">
        <v>885</v>
      </c>
      <c r="D392" s="2" t="s">
        <v>886</v>
      </c>
      <c r="E392" s="2" t="s">
        <v>106</v>
      </c>
      <c r="G392" s="3" t="s">
        <v>63</v>
      </c>
      <c r="H392" s="2" t="s">
        <v>682</v>
      </c>
      <c r="I392" s="17">
        <v>0.5</v>
      </c>
      <c r="J392" s="3">
        <v>56</v>
      </c>
      <c r="K392" s="3" t="s">
        <v>41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1722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f>SUMIF([1]SA007!$C:$C,'SA007 2025.01-2026.05 '!$D392,[1]SA007!P:P)</f>
        <v>0</v>
      </c>
      <c r="AB392" s="18">
        <f>SUMIF([1]SA007!$C:$C,'SA007 2025.01-2026.05 '!$D392,[1]SA007!Q:Q)</f>
        <v>0</v>
      </c>
      <c r="AC392" s="19">
        <f t="shared" si="15"/>
        <v>1722</v>
      </c>
      <c r="AD392" s="19">
        <f t="shared" si="16"/>
        <v>101.29411764705883</v>
      </c>
      <c r="AE392" s="20" t="s">
        <v>887</v>
      </c>
      <c r="AG392" s="21">
        <f>SUMIF([1]SO003!$H:$H,'SA007 2025.01-2026.05 '!$D392,[1]SO003!AF:AF)</f>
        <v>0</v>
      </c>
      <c r="AH392" s="21">
        <f>SUMIF([1]SO003!$H:$H,'SA007 2025.01-2026.05 '!$D392,[1]SO003!AH:AH)</f>
        <v>0</v>
      </c>
      <c r="AI392" s="21">
        <f>SUMIF([1]SO003!$H:$H,'SA007 2025.01-2026.05 '!$D392,[1]SO003!AJ:AJ)</f>
        <v>0</v>
      </c>
    </row>
    <row r="393" spans="1:35" x14ac:dyDescent="0.55000000000000004">
      <c r="A393" s="2" t="s">
        <v>280</v>
      </c>
      <c r="B393" s="2" t="s">
        <v>77</v>
      </c>
      <c r="D393" s="2" t="s">
        <v>888</v>
      </c>
      <c r="E393" s="2" t="s">
        <v>240</v>
      </c>
      <c r="G393" s="3" t="s">
        <v>39</v>
      </c>
      <c r="H393" s="2" t="s">
        <v>612</v>
      </c>
      <c r="I393" s="17">
        <v>1.5</v>
      </c>
      <c r="J393" s="3">
        <v>175</v>
      </c>
      <c r="K393" s="3" t="s">
        <v>41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966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f>SUMIF([1]SA007!$C:$C,'SA007 2025.01-2026.05 '!$D393,[1]SA007!P:P)</f>
        <v>0</v>
      </c>
      <c r="AB393" s="18">
        <f>SUMIF([1]SA007!$C:$C,'SA007 2025.01-2026.05 '!$D393,[1]SA007!Q:Q)</f>
        <v>1236</v>
      </c>
      <c r="AC393" s="19">
        <f t="shared" si="15"/>
        <v>2202</v>
      </c>
      <c r="AD393" s="19">
        <f t="shared" si="16"/>
        <v>129.52941176470588</v>
      </c>
      <c r="AE393" s="20" t="s">
        <v>291</v>
      </c>
      <c r="AG393" s="21">
        <f>SUMIF([1]SO003!$H:$H,'SA007 2025.01-2026.05 '!$D393,[1]SO003!AF:AF)</f>
        <v>0</v>
      </c>
      <c r="AH393" s="21">
        <f>SUMIF([1]SO003!$H:$H,'SA007 2025.01-2026.05 '!$D393,[1]SO003!AH:AH)</f>
        <v>0</v>
      </c>
      <c r="AI393" s="21">
        <f>SUMIF([1]SO003!$H:$H,'SA007 2025.01-2026.05 '!$D393,[1]SO003!AJ:AJ)</f>
        <v>0</v>
      </c>
    </row>
    <row r="394" spans="1:35" x14ac:dyDescent="0.55000000000000004">
      <c r="A394" s="2" t="s">
        <v>889</v>
      </c>
      <c r="D394" s="2" t="s">
        <v>890</v>
      </c>
      <c r="E394" s="2" t="s">
        <v>444</v>
      </c>
      <c r="G394" s="3" t="s">
        <v>302</v>
      </c>
      <c r="H394" s="2" t="s">
        <v>891</v>
      </c>
      <c r="I394" s="17">
        <v>1.5</v>
      </c>
      <c r="J394" s="3">
        <v>107</v>
      </c>
      <c r="K394" s="3" t="s">
        <v>731</v>
      </c>
      <c r="L394" s="18">
        <v>0</v>
      </c>
      <c r="M394" s="18">
        <v>395</v>
      </c>
      <c r="N394" s="18">
        <v>0</v>
      </c>
      <c r="O394" s="18">
        <v>0</v>
      </c>
      <c r="P394" s="18">
        <v>568</v>
      </c>
      <c r="Q394" s="18">
        <v>790</v>
      </c>
      <c r="R394" s="18">
        <v>0</v>
      </c>
      <c r="S394" s="18">
        <v>395</v>
      </c>
      <c r="T394" s="18">
        <v>790</v>
      </c>
      <c r="U394" s="18">
        <v>395</v>
      </c>
      <c r="V394" s="18">
        <v>395</v>
      </c>
      <c r="W394" s="18">
        <v>395</v>
      </c>
      <c r="X394" s="18">
        <v>395</v>
      </c>
      <c r="Y394" s="18">
        <v>506</v>
      </c>
      <c r="Z394" s="18">
        <v>501</v>
      </c>
      <c r="AA394" s="18">
        <f>SUMIF([1]SA007!$C:$C,'SA007 2025.01-2026.05 '!$D394,[1]SA007!P:P)</f>
        <v>0</v>
      </c>
      <c r="AB394" s="18">
        <f>SUMIF([1]SA007!$C:$C,'SA007 2025.01-2026.05 '!$D394,[1]SA007!Q:Q)</f>
        <v>0</v>
      </c>
      <c r="AC394" s="19">
        <f t="shared" si="15"/>
        <v>5525</v>
      </c>
      <c r="AD394" s="19">
        <f t="shared" si="16"/>
        <v>325</v>
      </c>
      <c r="AE394" s="20" t="s">
        <v>873</v>
      </c>
      <c r="AG394" s="21">
        <f>SUMIF([1]SO003!$H:$H,'SA007 2025.01-2026.05 '!$D394,[1]SO003!AF:AF)</f>
        <v>0</v>
      </c>
      <c r="AH394" s="21">
        <f>SUMIF([1]SO003!$H:$H,'SA007 2025.01-2026.05 '!$D394,[1]SO003!AH:AH)</f>
        <v>0</v>
      </c>
      <c r="AI394" s="21">
        <f>SUMIF([1]SO003!$H:$H,'SA007 2025.01-2026.05 '!$D394,[1]SO003!AJ:AJ)</f>
        <v>0</v>
      </c>
    </row>
    <row r="395" spans="1:35" x14ac:dyDescent="0.55000000000000004">
      <c r="A395" s="25" t="s">
        <v>178</v>
      </c>
      <c r="B395" s="25" t="s">
        <v>67</v>
      </c>
      <c r="C395" s="25" t="s">
        <v>67</v>
      </c>
      <c r="D395" s="25" t="s">
        <v>892</v>
      </c>
      <c r="E395" s="25" t="s">
        <v>318</v>
      </c>
      <c r="F395" s="25" t="s">
        <v>318</v>
      </c>
      <c r="G395" s="26" t="s">
        <v>57</v>
      </c>
      <c r="H395" s="25" t="s">
        <v>893</v>
      </c>
      <c r="I395" s="27">
        <v>1</v>
      </c>
      <c r="J395" s="26">
        <v>127</v>
      </c>
      <c r="K395" s="26">
        <v>1093</v>
      </c>
      <c r="L395" s="30">
        <v>2815</v>
      </c>
      <c r="M395" s="30">
        <v>534</v>
      </c>
      <c r="N395" s="30">
        <v>0</v>
      </c>
      <c r="O395" s="30">
        <v>3216</v>
      </c>
      <c r="P395" s="30">
        <v>0</v>
      </c>
      <c r="Q395" s="30">
        <v>2670</v>
      </c>
      <c r="R395" s="30">
        <v>2717</v>
      </c>
      <c r="S395" s="30">
        <v>2812</v>
      </c>
      <c r="T395" s="30">
        <v>2588</v>
      </c>
      <c r="U395" s="30">
        <v>2184</v>
      </c>
      <c r="V395" s="30">
        <v>814</v>
      </c>
      <c r="W395" s="30">
        <v>0</v>
      </c>
      <c r="X395" s="30">
        <v>0</v>
      </c>
      <c r="Y395" s="30">
        <v>0</v>
      </c>
      <c r="Z395" s="18">
        <v>0</v>
      </c>
      <c r="AA395" s="18">
        <f>SUMIF([1]SA007!$C:$C,'SA007 2025.01-2026.05 '!$D395,[1]SA007!P:P)</f>
        <v>0</v>
      </c>
      <c r="AB395" s="18">
        <f>SUMIF([1]SA007!$C:$C,'SA007 2025.01-2026.05 '!$D395,[1]SA007!Q:Q)</f>
        <v>0</v>
      </c>
      <c r="AC395" s="19">
        <f t="shared" si="15"/>
        <v>20350</v>
      </c>
      <c r="AD395" s="19">
        <f t="shared" si="16"/>
        <v>1197.0588235294117</v>
      </c>
      <c r="AE395" s="29" t="s">
        <v>894</v>
      </c>
      <c r="AG395" s="21">
        <f>SUMIF([1]SO003!$H:$H,'SA007 2025.01-2026.05 '!$D395,[1]SO003!AF:AF)</f>
        <v>0</v>
      </c>
      <c r="AH395" s="21">
        <f>SUMIF([1]SO003!$H:$H,'SA007 2025.01-2026.05 '!$D395,[1]SO003!AH:AH)</f>
        <v>0</v>
      </c>
      <c r="AI395" s="21">
        <f>SUMIF([1]SO003!$H:$H,'SA007 2025.01-2026.05 '!$D395,[1]SO003!AJ:AJ)</f>
        <v>0</v>
      </c>
    </row>
    <row r="396" spans="1:35" x14ac:dyDescent="0.55000000000000004">
      <c r="A396" s="2" t="s">
        <v>895</v>
      </c>
      <c r="D396" s="2" t="s">
        <v>896</v>
      </c>
      <c r="E396" s="2" t="s">
        <v>301</v>
      </c>
      <c r="G396" s="3" t="s">
        <v>302</v>
      </c>
      <c r="H396" s="2" t="s">
        <v>303</v>
      </c>
      <c r="I396" s="17">
        <v>2.5</v>
      </c>
      <c r="J396" s="3">
        <v>185</v>
      </c>
      <c r="K396" s="3" t="s">
        <v>897</v>
      </c>
      <c r="L396" s="18">
        <v>5959</v>
      </c>
      <c r="M396" s="18">
        <v>3963</v>
      </c>
      <c r="N396" s="18">
        <v>3598</v>
      </c>
      <c r="O396" s="18">
        <v>1225</v>
      </c>
      <c r="P396" s="18">
        <v>0</v>
      </c>
      <c r="Q396" s="18">
        <v>20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f>SUMIF([1]SA007!$C:$C,'SA007 2025.01-2026.05 '!$D396,[1]SA007!P:P)</f>
        <v>0</v>
      </c>
      <c r="AB396" s="18">
        <f>SUMIF([1]SA007!$C:$C,'SA007 2025.01-2026.05 '!$D396,[1]SA007!Q:Q)</f>
        <v>0</v>
      </c>
      <c r="AC396" s="19">
        <f t="shared" si="15"/>
        <v>14765</v>
      </c>
      <c r="AD396" s="19">
        <f t="shared" si="16"/>
        <v>868.52941176470586</v>
      </c>
      <c r="AE396" s="20" t="s">
        <v>898</v>
      </c>
      <c r="AG396" s="21">
        <f>SUMIF([1]SO003!$H:$H,'SA007 2025.01-2026.05 '!$D396,[1]SO003!AF:AF)</f>
        <v>0</v>
      </c>
      <c r="AH396" s="21">
        <f>SUMIF([1]SO003!$H:$H,'SA007 2025.01-2026.05 '!$D396,[1]SO003!AH:AH)</f>
        <v>0</v>
      </c>
      <c r="AI396" s="21">
        <f>SUMIF([1]SO003!$H:$H,'SA007 2025.01-2026.05 '!$D396,[1]SO003!AJ:AJ)</f>
        <v>0</v>
      </c>
    </row>
    <row r="397" spans="1:35" x14ac:dyDescent="0.55000000000000004">
      <c r="A397" s="2" t="s">
        <v>899</v>
      </c>
      <c r="D397" s="2" t="s">
        <v>900</v>
      </c>
      <c r="E397" s="2" t="s">
        <v>301</v>
      </c>
      <c r="G397" s="3" t="s">
        <v>302</v>
      </c>
      <c r="H397" s="2" t="s">
        <v>901</v>
      </c>
      <c r="I397" s="17">
        <v>2.5</v>
      </c>
      <c r="J397" s="3">
        <v>1219</v>
      </c>
      <c r="K397" s="3" t="s">
        <v>902</v>
      </c>
      <c r="L397" s="18">
        <v>0</v>
      </c>
      <c r="M397" s="18">
        <v>0</v>
      </c>
      <c r="N397" s="18">
        <v>0</v>
      </c>
      <c r="O397" s="18">
        <v>0</v>
      </c>
      <c r="P397" s="18">
        <v>7396</v>
      </c>
      <c r="Q397" s="18">
        <v>1847</v>
      </c>
      <c r="R397" s="18">
        <v>0</v>
      </c>
      <c r="S397" s="18">
        <v>5138</v>
      </c>
      <c r="T397" s="18">
        <v>2527</v>
      </c>
      <c r="U397" s="18">
        <v>3739</v>
      </c>
      <c r="V397" s="18">
        <v>4090</v>
      </c>
      <c r="W397" s="18">
        <v>4088</v>
      </c>
      <c r="X397" s="18">
        <v>4706</v>
      </c>
      <c r="Y397" s="18">
        <v>7702</v>
      </c>
      <c r="Z397" s="18">
        <v>0</v>
      </c>
      <c r="AA397" s="18">
        <f>SUMIF([1]SA007!$C:$C,'SA007 2025.01-2026.05 '!$D397,[1]SA007!P:P)</f>
        <v>1780</v>
      </c>
      <c r="AB397" s="18">
        <f>SUMIF([1]SA007!$C:$C,'SA007 2025.01-2026.05 '!$D397,[1]SA007!Q:Q)</f>
        <v>0</v>
      </c>
      <c r="AC397" s="19">
        <f t="shared" si="15"/>
        <v>43013</v>
      </c>
      <c r="AD397" s="19">
        <f t="shared" si="16"/>
        <v>2530.1764705882351</v>
      </c>
      <c r="AE397" s="20" t="s">
        <v>903</v>
      </c>
      <c r="AG397" s="21">
        <f>SUMIF([1]SO003!$H:$H,'SA007 2025.01-2026.05 '!$D397,[1]SO003!AF:AF)</f>
        <v>0</v>
      </c>
      <c r="AH397" s="21">
        <f>SUMIF([1]SO003!$H:$H,'SA007 2025.01-2026.05 '!$D397,[1]SO003!AH:AH)</f>
        <v>0</v>
      </c>
      <c r="AI397" s="21">
        <f>SUMIF([1]SO003!$H:$H,'SA007 2025.01-2026.05 '!$D397,[1]SO003!AJ:AJ)</f>
        <v>0</v>
      </c>
    </row>
    <row r="398" spans="1:35" x14ac:dyDescent="0.55000000000000004">
      <c r="A398" s="2" t="s">
        <v>99</v>
      </c>
      <c r="B398" s="2" t="s">
        <v>61</v>
      </c>
      <c r="D398" s="2" t="s">
        <v>904</v>
      </c>
      <c r="E398" s="2" t="s">
        <v>101</v>
      </c>
      <c r="G398" s="3" t="s">
        <v>63</v>
      </c>
      <c r="H398" s="2" t="s">
        <v>64</v>
      </c>
      <c r="I398" s="17">
        <v>0.5</v>
      </c>
      <c r="J398" s="3">
        <v>27</v>
      </c>
      <c r="K398" s="3" t="s">
        <v>315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73</v>
      </c>
      <c r="R398" s="18">
        <v>0</v>
      </c>
      <c r="S398" s="18">
        <v>60</v>
      </c>
      <c r="T398" s="18">
        <v>0</v>
      </c>
      <c r="U398" s="18">
        <v>40</v>
      </c>
      <c r="V398" s="18">
        <v>42</v>
      </c>
      <c r="W398" s="18">
        <v>0</v>
      </c>
      <c r="X398" s="18">
        <v>75</v>
      </c>
      <c r="Y398" s="18">
        <v>0</v>
      </c>
      <c r="Z398" s="18">
        <v>70</v>
      </c>
      <c r="AA398" s="18">
        <f>SUMIF([1]SA007!$C:$C,'SA007 2025.01-2026.05 '!$D398,[1]SA007!P:P)</f>
        <v>0</v>
      </c>
      <c r="AB398" s="18">
        <f>SUMIF([1]SA007!$C:$C,'SA007 2025.01-2026.05 '!$D398,[1]SA007!Q:Q)</f>
        <v>80</v>
      </c>
      <c r="AC398" s="19">
        <f t="shared" si="15"/>
        <v>440</v>
      </c>
      <c r="AD398" s="19">
        <f t="shared" si="16"/>
        <v>25.882352941176471</v>
      </c>
      <c r="AE398" s="20" t="e">
        <v>#N/A</v>
      </c>
      <c r="AG398" s="21">
        <f>SUMIF([1]SO003!$H:$H,'SA007 2025.01-2026.05 '!$D398,[1]SO003!AF:AF)</f>
        <v>0</v>
      </c>
      <c r="AH398" s="21">
        <f>SUMIF([1]SO003!$H:$H,'SA007 2025.01-2026.05 '!$D398,[1]SO003!AH:AH)</f>
        <v>0</v>
      </c>
      <c r="AI398" s="21">
        <f>SUMIF([1]SO003!$H:$H,'SA007 2025.01-2026.05 '!$D398,[1]SO003!AJ:AJ)</f>
        <v>0</v>
      </c>
    </row>
    <row r="399" spans="1:35" x14ac:dyDescent="0.55000000000000004">
      <c r="A399" s="25" t="s">
        <v>178</v>
      </c>
      <c r="B399" s="25" t="s">
        <v>67</v>
      </c>
      <c r="C399" s="25" t="s">
        <v>67</v>
      </c>
      <c r="D399" s="25" t="s">
        <v>905</v>
      </c>
      <c r="E399" s="25" t="s">
        <v>318</v>
      </c>
      <c r="F399" s="25" t="s">
        <v>318</v>
      </c>
      <c r="G399" s="26" t="s">
        <v>57</v>
      </c>
      <c r="H399" s="25" t="s">
        <v>893</v>
      </c>
      <c r="I399" s="27">
        <v>1</v>
      </c>
      <c r="J399" s="26">
        <v>127</v>
      </c>
      <c r="K399" s="26">
        <v>1340</v>
      </c>
      <c r="L399" s="30">
        <v>1324</v>
      </c>
      <c r="M399" s="30">
        <v>1323</v>
      </c>
      <c r="N399" s="30">
        <v>0</v>
      </c>
      <c r="O399" s="30">
        <v>1297</v>
      </c>
      <c r="P399" s="30">
        <v>0</v>
      </c>
      <c r="Q399" s="30">
        <v>1304</v>
      </c>
      <c r="R399" s="30">
        <v>216</v>
      </c>
      <c r="S399" s="30">
        <v>1045</v>
      </c>
      <c r="T399" s="30">
        <v>672</v>
      </c>
      <c r="U399" s="30">
        <v>0</v>
      </c>
      <c r="V399" s="30">
        <v>27</v>
      </c>
      <c r="W399" s="30">
        <v>0</v>
      </c>
      <c r="X399" s="30">
        <v>0</v>
      </c>
      <c r="Y399" s="30">
        <v>0</v>
      </c>
      <c r="Z399" s="18">
        <v>0</v>
      </c>
      <c r="AA399" s="18">
        <f>SUMIF([1]SA007!$C:$C,'SA007 2025.01-2026.05 '!$D399,[1]SA007!P:P)</f>
        <v>0</v>
      </c>
      <c r="AB399" s="18">
        <f>SUMIF([1]SA007!$C:$C,'SA007 2025.01-2026.05 '!$D399,[1]SA007!Q:Q)</f>
        <v>0</v>
      </c>
      <c r="AC399" s="19">
        <f t="shared" si="15"/>
        <v>7208</v>
      </c>
      <c r="AD399" s="19">
        <f t="shared" si="16"/>
        <v>424</v>
      </c>
      <c r="AE399" s="29" t="s">
        <v>906</v>
      </c>
      <c r="AG399" s="21">
        <f>SUMIF([1]SO003!$H:$H,'SA007 2025.01-2026.05 '!$D399,[1]SO003!AF:AF)</f>
        <v>0</v>
      </c>
      <c r="AH399" s="21">
        <f>SUMIF([1]SO003!$H:$H,'SA007 2025.01-2026.05 '!$D399,[1]SO003!AH:AH)</f>
        <v>0</v>
      </c>
      <c r="AI399" s="21">
        <f>SUMIF([1]SO003!$H:$H,'SA007 2025.01-2026.05 '!$D399,[1]SO003!AJ:AJ)</f>
        <v>0</v>
      </c>
    </row>
    <row r="400" spans="1:35" x14ac:dyDescent="0.55000000000000004">
      <c r="A400" s="2" t="s">
        <v>381</v>
      </c>
      <c r="D400" s="2" t="s">
        <v>907</v>
      </c>
      <c r="E400" s="2" t="s">
        <v>240</v>
      </c>
      <c r="G400" s="3" t="s">
        <v>39</v>
      </c>
      <c r="H400" s="2" t="s">
        <v>599</v>
      </c>
      <c r="I400" s="17">
        <v>2</v>
      </c>
      <c r="J400" s="3">
        <v>295</v>
      </c>
      <c r="K400" s="3" t="s">
        <v>908</v>
      </c>
      <c r="L400" s="18">
        <v>0</v>
      </c>
      <c r="M400" s="18">
        <v>0</v>
      </c>
      <c r="N400" s="18">
        <v>0</v>
      </c>
      <c r="O400" s="18">
        <v>0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8">
        <f>SUMIF([1]SA007!$C:$C,'SA007 2025.01-2026.05 '!$D400,[1]SA007!P:P)</f>
        <v>0</v>
      </c>
      <c r="AB400" s="18">
        <f>SUMIF([1]SA007!$C:$C,'SA007 2025.01-2026.05 '!$D400,[1]SA007!Q:Q)</f>
        <v>0</v>
      </c>
      <c r="AC400" s="19">
        <f t="shared" si="15"/>
        <v>0</v>
      </c>
      <c r="AD400" s="19">
        <f t="shared" si="16"/>
        <v>0</v>
      </c>
      <c r="AE400" s="20" t="s">
        <v>909</v>
      </c>
      <c r="AG400" s="21">
        <f>SUMIF([1]SO003!$H:$H,'SA007 2025.01-2026.05 '!$D400,[1]SO003!AF:AF)</f>
        <v>0</v>
      </c>
      <c r="AH400" s="21">
        <f>SUMIF([1]SO003!$H:$H,'SA007 2025.01-2026.05 '!$D400,[1]SO003!AH:AH)</f>
        <v>0</v>
      </c>
      <c r="AI400" s="21">
        <f>SUMIF([1]SO003!$H:$H,'SA007 2025.01-2026.05 '!$D400,[1]SO003!AJ:AJ)</f>
        <v>0</v>
      </c>
    </row>
    <row r="401" spans="1:35" x14ac:dyDescent="0.55000000000000004">
      <c r="A401" s="2" t="s">
        <v>364</v>
      </c>
      <c r="D401" s="22" t="s">
        <v>910</v>
      </c>
      <c r="E401" s="2" t="s">
        <v>363</v>
      </c>
      <c r="F401" s="3"/>
      <c r="G401" s="3" t="s">
        <v>47</v>
      </c>
      <c r="H401" s="2" t="s">
        <v>365</v>
      </c>
      <c r="I401" s="17">
        <v>2</v>
      </c>
      <c r="J401" s="3">
        <v>138</v>
      </c>
      <c r="K401" s="3" t="s">
        <v>819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133</v>
      </c>
      <c r="T401" s="18">
        <v>390</v>
      </c>
      <c r="U401" s="18">
        <v>0</v>
      </c>
      <c r="V401" s="18">
        <v>268</v>
      </c>
      <c r="W401" s="18">
        <v>0</v>
      </c>
      <c r="X401" s="18">
        <v>0</v>
      </c>
      <c r="Y401" s="18">
        <v>0</v>
      </c>
      <c r="Z401" s="18">
        <v>0</v>
      </c>
      <c r="AA401" s="18">
        <f>SUMIF([1]SA007!$C:$C,'SA007 2025.01-2026.05 '!$D401,[1]SA007!P:P)</f>
        <v>0</v>
      </c>
      <c r="AB401" s="18">
        <f>SUMIF([1]SA007!$C:$C,'SA007 2025.01-2026.05 '!$D401,[1]SA007!Q:Q)</f>
        <v>0</v>
      </c>
      <c r="AC401" s="19">
        <f t="shared" si="15"/>
        <v>791</v>
      </c>
      <c r="AD401" s="19">
        <f t="shared" si="16"/>
        <v>46.529411764705884</v>
      </c>
      <c r="AG401" s="21">
        <f>SUMIF([1]SO003!$H:$H,'SA007 2025.01-2026.05 '!$D401,[1]SO003!AF:AF)</f>
        <v>132.1626</v>
      </c>
      <c r="AH401" s="21">
        <f>SUMIF([1]SO003!$H:$H,'SA007 2025.01-2026.05 '!$D401,[1]SO003!AH:AH)</f>
        <v>132.1626</v>
      </c>
      <c r="AI401" s="21">
        <f>SUMIF([1]SO003!$H:$H,'SA007 2025.01-2026.05 '!$D401,[1]SO003!AJ:AJ)</f>
        <v>0</v>
      </c>
    </row>
    <row r="402" spans="1:35" x14ac:dyDescent="0.55000000000000004">
      <c r="A402" s="2" t="s">
        <v>0</v>
      </c>
      <c r="D402" s="22" t="s">
        <v>911</v>
      </c>
      <c r="E402" s="2" t="s">
        <v>240</v>
      </c>
      <c r="F402" s="3"/>
      <c r="G402" s="3" t="s">
        <v>39</v>
      </c>
      <c r="H402" s="2" t="s">
        <v>612</v>
      </c>
      <c r="I402" s="17">
        <v>1.2</v>
      </c>
      <c r="J402" s="3">
        <v>70</v>
      </c>
      <c r="K402" s="3" t="s">
        <v>711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170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8">
        <v>202</v>
      </c>
      <c r="Z402" s="18">
        <v>0</v>
      </c>
      <c r="AA402" s="18">
        <f>SUMIF([1]SA007!$C:$C,'SA007 2025.01-2026.05 '!$D402,[1]SA007!P:P)</f>
        <v>0</v>
      </c>
      <c r="AB402" s="18">
        <f>SUMIF([1]SA007!$C:$C,'SA007 2025.01-2026.05 '!$D402,[1]SA007!Q:Q)</f>
        <v>0</v>
      </c>
      <c r="AC402" s="19">
        <f t="shared" si="15"/>
        <v>372</v>
      </c>
      <c r="AD402" s="19">
        <f t="shared" si="16"/>
        <v>21.882352941176471</v>
      </c>
      <c r="AG402" s="21">
        <f>SUMIF([1]SO003!$H:$H,'SA007 2025.01-2026.05 '!$D402,[1]SO003!AF:AF)</f>
        <v>0</v>
      </c>
      <c r="AH402" s="21">
        <f>SUMIF([1]SO003!$H:$H,'SA007 2025.01-2026.05 '!$D402,[1]SO003!AH:AH)</f>
        <v>0</v>
      </c>
      <c r="AI402" s="21">
        <f>SUMIF([1]SO003!$H:$H,'SA007 2025.01-2026.05 '!$D402,[1]SO003!AJ:AJ)</f>
        <v>0</v>
      </c>
    </row>
    <row r="403" spans="1:35" x14ac:dyDescent="0.55000000000000004">
      <c r="A403" s="2" t="s">
        <v>0</v>
      </c>
      <c r="D403" s="22" t="s">
        <v>912</v>
      </c>
      <c r="E403" s="2" t="s">
        <v>240</v>
      </c>
      <c r="F403" s="3"/>
      <c r="G403" s="3" t="s">
        <v>39</v>
      </c>
      <c r="H403" s="2" t="s">
        <v>913</v>
      </c>
      <c r="I403" s="17">
        <v>1.2</v>
      </c>
      <c r="J403" s="3">
        <v>84</v>
      </c>
      <c r="K403" s="3" t="s">
        <v>41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203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264</v>
      </c>
      <c r="Z403" s="18">
        <v>0</v>
      </c>
      <c r="AA403" s="18">
        <f>SUMIF([1]SA007!$C:$C,'SA007 2025.01-2026.05 '!$D403,[1]SA007!P:P)</f>
        <v>0</v>
      </c>
      <c r="AB403" s="18">
        <f>SUMIF([1]SA007!$C:$C,'SA007 2025.01-2026.05 '!$D403,[1]SA007!Q:Q)</f>
        <v>0</v>
      </c>
      <c r="AC403" s="19">
        <f t="shared" si="15"/>
        <v>467</v>
      </c>
      <c r="AD403" s="19">
        <f t="shared" si="16"/>
        <v>27.470588235294116</v>
      </c>
      <c r="AG403" s="21">
        <f>SUMIF([1]SO003!$H:$H,'SA007 2025.01-2026.05 '!$D403,[1]SO003!AF:AF)</f>
        <v>0</v>
      </c>
      <c r="AH403" s="21">
        <f>SUMIF([1]SO003!$H:$H,'SA007 2025.01-2026.05 '!$D403,[1]SO003!AH:AH)</f>
        <v>0</v>
      </c>
      <c r="AI403" s="21">
        <f>SUMIF([1]SO003!$H:$H,'SA007 2025.01-2026.05 '!$D403,[1]SO003!AJ:AJ)</f>
        <v>0</v>
      </c>
    </row>
    <row r="404" spans="1:35" x14ac:dyDescent="0.55000000000000004">
      <c r="A404" s="2" t="s">
        <v>171</v>
      </c>
      <c r="B404" s="2" t="s">
        <v>800</v>
      </c>
      <c r="D404" s="2" t="s">
        <v>914</v>
      </c>
      <c r="E404" s="2" t="s">
        <v>849</v>
      </c>
      <c r="G404" s="3" t="s">
        <v>57</v>
      </c>
      <c r="H404" s="2" t="s">
        <v>800</v>
      </c>
      <c r="I404" s="17">
        <v>1.6</v>
      </c>
      <c r="J404" s="3">
        <v>218</v>
      </c>
      <c r="K404" s="3">
        <v>1219</v>
      </c>
      <c r="L404" s="18">
        <v>0</v>
      </c>
      <c r="M404" s="18">
        <v>0</v>
      </c>
      <c r="N404" s="18">
        <v>0</v>
      </c>
      <c r="O404" s="18">
        <v>0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f>SUMIF([1]SA007!$C:$C,'SA007 2025.01-2026.05 '!$D404,[1]SA007!P:P)</f>
        <v>0</v>
      </c>
      <c r="AB404" s="18">
        <f>SUMIF([1]SA007!$C:$C,'SA007 2025.01-2026.05 '!$D404,[1]SA007!Q:Q)</f>
        <v>0</v>
      </c>
      <c r="AC404" s="19">
        <f t="shared" si="15"/>
        <v>0</v>
      </c>
      <c r="AD404" s="19">
        <f t="shared" si="16"/>
        <v>0</v>
      </c>
      <c r="AE404" s="20" t="s">
        <v>116</v>
      </c>
      <c r="AG404" s="21">
        <f>SUMIF([1]SO003!$H:$H,'SA007 2025.01-2026.05 '!$D404,[1]SO003!AF:AF)</f>
        <v>500.65792799999997</v>
      </c>
      <c r="AH404" s="21">
        <f>SUMIF([1]SO003!$H:$H,'SA007 2025.01-2026.05 '!$D404,[1]SO003!AH:AH)</f>
        <v>520.68424512000001</v>
      </c>
      <c r="AI404" s="21">
        <f>SUMIF([1]SO003!$H:$H,'SA007 2025.01-2026.05 '!$D404,[1]SO003!AJ:AJ)</f>
        <v>0</v>
      </c>
    </row>
    <row r="405" spans="1:35" x14ac:dyDescent="0.55000000000000004">
      <c r="A405" s="2" t="s">
        <v>915</v>
      </c>
      <c r="D405" s="22" t="s">
        <v>916</v>
      </c>
      <c r="E405" s="2" t="s">
        <v>363</v>
      </c>
      <c r="F405" s="3"/>
      <c r="G405" s="3" t="s">
        <v>47</v>
      </c>
      <c r="H405" s="2" t="s">
        <v>213</v>
      </c>
      <c r="I405" s="17">
        <v>7</v>
      </c>
      <c r="J405" s="3">
        <v>137</v>
      </c>
      <c r="K405" s="3" t="s">
        <v>917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v>1770</v>
      </c>
      <c r="S405" s="18">
        <v>5274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f>SUMIF([1]SA007!$C:$C,'SA007 2025.01-2026.05 '!$D405,[1]SA007!P:P)</f>
        <v>0</v>
      </c>
      <c r="AB405" s="18">
        <f>SUMIF([1]SA007!$C:$C,'SA007 2025.01-2026.05 '!$D405,[1]SA007!Q:Q)</f>
        <v>0</v>
      </c>
      <c r="AC405" s="19">
        <f t="shared" si="15"/>
        <v>7044</v>
      </c>
      <c r="AD405" s="19">
        <f t="shared" si="16"/>
        <v>414.35294117647061</v>
      </c>
      <c r="AG405" s="21">
        <f>SUMIF([1]SO003!$H:$H,'SA007 2025.01-2026.05 '!$D405,[1]SO003!AF:AF)</f>
        <v>0</v>
      </c>
      <c r="AH405" s="21">
        <f>SUMIF([1]SO003!$H:$H,'SA007 2025.01-2026.05 '!$D405,[1]SO003!AH:AH)</f>
        <v>0</v>
      </c>
      <c r="AI405" s="21">
        <f>SUMIF([1]SO003!$H:$H,'SA007 2025.01-2026.05 '!$D405,[1]SO003!AJ:AJ)</f>
        <v>0</v>
      </c>
    </row>
    <row r="406" spans="1:35" x14ac:dyDescent="0.55000000000000004">
      <c r="A406" s="2" t="s">
        <v>145</v>
      </c>
      <c r="B406" s="2" t="s">
        <v>61</v>
      </c>
      <c r="C406" s="2" t="s">
        <v>61</v>
      </c>
      <c r="D406" s="2" t="s">
        <v>918</v>
      </c>
      <c r="E406" s="2" t="s">
        <v>182</v>
      </c>
      <c r="G406" s="3" t="s">
        <v>63</v>
      </c>
      <c r="H406" s="2" t="s">
        <v>61</v>
      </c>
      <c r="I406" s="17">
        <v>0.8</v>
      </c>
      <c r="J406" s="3">
        <v>48</v>
      </c>
      <c r="K406" s="3" t="s">
        <v>41</v>
      </c>
      <c r="L406" s="18">
        <v>0</v>
      </c>
      <c r="M406" s="18">
        <v>0</v>
      </c>
      <c r="N406" s="18">
        <v>0</v>
      </c>
      <c r="O406" s="18">
        <v>0</v>
      </c>
      <c r="P406" s="18">
        <v>89</v>
      </c>
      <c r="Q406" s="18">
        <v>0</v>
      </c>
      <c r="R406" s="18">
        <v>94</v>
      </c>
      <c r="S406" s="18">
        <v>0</v>
      </c>
      <c r="T406" s="18">
        <v>0</v>
      </c>
      <c r="U406" s="18">
        <v>59</v>
      </c>
      <c r="V406" s="18">
        <v>0</v>
      </c>
      <c r="W406" s="18">
        <v>0</v>
      </c>
      <c r="X406" s="18">
        <v>0</v>
      </c>
      <c r="Y406" s="18">
        <v>95</v>
      </c>
      <c r="Z406" s="18">
        <v>0</v>
      </c>
      <c r="AA406" s="18">
        <f>SUMIF([1]SA007!$C:$C,'SA007 2025.01-2026.05 '!$D406,[1]SA007!P:P)</f>
        <v>0</v>
      </c>
      <c r="AB406" s="18">
        <f>SUMIF([1]SA007!$C:$C,'SA007 2025.01-2026.05 '!$D406,[1]SA007!Q:Q)</f>
        <v>55</v>
      </c>
      <c r="AC406" s="19">
        <f t="shared" si="15"/>
        <v>392</v>
      </c>
      <c r="AD406" s="19">
        <f t="shared" si="16"/>
        <v>23.058823529411764</v>
      </c>
      <c r="AE406" s="20" t="s">
        <v>804</v>
      </c>
      <c r="AG406" s="21">
        <f>SUMIF([1]SO003!$H:$H,'SA007 2025.01-2026.05 '!$D406,[1]SO003!AF:AF)</f>
        <v>0</v>
      </c>
      <c r="AH406" s="21">
        <f>SUMIF([1]SO003!$H:$H,'SA007 2025.01-2026.05 '!$D406,[1]SO003!AH:AH)</f>
        <v>0</v>
      </c>
      <c r="AI406" s="21">
        <f>SUMIF([1]SO003!$H:$H,'SA007 2025.01-2026.05 '!$D406,[1]SO003!AJ:AJ)</f>
        <v>0</v>
      </c>
    </row>
    <row r="407" spans="1:35" x14ac:dyDescent="0.55000000000000004">
      <c r="A407" s="2" t="s">
        <v>280</v>
      </c>
      <c r="D407" s="22" t="s">
        <v>919</v>
      </c>
      <c r="E407" s="2" t="s">
        <v>182</v>
      </c>
      <c r="F407" s="3"/>
      <c r="G407" s="3" t="s">
        <v>39</v>
      </c>
      <c r="H407" s="2" t="s">
        <v>599</v>
      </c>
      <c r="I407" s="17">
        <v>1.5</v>
      </c>
      <c r="J407" s="3">
        <v>66.400000000000006</v>
      </c>
      <c r="K407" s="3" t="s">
        <v>819</v>
      </c>
      <c r="L407" s="18">
        <v>0</v>
      </c>
      <c r="M407" s="18">
        <v>0</v>
      </c>
      <c r="N407" s="18">
        <v>0</v>
      </c>
      <c r="O407" s="18">
        <v>0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f>SUMIF([1]SA007!$C:$C,'SA007 2025.01-2026.05 '!$D407,[1]SA007!P:P)</f>
        <v>0</v>
      </c>
      <c r="AB407" s="18">
        <f>SUMIF([1]SA007!$C:$C,'SA007 2025.01-2026.05 '!$D407,[1]SA007!Q:Q)</f>
        <v>0</v>
      </c>
      <c r="AC407" s="19">
        <f t="shared" si="15"/>
        <v>0</v>
      </c>
      <c r="AD407" s="19">
        <f t="shared" si="16"/>
        <v>0</v>
      </c>
      <c r="AG407" s="21">
        <f>SUMIF([1]SO003!$H:$H,'SA007 2025.01-2026.05 '!$D407,[1]SO003!AF:AF)</f>
        <v>104.92561200000002</v>
      </c>
      <c r="AH407" s="21">
        <f>SUMIF([1]SO003!$H:$H,'SA007 2025.01-2026.05 '!$D407,[1]SO003!AH:AH)</f>
        <v>52.462806000000008</v>
      </c>
      <c r="AI407" s="21">
        <f>SUMIF([1]SO003!$H:$H,'SA007 2025.01-2026.05 '!$D407,[1]SO003!AJ:AJ)</f>
        <v>52.462806000000008</v>
      </c>
    </row>
    <row r="408" spans="1:35" x14ac:dyDescent="0.55000000000000004">
      <c r="A408" s="2" t="s">
        <v>145</v>
      </c>
      <c r="B408" s="2" t="s">
        <v>61</v>
      </c>
      <c r="C408" s="2" t="s">
        <v>61</v>
      </c>
      <c r="D408" s="2" t="s">
        <v>920</v>
      </c>
      <c r="E408" s="2" t="s">
        <v>129</v>
      </c>
      <c r="G408" s="3" t="s">
        <v>63</v>
      </c>
      <c r="H408" s="2" t="s">
        <v>61</v>
      </c>
      <c r="I408" s="17">
        <v>0.8</v>
      </c>
      <c r="J408" s="3">
        <v>54</v>
      </c>
      <c r="K408" s="3">
        <v>888</v>
      </c>
      <c r="L408" s="18">
        <v>0</v>
      </c>
      <c r="M408" s="18">
        <v>0</v>
      </c>
      <c r="N408" s="18">
        <v>0</v>
      </c>
      <c r="O408" s="18">
        <v>0</v>
      </c>
      <c r="P408" s="18">
        <v>447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f>SUMIF([1]SA007!$C:$C,'SA007 2025.01-2026.05 '!$D408,[1]SA007!P:P)</f>
        <v>0</v>
      </c>
      <c r="AB408" s="18">
        <f>SUMIF([1]SA007!$C:$C,'SA007 2025.01-2026.05 '!$D408,[1]SA007!Q:Q)</f>
        <v>0</v>
      </c>
      <c r="AC408" s="19">
        <f t="shared" si="15"/>
        <v>447</v>
      </c>
      <c r="AD408" s="19">
        <f t="shared" si="16"/>
        <v>26.294117647058822</v>
      </c>
      <c r="AE408" s="20" t="s">
        <v>921</v>
      </c>
      <c r="AG408" s="21">
        <f>SUMIF([1]SO003!$H:$H,'SA007 2025.01-2026.05 '!$D408,[1]SO003!AF:AF)</f>
        <v>0</v>
      </c>
      <c r="AH408" s="21">
        <f>SUMIF([1]SO003!$H:$H,'SA007 2025.01-2026.05 '!$D408,[1]SO003!AH:AH)</f>
        <v>0</v>
      </c>
      <c r="AI408" s="21">
        <f>SUMIF([1]SO003!$H:$H,'SA007 2025.01-2026.05 '!$D408,[1]SO003!AJ:AJ)</f>
        <v>0</v>
      </c>
    </row>
    <row r="409" spans="1:35" x14ac:dyDescent="0.55000000000000004">
      <c r="A409" s="2" t="s">
        <v>145</v>
      </c>
      <c r="B409" s="2" t="s">
        <v>61</v>
      </c>
      <c r="D409" s="2" t="s">
        <v>922</v>
      </c>
      <c r="E409" s="2" t="s">
        <v>182</v>
      </c>
      <c r="G409" s="3" t="s">
        <v>63</v>
      </c>
      <c r="H409" s="2" t="s">
        <v>61</v>
      </c>
      <c r="I409" s="17">
        <v>0.8</v>
      </c>
      <c r="J409" s="3">
        <v>95</v>
      </c>
      <c r="K409" s="3" t="s">
        <v>41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188</v>
      </c>
      <c r="S409" s="18">
        <v>145</v>
      </c>
      <c r="T409" s="18">
        <v>306</v>
      </c>
      <c r="U409" s="18">
        <v>0</v>
      </c>
      <c r="V409" s="18">
        <v>0</v>
      </c>
      <c r="W409" s="18">
        <v>195</v>
      </c>
      <c r="X409" s="18">
        <v>0</v>
      </c>
      <c r="Y409" s="18">
        <v>0</v>
      </c>
      <c r="Z409" s="18">
        <v>0</v>
      </c>
      <c r="AA409" s="18">
        <f>SUMIF([1]SA007!$C:$C,'SA007 2025.01-2026.05 '!$D409,[1]SA007!P:P)</f>
        <v>0</v>
      </c>
      <c r="AB409" s="18">
        <f>SUMIF([1]SA007!$C:$C,'SA007 2025.01-2026.05 '!$D409,[1]SA007!Q:Q)</f>
        <v>0</v>
      </c>
      <c r="AC409" s="19">
        <f t="shared" si="15"/>
        <v>834</v>
      </c>
      <c r="AD409" s="19">
        <f t="shared" si="16"/>
        <v>49.058823529411768</v>
      </c>
      <c r="AE409" s="20" t="s">
        <v>707</v>
      </c>
      <c r="AG409" s="21">
        <f>SUMIF([1]SO003!$H:$H,'SA007 2025.01-2026.05 '!$D409,[1]SO003!AF:AF)</f>
        <v>0</v>
      </c>
      <c r="AH409" s="21">
        <f>SUMIF([1]SO003!$H:$H,'SA007 2025.01-2026.05 '!$D409,[1]SO003!AH:AH)</f>
        <v>0</v>
      </c>
      <c r="AI409" s="21">
        <f>SUMIF([1]SO003!$H:$H,'SA007 2025.01-2026.05 '!$D409,[1]SO003!AJ:AJ)</f>
        <v>0</v>
      </c>
    </row>
    <row r="410" spans="1:35" x14ac:dyDescent="0.55000000000000004">
      <c r="A410" s="2" t="s">
        <v>145</v>
      </c>
      <c r="D410" s="22" t="s">
        <v>923</v>
      </c>
      <c r="E410" s="2" t="s">
        <v>182</v>
      </c>
      <c r="F410" s="3"/>
      <c r="G410" s="3" t="s">
        <v>63</v>
      </c>
      <c r="H410" s="2" t="s">
        <v>61</v>
      </c>
      <c r="I410" s="17">
        <v>0.8</v>
      </c>
      <c r="J410" s="3">
        <v>40</v>
      </c>
      <c r="K410" s="3" t="s">
        <v>41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70</v>
      </c>
      <c r="Y410" s="18">
        <v>0</v>
      </c>
      <c r="Z410" s="18">
        <v>0</v>
      </c>
      <c r="AA410" s="18">
        <f>SUMIF([1]SA007!$C:$C,'SA007 2025.01-2026.05 '!$D410,[1]SA007!P:P)</f>
        <v>0</v>
      </c>
      <c r="AB410" s="18">
        <f>SUMIF([1]SA007!$C:$C,'SA007 2025.01-2026.05 '!$D410,[1]SA007!Q:Q)</f>
        <v>0</v>
      </c>
      <c r="AC410" s="19">
        <f t="shared" si="15"/>
        <v>70</v>
      </c>
      <c r="AD410" s="19">
        <f t="shared" si="16"/>
        <v>4.117647058823529</v>
      </c>
      <c r="AG410" s="21">
        <f>SUMIF([1]SO003!$H:$H,'SA007 2025.01-2026.05 '!$D410,[1]SO003!AF:AF)</f>
        <v>0</v>
      </c>
      <c r="AH410" s="21">
        <f>SUMIF([1]SO003!$H:$H,'SA007 2025.01-2026.05 '!$D410,[1]SO003!AH:AH)</f>
        <v>0</v>
      </c>
      <c r="AI410" s="21">
        <f>SUMIF([1]SO003!$H:$H,'SA007 2025.01-2026.05 '!$D410,[1]SO003!AJ:AJ)</f>
        <v>0</v>
      </c>
    </row>
    <row r="411" spans="1:35" x14ac:dyDescent="0.55000000000000004">
      <c r="A411" s="2" t="s">
        <v>145</v>
      </c>
      <c r="D411" s="22" t="s">
        <v>924</v>
      </c>
      <c r="E411" s="2" t="s">
        <v>182</v>
      </c>
      <c r="F411" s="3"/>
      <c r="G411" s="3" t="s">
        <v>63</v>
      </c>
      <c r="H411" s="2" t="s">
        <v>61</v>
      </c>
      <c r="I411" s="17">
        <v>0.8</v>
      </c>
      <c r="J411" s="3">
        <v>55</v>
      </c>
      <c r="K411" s="3" t="s">
        <v>41</v>
      </c>
      <c r="L411" s="18">
        <v>0</v>
      </c>
      <c r="M411" s="18">
        <v>0</v>
      </c>
      <c r="N411" s="18">
        <v>0</v>
      </c>
      <c r="O411" s="18">
        <v>0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f>SUMIF([1]SA007!$C:$C,'SA007 2025.01-2026.05 '!$D411,[1]SA007!P:P)</f>
        <v>0</v>
      </c>
      <c r="AB411" s="18">
        <f>SUMIF([1]SA007!$C:$C,'SA007 2025.01-2026.05 '!$D411,[1]SA007!Q:Q)</f>
        <v>0</v>
      </c>
      <c r="AC411" s="19">
        <f t="shared" si="15"/>
        <v>0</v>
      </c>
      <c r="AD411" s="19">
        <f t="shared" si="16"/>
        <v>0</v>
      </c>
      <c r="AG411" s="21">
        <f>SUMIF([1]SO003!$H:$H,'SA007 2025.01-2026.05 '!$D411,[1]SO003!AF:AF)</f>
        <v>0</v>
      </c>
      <c r="AH411" s="21">
        <f>SUMIF([1]SO003!$H:$H,'SA007 2025.01-2026.05 '!$D411,[1]SO003!AH:AH)</f>
        <v>0</v>
      </c>
      <c r="AI411" s="21">
        <f>SUMIF([1]SO003!$H:$H,'SA007 2025.01-2026.05 '!$D411,[1]SO003!AJ:AJ)</f>
        <v>0</v>
      </c>
    </row>
    <row r="412" spans="1:35" x14ac:dyDescent="0.55000000000000004">
      <c r="A412" s="2" t="s">
        <v>145</v>
      </c>
      <c r="D412" s="22" t="s">
        <v>925</v>
      </c>
      <c r="E412" s="2" t="s">
        <v>182</v>
      </c>
      <c r="F412" s="3"/>
      <c r="G412" s="3" t="s">
        <v>63</v>
      </c>
      <c r="H412" s="2" t="s">
        <v>61</v>
      </c>
      <c r="I412" s="17">
        <v>0.8</v>
      </c>
      <c r="J412" s="3">
        <v>62</v>
      </c>
      <c r="K412" s="3" t="s">
        <v>762</v>
      </c>
      <c r="L412" s="18">
        <v>0</v>
      </c>
      <c r="M412" s="18">
        <v>0</v>
      </c>
      <c r="N412" s="18">
        <v>0</v>
      </c>
      <c r="O412" s="18">
        <v>0</v>
      </c>
      <c r="P412" s="18">
        <v>0</v>
      </c>
      <c r="Q412" s="18">
        <v>0</v>
      </c>
      <c r="R412" s="18">
        <v>0</v>
      </c>
      <c r="S412" s="18">
        <v>15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8">
        <v>0</v>
      </c>
      <c r="Z412" s="18">
        <v>0</v>
      </c>
      <c r="AA412" s="18">
        <f>SUMIF([1]SA007!$C:$C,'SA007 2025.01-2026.05 '!$D412,[1]SA007!P:P)</f>
        <v>0</v>
      </c>
      <c r="AB412" s="18">
        <f>SUMIF([1]SA007!$C:$C,'SA007 2025.01-2026.05 '!$D412,[1]SA007!Q:Q)</f>
        <v>0</v>
      </c>
      <c r="AC412" s="19">
        <f t="shared" si="15"/>
        <v>15</v>
      </c>
      <c r="AD412" s="19">
        <f t="shared" si="16"/>
        <v>0.88235294117647056</v>
      </c>
      <c r="AG412" s="21">
        <f>SUMIF([1]SO003!$H:$H,'SA007 2025.01-2026.05 '!$D412,[1]SO003!AF:AF)</f>
        <v>0</v>
      </c>
      <c r="AH412" s="21">
        <f>SUMIF([1]SO003!$H:$H,'SA007 2025.01-2026.05 '!$D412,[1]SO003!AH:AH)</f>
        <v>0</v>
      </c>
      <c r="AI412" s="21">
        <f>SUMIF([1]SO003!$H:$H,'SA007 2025.01-2026.05 '!$D412,[1]SO003!AJ:AJ)</f>
        <v>0</v>
      </c>
    </row>
    <row r="413" spans="1:35" x14ac:dyDescent="0.55000000000000004">
      <c r="A413" s="2" t="s">
        <v>579</v>
      </c>
      <c r="D413" s="22" t="s">
        <v>926</v>
      </c>
      <c r="E413" s="2" t="s">
        <v>46</v>
      </c>
      <c r="F413" s="3"/>
      <c r="G413" s="3" t="s">
        <v>47</v>
      </c>
      <c r="H413" s="2" t="s">
        <v>213</v>
      </c>
      <c r="I413" s="17">
        <v>3.5</v>
      </c>
      <c r="J413" s="3">
        <v>190</v>
      </c>
      <c r="K413" s="3" t="s">
        <v>927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212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f>SUMIF([1]SA007!$C:$C,'SA007 2025.01-2026.05 '!$D413,[1]SA007!P:P)</f>
        <v>0</v>
      </c>
      <c r="AB413" s="18">
        <f>SUMIF([1]SA007!$C:$C,'SA007 2025.01-2026.05 '!$D413,[1]SA007!Q:Q)</f>
        <v>0</v>
      </c>
      <c r="AC413" s="19">
        <f t="shared" si="15"/>
        <v>212</v>
      </c>
      <c r="AD413" s="19">
        <f t="shared" si="16"/>
        <v>12.470588235294118</v>
      </c>
      <c r="AG413" s="21">
        <f>SUMIF([1]SO003!$H:$H,'SA007 2025.01-2026.05 '!$D413,[1]SO003!AF:AF)</f>
        <v>0</v>
      </c>
      <c r="AH413" s="21">
        <f>SUMIF([1]SO003!$H:$H,'SA007 2025.01-2026.05 '!$D413,[1]SO003!AH:AH)</f>
        <v>0</v>
      </c>
      <c r="AI413" s="21">
        <f>SUMIF([1]SO003!$H:$H,'SA007 2025.01-2026.05 '!$D413,[1]SO003!AJ:AJ)</f>
        <v>0</v>
      </c>
    </row>
    <row r="414" spans="1:35" x14ac:dyDescent="0.55000000000000004">
      <c r="A414" s="2" t="s">
        <v>579</v>
      </c>
      <c r="D414" s="22" t="s">
        <v>928</v>
      </c>
      <c r="E414" s="2" t="s">
        <v>46</v>
      </c>
      <c r="F414" s="3"/>
      <c r="G414" s="3" t="s">
        <v>47</v>
      </c>
      <c r="H414" s="2" t="s">
        <v>213</v>
      </c>
      <c r="I414" s="17">
        <v>3.5</v>
      </c>
      <c r="J414" s="3">
        <v>190</v>
      </c>
      <c r="K414" s="3" t="s">
        <v>819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8">
        <v>0</v>
      </c>
      <c r="Z414" s="18">
        <v>0</v>
      </c>
      <c r="AA414" s="18">
        <f>SUMIF([1]SA007!$C:$C,'SA007 2025.01-2026.05 '!$D414,[1]SA007!P:P)</f>
        <v>0</v>
      </c>
      <c r="AB414" s="18">
        <f>SUMIF([1]SA007!$C:$C,'SA007 2025.01-2026.05 '!$D414,[1]SA007!Q:Q)</f>
        <v>0</v>
      </c>
      <c r="AC414" s="19">
        <f t="shared" si="15"/>
        <v>0</v>
      </c>
      <c r="AD414" s="19">
        <f t="shared" si="16"/>
        <v>0</v>
      </c>
      <c r="AG414" s="21">
        <f>SUMIF([1]SO003!$H:$H,'SA007 2025.01-2026.05 '!$D414,[1]SO003!AF:AF)</f>
        <v>0</v>
      </c>
      <c r="AH414" s="21">
        <f>SUMIF([1]SO003!$H:$H,'SA007 2025.01-2026.05 '!$D414,[1]SO003!AH:AH)</f>
        <v>0</v>
      </c>
      <c r="AI414" s="21">
        <f>SUMIF([1]SO003!$H:$H,'SA007 2025.01-2026.05 '!$D414,[1]SO003!AJ:AJ)</f>
        <v>0</v>
      </c>
    </row>
    <row r="415" spans="1:35" x14ac:dyDescent="0.55000000000000004">
      <c r="A415" s="25" t="s">
        <v>178</v>
      </c>
      <c r="B415" s="25" t="s">
        <v>67</v>
      </c>
      <c r="C415" s="25" t="s">
        <v>67</v>
      </c>
      <c r="D415" s="25" t="s">
        <v>929</v>
      </c>
      <c r="E415" s="25" t="s">
        <v>318</v>
      </c>
      <c r="F415" s="25" t="s">
        <v>318</v>
      </c>
      <c r="G415" s="26" t="s">
        <v>57</v>
      </c>
      <c r="H415" s="25" t="s">
        <v>893</v>
      </c>
      <c r="I415" s="27">
        <v>1</v>
      </c>
      <c r="J415" s="26">
        <v>127</v>
      </c>
      <c r="K415" s="26">
        <v>641.4</v>
      </c>
      <c r="L415" s="30">
        <v>628</v>
      </c>
      <c r="M415" s="30">
        <v>632</v>
      </c>
      <c r="N415" s="30">
        <v>0</v>
      </c>
      <c r="O415" s="30">
        <v>624</v>
      </c>
      <c r="P415" s="30">
        <v>0</v>
      </c>
      <c r="Q415" s="30">
        <v>622</v>
      </c>
      <c r="R415" s="30">
        <v>265</v>
      </c>
      <c r="S415" s="30">
        <v>356</v>
      </c>
      <c r="T415" s="30">
        <v>353</v>
      </c>
      <c r="U415" s="30">
        <v>0</v>
      </c>
      <c r="V415" s="30">
        <v>386</v>
      </c>
      <c r="W415" s="30">
        <v>0</v>
      </c>
      <c r="X415" s="30">
        <v>0</v>
      </c>
      <c r="Y415" s="30">
        <v>0</v>
      </c>
      <c r="Z415" s="18">
        <v>0</v>
      </c>
      <c r="AA415" s="18">
        <f>SUMIF([1]SA007!$C:$C,'SA007 2025.01-2026.05 '!$D415,[1]SA007!P:P)</f>
        <v>0</v>
      </c>
      <c r="AB415" s="18">
        <f>SUMIF([1]SA007!$C:$C,'SA007 2025.01-2026.05 '!$D415,[1]SA007!Q:Q)</f>
        <v>0</v>
      </c>
      <c r="AC415" s="19">
        <f t="shared" si="15"/>
        <v>3866</v>
      </c>
      <c r="AD415" s="19">
        <f t="shared" si="16"/>
        <v>227.41176470588235</v>
      </c>
      <c r="AE415" s="29" t="s">
        <v>930</v>
      </c>
      <c r="AG415" s="21">
        <f>SUMIF([1]SO003!$H:$H,'SA007 2025.01-2026.05 '!$D415,[1]SO003!AF:AF)</f>
        <v>0</v>
      </c>
      <c r="AH415" s="21">
        <f>SUMIF([1]SO003!$H:$H,'SA007 2025.01-2026.05 '!$D415,[1]SO003!AH:AH)</f>
        <v>0</v>
      </c>
      <c r="AI415" s="21">
        <f>SUMIF([1]SO003!$H:$H,'SA007 2025.01-2026.05 '!$D415,[1]SO003!AJ:AJ)</f>
        <v>0</v>
      </c>
    </row>
    <row r="416" spans="1:35" x14ac:dyDescent="0.55000000000000004">
      <c r="A416" s="25" t="s">
        <v>178</v>
      </c>
      <c r="B416" s="25" t="s">
        <v>67</v>
      </c>
      <c r="C416" s="25" t="s">
        <v>67</v>
      </c>
      <c r="D416" s="25" t="s">
        <v>931</v>
      </c>
      <c r="E416" s="25" t="s">
        <v>318</v>
      </c>
      <c r="F416" s="25" t="s">
        <v>318</v>
      </c>
      <c r="G416" s="26" t="s">
        <v>57</v>
      </c>
      <c r="H416" s="25" t="s">
        <v>893</v>
      </c>
      <c r="I416" s="27">
        <v>1</v>
      </c>
      <c r="J416" s="26">
        <v>127</v>
      </c>
      <c r="K416" s="26">
        <v>705</v>
      </c>
      <c r="L416" s="30">
        <v>2082</v>
      </c>
      <c r="M416" s="30">
        <v>344</v>
      </c>
      <c r="N416" s="30">
        <v>0</v>
      </c>
      <c r="O416" s="30">
        <v>2064</v>
      </c>
      <c r="P416" s="30">
        <v>0</v>
      </c>
      <c r="Q416" s="30">
        <v>1715</v>
      </c>
      <c r="R416" s="30">
        <v>1788</v>
      </c>
      <c r="S416" s="30">
        <v>1891</v>
      </c>
      <c r="T416" s="30">
        <v>1913</v>
      </c>
      <c r="U416" s="30">
        <v>2918</v>
      </c>
      <c r="V416" s="30">
        <v>356</v>
      </c>
      <c r="W416" s="30">
        <v>0</v>
      </c>
      <c r="X416" s="30">
        <v>0</v>
      </c>
      <c r="Y416" s="30">
        <v>0</v>
      </c>
      <c r="Z416" s="18">
        <v>0</v>
      </c>
      <c r="AA416" s="18">
        <f>SUMIF([1]SA007!$C:$C,'SA007 2025.01-2026.05 '!$D416,[1]SA007!P:P)</f>
        <v>0</v>
      </c>
      <c r="AB416" s="18">
        <f>SUMIF([1]SA007!$C:$C,'SA007 2025.01-2026.05 '!$D416,[1]SA007!Q:Q)</f>
        <v>0</v>
      </c>
      <c r="AC416" s="19">
        <f t="shared" si="15"/>
        <v>15071</v>
      </c>
      <c r="AD416" s="19">
        <f t="shared" si="16"/>
        <v>886.52941176470586</v>
      </c>
      <c r="AE416" s="29" t="s">
        <v>932</v>
      </c>
      <c r="AG416" s="21">
        <f>SUMIF([1]SO003!$H:$H,'SA007 2025.01-2026.05 '!$D416,[1]SO003!AF:AF)</f>
        <v>0</v>
      </c>
      <c r="AH416" s="21">
        <f>SUMIF([1]SO003!$H:$H,'SA007 2025.01-2026.05 '!$D416,[1]SO003!AH:AH)</f>
        <v>0</v>
      </c>
      <c r="AI416" s="21">
        <f>SUMIF([1]SO003!$H:$H,'SA007 2025.01-2026.05 '!$D416,[1]SO003!AJ:AJ)</f>
        <v>0</v>
      </c>
    </row>
    <row r="417" spans="1:35" x14ac:dyDescent="0.55000000000000004">
      <c r="A417" s="2" t="s">
        <v>126</v>
      </c>
      <c r="D417" s="22" t="s">
        <v>933</v>
      </c>
      <c r="E417" s="2" t="s">
        <v>129</v>
      </c>
      <c r="F417" s="3"/>
      <c r="G417" s="3" t="s">
        <v>63</v>
      </c>
      <c r="H417" s="2" t="s">
        <v>61</v>
      </c>
      <c r="I417" s="17">
        <v>0.6</v>
      </c>
      <c r="J417" s="3">
        <v>116</v>
      </c>
      <c r="K417" s="3" t="s">
        <v>934</v>
      </c>
      <c r="L417" s="18">
        <v>0</v>
      </c>
      <c r="M417" s="18">
        <v>0</v>
      </c>
      <c r="N417" s="18">
        <v>0</v>
      </c>
      <c r="O417" s="18">
        <v>0</v>
      </c>
      <c r="P417" s="18">
        <v>0</v>
      </c>
      <c r="Q417" s="18">
        <v>0</v>
      </c>
      <c r="R417" s="18">
        <v>0</v>
      </c>
      <c r="S417" s="18">
        <v>743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f>SUMIF([1]SA007!$C:$C,'SA007 2025.01-2026.05 '!$D417,[1]SA007!P:P)</f>
        <v>0</v>
      </c>
      <c r="AB417" s="18">
        <f>SUMIF([1]SA007!$C:$C,'SA007 2025.01-2026.05 '!$D417,[1]SA007!Q:Q)</f>
        <v>496</v>
      </c>
      <c r="AC417" s="19">
        <f t="shared" si="15"/>
        <v>1239</v>
      </c>
      <c r="AD417" s="19">
        <f t="shared" si="16"/>
        <v>72.882352941176464</v>
      </c>
      <c r="AG417" s="21">
        <f>SUMIF([1]SO003!$H:$H,'SA007 2025.01-2026.05 '!$D417,[1]SO003!AF:AF)</f>
        <v>0</v>
      </c>
      <c r="AH417" s="21">
        <f>SUMIF([1]SO003!$H:$H,'SA007 2025.01-2026.05 '!$D417,[1]SO003!AH:AH)</f>
        <v>0</v>
      </c>
      <c r="AI417" s="21">
        <f>SUMIF([1]SO003!$H:$H,'SA007 2025.01-2026.05 '!$D417,[1]SO003!AJ:AJ)</f>
        <v>0</v>
      </c>
    </row>
    <row r="418" spans="1:35" x14ac:dyDescent="0.55000000000000004">
      <c r="A418" s="2" t="s">
        <v>145</v>
      </c>
      <c r="D418" s="22" t="s">
        <v>935</v>
      </c>
      <c r="E418" s="2" t="s">
        <v>182</v>
      </c>
      <c r="F418" s="3"/>
      <c r="G418" s="3" t="s">
        <v>63</v>
      </c>
      <c r="H418" s="2" t="s">
        <v>61</v>
      </c>
      <c r="I418" s="17">
        <v>0.8</v>
      </c>
      <c r="J418" s="3">
        <v>241</v>
      </c>
      <c r="K418" s="3" t="s">
        <v>936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8">
        <v>0</v>
      </c>
      <c r="Z418" s="18">
        <v>0</v>
      </c>
      <c r="AA418" s="18">
        <f>SUMIF([1]SA007!$C:$C,'SA007 2025.01-2026.05 '!$D418,[1]SA007!P:P)</f>
        <v>0</v>
      </c>
      <c r="AB418" s="18">
        <f>SUMIF([1]SA007!$C:$C,'SA007 2025.01-2026.05 '!$D418,[1]SA007!Q:Q)</f>
        <v>0</v>
      </c>
      <c r="AC418" s="19">
        <f t="shared" si="15"/>
        <v>0</v>
      </c>
      <c r="AD418" s="19">
        <f t="shared" si="16"/>
        <v>0</v>
      </c>
      <c r="AG418" s="21">
        <f>SUMIF([1]SO003!$H:$H,'SA007 2025.01-2026.05 '!$D418,[1]SO003!AF:AF)</f>
        <v>0</v>
      </c>
      <c r="AH418" s="21">
        <f>SUMIF([1]SO003!$H:$H,'SA007 2025.01-2026.05 '!$D418,[1]SO003!AH:AH)</f>
        <v>0</v>
      </c>
      <c r="AI418" s="21">
        <f>SUMIF([1]SO003!$H:$H,'SA007 2025.01-2026.05 '!$D418,[1]SO003!AJ:AJ)</f>
        <v>0</v>
      </c>
    </row>
    <row r="419" spans="1:35" x14ac:dyDescent="0.55000000000000004">
      <c r="A419" s="2" t="s">
        <v>145</v>
      </c>
      <c r="D419" s="22" t="s">
        <v>937</v>
      </c>
      <c r="E419" s="2" t="s">
        <v>182</v>
      </c>
      <c r="G419" s="3" t="s">
        <v>63</v>
      </c>
      <c r="H419" s="22" t="s">
        <v>61</v>
      </c>
      <c r="I419" s="17">
        <v>0.8</v>
      </c>
      <c r="J419" s="3">
        <v>30</v>
      </c>
      <c r="K419" s="3" t="s">
        <v>41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74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f>SUMIF([1]SA007!$C:$C,'SA007 2025.01-2026.05 '!$D419,[1]SA007!P:P)</f>
        <v>0</v>
      </c>
      <c r="AB419" s="18">
        <f>SUMIF([1]SA007!$C:$C,'SA007 2025.01-2026.05 '!$D419,[1]SA007!Q:Q)</f>
        <v>0</v>
      </c>
      <c r="AC419" s="19">
        <f t="shared" si="15"/>
        <v>74</v>
      </c>
      <c r="AD419" s="19">
        <f t="shared" si="16"/>
        <v>4.3529411764705879</v>
      </c>
      <c r="AG419" s="21">
        <f>SUMIF([1]SO003!$H:$H,'SA007 2025.01-2026.05 '!$D419,[1]SO003!AF:AF)</f>
        <v>0</v>
      </c>
      <c r="AH419" s="21">
        <f>SUMIF([1]SO003!$H:$H,'SA007 2025.01-2026.05 '!$D419,[1]SO003!AH:AH)</f>
        <v>0</v>
      </c>
      <c r="AI419" s="21">
        <f>SUMIF([1]SO003!$H:$H,'SA007 2025.01-2026.05 '!$D419,[1]SO003!AJ:AJ)</f>
        <v>0</v>
      </c>
    </row>
    <row r="420" spans="1:35" x14ac:dyDescent="0.55000000000000004">
      <c r="A420" s="25" t="s">
        <v>178</v>
      </c>
      <c r="B420" s="25" t="s">
        <v>67</v>
      </c>
      <c r="C420" s="25" t="s">
        <v>67</v>
      </c>
      <c r="D420" s="25" t="s">
        <v>938</v>
      </c>
      <c r="E420" s="25" t="s">
        <v>318</v>
      </c>
      <c r="F420" s="25" t="s">
        <v>318</v>
      </c>
      <c r="G420" s="26" t="s">
        <v>57</v>
      </c>
      <c r="H420" s="25" t="s">
        <v>893</v>
      </c>
      <c r="I420" s="27">
        <v>1</v>
      </c>
      <c r="J420" s="26">
        <v>127</v>
      </c>
      <c r="K420" s="26">
        <v>77</v>
      </c>
      <c r="L420" s="30">
        <v>299</v>
      </c>
      <c r="M420" s="30">
        <v>300</v>
      </c>
      <c r="N420" s="30">
        <v>0</v>
      </c>
      <c r="O420" s="30">
        <v>304</v>
      </c>
      <c r="P420" s="30">
        <v>0</v>
      </c>
      <c r="Q420" s="30">
        <v>300</v>
      </c>
      <c r="R420" s="30">
        <v>149</v>
      </c>
      <c r="S420" s="30">
        <v>144</v>
      </c>
      <c r="T420" s="30">
        <v>154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18">
        <v>0</v>
      </c>
      <c r="AA420" s="18">
        <f>SUMIF([1]SA007!$C:$C,'SA007 2025.01-2026.05 '!$D420,[1]SA007!P:P)</f>
        <v>0</v>
      </c>
      <c r="AB420" s="18">
        <f>SUMIF([1]SA007!$C:$C,'SA007 2025.01-2026.05 '!$D420,[1]SA007!Q:Q)</f>
        <v>0</v>
      </c>
      <c r="AC420" s="19">
        <f t="shared" si="15"/>
        <v>1650</v>
      </c>
      <c r="AD420" s="19">
        <f t="shared" si="16"/>
        <v>97.058823529411768</v>
      </c>
      <c r="AE420" s="29" t="s">
        <v>939</v>
      </c>
      <c r="AG420" s="21">
        <f>SUMIF([1]SO003!$H:$H,'SA007 2025.01-2026.05 '!$D420,[1]SO003!AF:AF)</f>
        <v>0</v>
      </c>
      <c r="AH420" s="21">
        <f>SUMIF([1]SO003!$H:$H,'SA007 2025.01-2026.05 '!$D420,[1]SO003!AH:AH)</f>
        <v>0</v>
      </c>
      <c r="AI420" s="21">
        <f>SUMIF([1]SO003!$H:$H,'SA007 2025.01-2026.05 '!$D420,[1]SO003!AJ:AJ)</f>
        <v>0</v>
      </c>
    </row>
    <row r="421" spans="1:35" x14ac:dyDescent="0.55000000000000004">
      <c r="A421" s="23" t="s">
        <v>219</v>
      </c>
      <c r="D421" s="22" t="s">
        <v>940</v>
      </c>
      <c r="E421" s="2" t="s">
        <v>38</v>
      </c>
      <c r="G421" s="3" t="s">
        <v>57</v>
      </c>
      <c r="H421" s="22" t="s">
        <v>54</v>
      </c>
      <c r="I421" s="17">
        <v>1.2</v>
      </c>
      <c r="J421" s="3">
        <v>167.8</v>
      </c>
      <c r="K421" s="3" t="s">
        <v>41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1955</v>
      </c>
      <c r="U421" s="18">
        <v>4197</v>
      </c>
      <c r="V421" s="18">
        <v>1730</v>
      </c>
      <c r="W421" s="18">
        <v>0</v>
      </c>
      <c r="X421" s="18">
        <v>1167</v>
      </c>
      <c r="Y421" s="18">
        <v>2181</v>
      </c>
      <c r="Z421" s="18">
        <v>0</v>
      </c>
      <c r="AA421" s="18">
        <f>SUMIF([1]SA007!$C:$C,'SA007 2025.01-2026.05 '!$D421,[1]SA007!P:P)</f>
        <v>1236</v>
      </c>
      <c r="AB421" s="18">
        <f>SUMIF([1]SA007!$C:$C,'SA007 2025.01-2026.05 '!$D421,[1]SA007!Q:Q)</f>
        <v>2634</v>
      </c>
      <c r="AC421" s="19">
        <f t="shared" si="15"/>
        <v>15100</v>
      </c>
      <c r="AD421" s="19">
        <f t="shared" si="16"/>
        <v>888.23529411764707</v>
      </c>
      <c r="AG421" s="21">
        <f>SUMIF([1]SO003!$H:$H,'SA007 2025.01-2026.05 '!$D421,[1]SO003!AF:AF)</f>
        <v>0</v>
      </c>
      <c r="AH421" s="21">
        <f>SUMIF([1]SO003!$H:$H,'SA007 2025.01-2026.05 '!$D421,[1]SO003!AH:AH)</f>
        <v>0</v>
      </c>
      <c r="AI421" s="21">
        <f>SUMIF([1]SO003!$H:$H,'SA007 2025.01-2026.05 '!$D421,[1]SO003!AJ:AJ)</f>
        <v>0</v>
      </c>
    </row>
    <row r="422" spans="1:35" x14ac:dyDescent="0.55000000000000004">
      <c r="A422" s="2" t="s">
        <v>178</v>
      </c>
      <c r="D422" s="2" t="s">
        <v>941</v>
      </c>
      <c r="E422" s="2" t="s">
        <v>318</v>
      </c>
      <c r="G422" s="3" t="s">
        <v>57</v>
      </c>
      <c r="H422" s="2" t="s">
        <v>893</v>
      </c>
      <c r="I422" s="17">
        <v>1</v>
      </c>
      <c r="J422" s="3">
        <v>1093</v>
      </c>
      <c r="K422" s="3" t="s">
        <v>942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2228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f>SUMIF([1]SA007!$C:$C,'SA007 2025.01-2026.05 '!$D422,[1]SA007!P:P)</f>
        <v>0</v>
      </c>
      <c r="AB422" s="18">
        <f>SUMIF([1]SA007!$C:$C,'SA007 2025.01-2026.05 '!$D422,[1]SA007!Q:Q)</f>
        <v>0</v>
      </c>
      <c r="AC422" s="19">
        <f t="shared" si="15"/>
        <v>2228</v>
      </c>
      <c r="AD422" s="19">
        <f t="shared" si="16"/>
        <v>131.05882352941177</v>
      </c>
      <c r="AG422" s="21">
        <f>SUMIF([1]SO003!$H:$H,'SA007 2025.01-2026.05 '!$D422,[1]SO003!AF:AF)</f>
        <v>0</v>
      </c>
      <c r="AH422" s="21">
        <f>SUMIF([1]SO003!$H:$H,'SA007 2025.01-2026.05 '!$D422,[1]SO003!AH:AH)</f>
        <v>0</v>
      </c>
      <c r="AI422" s="21">
        <f>SUMIF([1]SO003!$H:$H,'SA007 2025.01-2026.05 '!$D422,[1]SO003!AJ:AJ)</f>
        <v>0</v>
      </c>
    </row>
    <row r="423" spans="1:35" x14ac:dyDescent="0.55000000000000004">
      <c r="A423" s="2" t="s">
        <v>867</v>
      </c>
      <c r="D423" s="22" t="s">
        <v>943</v>
      </c>
      <c r="E423" s="2" t="s">
        <v>185</v>
      </c>
      <c r="G423" s="3" t="s">
        <v>63</v>
      </c>
      <c r="H423" s="22" t="s">
        <v>61</v>
      </c>
      <c r="I423" s="17">
        <v>1.2</v>
      </c>
      <c r="J423" s="3">
        <v>260</v>
      </c>
      <c r="K423" s="3" t="s">
        <v>731</v>
      </c>
      <c r="L423" s="18">
        <v>0</v>
      </c>
      <c r="M423" s="18">
        <v>0</v>
      </c>
      <c r="N423" s="18">
        <v>0</v>
      </c>
      <c r="O423" s="18">
        <v>0</v>
      </c>
      <c r="P423" s="18">
        <v>0</v>
      </c>
      <c r="Q423" s="18">
        <v>0</v>
      </c>
      <c r="R423" s="18">
        <v>0</v>
      </c>
      <c r="S423" s="18">
        <v>0</v>
      </c>
      <c r="T423" s="18">
        <v>1616</v>
      </c>
      <c r="U423" s="18">
        <v>0</v>
      </c>
      <c r="V423" s="18">
        <v>0</v>
      </c>
      <c r="W423" s="18">
        <v>998</v>
      </c>
      <c r="X423" s="18">
        <v>1373</v>
      </c>
      <c r="Y423" s="18">
        <v>0</v>
      </c>
      <c r="Z423" s="18">
        <v>1357</v>
      </c>
      <c r="AA423" s="18">
        <f>SUMIF([1]SA007!$C:$C,'SA007 2025.01-2026.05 '!$D423,[1]SA007!P:P)</f>
        <v>758</v>
      </c>
      <c r="AB423" s="18">
        <f>SUMIF([1]SA007!$C:$C,'SA007 2025.01-2026.05 '!$D423,[1]SA007!Q:Q)</f>
        <v>0</v>
      </c>
      <c r="AC423" s="19">
        <f t="shared" si="15"/>
        <v>6102</v>
      </c>
      <c r="AD423" s="19">
        <f t="shared" si="16"/>
        <v>358.94117647058823</v>
      </c>
      <c r="AG423" s="21">
        <f>SUMIF([1]SO003!$H:$H,'SA007 2025.01-2026.05 '!$D423,[1]SO003!AF:AF)</f>
        <v>1492.7873999999999</v>
      </c>
      <c r="AH423" s="21">
        <f>SUMIF([1]SO003!$H:$H,'SA007 2025.01-2026.05 '!$D423,[1]SO003!AH:AH)</f>
        <v>1516.6719983999999</v>
      </c>
      <c r="AI423" s="21">
        <f>SUMIF([1]SO003!$H:$H,'SA007 2025.01-2026.05 '!$D423,[1]SO003!AJ:AJ)</f>
        <v>0</v>
      </c>
    </row>
    <row r="424" spans="1:35" x14ac:dyDescent="0.55000000000000004">
      <c r="A424" s="2" t="s">
        <v>206</v>
      </c>
      <c r="D424" s="22" t="s">
        <v>944</v>
      </c>
      <c r="E424" s="2" t="s">
        <v>185</v>
      </c>
      <c r="G424" s="3" t="s">
        <v>63</v>
      </c>
      <c r="H424" s="22" t="s">
        <v>61</v>
      </c>
      <c r="I424" s="17">
        <v>1</v>
      </c>
      <c r="J424" s="3">
        <v>52</v>
      </c>
      <c r="K424" s="3" t="s">
        <v>731</v>
      </c>
      <c r="L424" s="18">
        <v>0</v>
      </c>
      <c r="M424" s="18">
        <v>0</v>
      </c>
      <c r="N424" s="18">
        <v>0</v>
      </c>
      <c r="O424" s="18">
        <v>0</v>
      </c>
      <c r="P424" s="18">
        <v>0</v>
      </c>
      <c r="Q424" s="18">
        <v>0</v>
      </c>
      <c r="R424" s="18">
        <v>0</v>
      </c>
      <c r="S424" s="18">
        <v>0</v>
      </c>
      <c r="T424" s="18">
        <v>196</v>
      </c>
      <c r="U424" s="18">
        <v>0</v>
      </c>
      <c r="V424" s="18">
        <v>0</v>
      </c>
      <c r="W424" s="18">
        <v>0</v>
      </c>
      <c r="X424" s="18">
        <v>0</v>
      </c>
      <c r="Y424" s="18">
        <v>0</v>
      </c>
      <c r="Z424" s="18">
        <v>0</v>
      </c>
      <c r="AA424" s="18">
        <f>SUMIF([1]SA007!$C:$C,'SA007 2025.01-2026.05 '!$D424,[1]SA007!P:P)</f>
        <v>0</v>
      </c>
      <c r="AB424" s="18">
        <f>SUMIF([1]SA007!$C:$C,'SA007 2025.01-2026.05 '!$D424,[1]SA007!Q:Q)</f>
        <v>0</v>
      </c>
      <c r="AC424" s="19">
        <f t="shared" si="15"/>
        <v>196</v>
      </c>
      <c r="AD424" s="19">
        <f t="shared" si="16"/>
        <v>11.529411764705882</v>
      </c>
      <c r="AG424" s="21">
        <f>SUMIF([1]SO003!$H:$H,'SA007 2025.01-2026.05 '!$D424,[1]SO003!AF:AF)</f>
        <v>0</v>
      </c>
      <c r="AH424" s="21">
        <f>SUMIF([1]SO003!$H:$H,'SA007 2025.01-2026.05 '!$D424,[1]SO003!AH:AH)</f>
        <v>0</v>
      </c>
      <c r="AI424" s="21">
        <f>SUMIF([1]SO003!$H:$H,'SA007 2025.01-2026.05 '!$D424,[1]SO003!AJ:AJ)</f>
        <v>0</v>
      </c>
    </row>
    <row r="425" spans="1:35" x14ac:dyDescent="0.55000000000000004">
      <c r="A425" s="2" t="s">
        <v>426</v>
      </c>
      <c r="D425" s="22" t="s">
        <v>945</v>
      </c>
      <c r="E425" s="2" t="s">
        <v>946</v>
      </c>
      <c r="G425" s="3" t="s">
        <v>63</v>
      </c>
      <c r="H425" s="22" t="s">
        <v>61</v>
      </c>
      <c r="I425" s="17">
        <v>2.39</v>
      </c>
      <c r="J425" s="3">
        <v>50</v>
      </c>
      <c r="K425" s="3" t="s">
        <v>41</v>
      </c>
      <c r="L425" s="18">
        <v>0</v>
      </c>
      <c r="M425" s="18">
        <v>0</v>
      </c>
      <c r="N425" s="18">
        <v>0</v>
      </c>
      <c r="O425" s="18">
        <v>0</v>
      </c>
      <c r="P425" s="18">
        <v>0</v>
      </c>
      <c r="Q425" s="18">
        <v>0</v>
      </c>
      <c r="R425" s="18">
        <v>0</v>
      </c>
      <c r="S425" s="18">
        <v>0</v>
      </c>
      <c r="T425" s="18">
        <v>311</v>
      </c>
      <c r="U425" s="18">
        <v>0</v>
      </c>
      <c r="V425" s="18">
        <v>205</v>
      </c>
      <c r="W425" s="18">
        <v>0</v>
      </c>
      <c r="X425" s="18">
        <v>148</v>
      </c>
      <c r="Y425" s="18">
        <v>513</v>
      </c>
      <c r="Z425" s="18">
        <v>107</v>
      </c>
      <c r="AA425" s="18">
        <f>SUMIF([1]SA007!$C:$C,'SA007 2025.01-2026.05 '!$D425,[1]SA007!P:P)</f>
        <v>0</v>
      </c>
      <c r="AB425" s="18">
        <f>SUMIF([1]SA007!$C:$C,'SA007 2025.01-2026.05 '!$D425,[1]SA007!Q:Q)</f>
        <v>0</v>
      </c>
      <c r="AC425" s="19">
        <f t="shared" si="15"/>
        <v>1284</v>
      </c>
      <c r="AD425" s="19">
        <f t="shared" si="16"/>
        <v>75.529411764705884</v>
      </c>
      <c r="AG425" s="21">
        <f>SUMIF([1]SO003!$H:$H,'SA007 2025.01-2026.05 '!$D425,[1]SO003!AF:AF)</f>
        <v>0</v>
      </c>
      <c r="AH425" s="21">
        <f>SUMIF([1]SO003!$H:$H,'SA007 2025.01-2026.05 '!$D425,[1]SO003!AH:AH)</f>
        <v>0</v>
      </c>
      <c r="AI425" s="21">
        <f>SUMIF([1]SO003!$H:$H,'SA007 2025.01-2026.05 '!$D425,[1]SO003!AJ:AJ)</f>
        <v>0</v>
      </c>
    </row>
    <row r="426" spans="1:35" x14ac:dyDescent="0.55000000000000004">
      <c r="A426" s="2" t="s">
        <v>389</v>
      </c>
      <c r="D426" s="22" t="s">
        <v>947</v>
      </c>
      <c r="E426" s="2" t="s">
        <v>182</v>
      </c>
      <c r="G426" s="3" t="s">
        <v>47</v>
      </c>
      <c r="H426" s="22" t="s">
        <v>402</v>
      </c>
      <c r="I426" s="17">
        <v>2</v>
      </c>
      <c r="J426" s="3">
        <v>62</v>
      </c>
      <c r="K426" s="3" t="s">
        <v>731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21</v>
      </c>
      <c r="U426" s="18">
        <v>0</v>
      </c>
      <c r="V426" s="18">
        <v>0</v>
      </c>
      <c r="W426" s="18">
        <v>0</v>
      </c>
      <c r="X426" s="18">
        <v>40</v>
      </c>
      <c r="Y426" s="18">
        <v>0</v>
      </c>
      <c r="Z426" s="18">
        <v>0</v>
      </c>
      <c r="AA426" s="18">
        <f>SUMIF([1]SA007!$C:$C,'SA007 2025.01-2026.05 '!$D426,[1]SA007!P:P)</f>
        <v>0</v>
      </c>
      <c r="AB426" s="18">
        <f>SUMIF([1]SA007!$C:$C,'SA007 2025.01-2026.05 '!$D426,[1]SA007!Q:Q)</f>
        <v>0</v>
      </c>
      <c r="AC426" s="19">
        <f t="shared" si="15"/>
        <v>61</v>
      </c>
      <c r="AD426" s="19">
        <f t="shared" si="16"/>
        <v>3.5882352941176472</v>
      </c>
      <c r="AG426" s="21">
        <f>SUMIF([1]SO003!$H:$H,'SA007 2025.01-2026.05 '!$D426,[1]SO003!AF:AF)</f>
        <v>0</v>
      </c>
      <c r="AH426" s="21">
        <f>SUMIF([1]SO003!$H:$H,'SA007 2025.01-2026.05 '!$D426,[1]SO003!AH:AH)</f>
        <v>0</v>
      </c>
      <c r="AI426" s="21">
        <f>SUMIF([1]SO003!$H:$H,'SA007 2025.01-2026.05 '!$D426,[1]SO003!AJ:AJ)</f>
        <v>0</v>
      </c>
    </row>
    <row r="427" spans="1:35" x14ac:dyDescent="0.55000000000000004">
      <c r="A427" s="2" t="s">
        <v>145</v>
      </c>
      <c r="D427" s="2" t="s">
        <v>948</v>
      </c>
      <c r="E427" s="2" t="s">
        <v>38</v>
      </c>
      <c r="G427" s="3" t="s">
        <v>63</v>
      </c>
      <c r="H427" s="2" t="s">
        <v>61</v>
      </c>
      <c r="I427" s="17">
        <v>0.8</v>
      </c>
      <c r="J427" s="3">
        <v>70</v>
      </c>
      <c r="K427" s="3" t="s">
        <v>41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561</v>
      </c>
      <c r="X427" s="18">
        <v>0</v>
      </c>
      <c r="Y427" s="18">
        <v>0</v>
      </c>
      <c r="Z427" s="18">
        <v>0</v>
      </c>
      <c r="AA427" s="18">
        <f>SUMIF([1]SA007!$C:$C,'SA007 2025.01-2026.05 '!$D427,[1]SA007!P:P)</f>
        <v>0</v>
      </c>
      <c r="AB427" s="18">
        <f>SUMIF([1]SA007!$C:$C,'SA007 2025.01-2026.05 '!$D427,[1]SA007!Q:Q)</f>
        <v>0</v>
      </c>
      <c r="AC427" s="19">
        <f t="shared" si="15"/>
        <v>561</v>
      </c>
      <c r="AD427" s="19">
        <f t="shared" si="16"/>
        <v>33</v>
      </c>
      <c r="AG427" s="21">
        <f>SUMIF([1]SO003!$H:$H,'SA007 2025.01-2026.05 '!$D427,[1]SO003!AF:AF)</f>
        <v>500</v>
      </c>
      <c r="AH427" s="21">
        <f>SUMIF([1]SO003!$H:$H,'SA007 2025.01-2026.05 '!$D427,[1]SO003!AH:AH)</f>
        <v>734</v>
      </c>
      <c r="AI427" s="21">
        <f>SUMIF([1]SO003!$H:$H,'SA007 2025.01-2026.05 '!$D427,[1]SO003!AJ:AJ)</f>
        <v>0</v>
      </c>
    </row>
    <row r="428" spans="1:35" x14ac:dyDescent="0.55000000000000004">
      <c r="A428" s="2" t="s">
        <v>629</v>
      </c>
      <c r="D428" s="22" t="s">
        <v>949</v>
      </c>
      <c r="E428" s="2" t="s">
        <v>946</v>
      </c>
      <c r="G428" s="3" t="s">
        <v>63</v>
      </c>
      <c r="H428" s="22" t="s">
        <v>61</v>
      </c>
      <c r="I428" s="17">
        <v>3</v>
      </c>
      <c r="J428" s="3">
        <v>60</v>
      </c>
      <c r="K428" s="3" t="s">
        <v>41</v>
      </c>
      <c r="L428" s="18">
        <v>0</v>
      </c>
      <c r="M428" s="18">
        <v>0</v>
      </c>
      <c r="N428" s="18">
        <v>0</v>
      </c>
      <c r="O428" s="18">
        <v>0</v>
      </c>
      <c r="P428" s="18">
        <v>0</v>
      </c>
      <c r="Q428" s="18">
        <v>0</v>
      </c>
      <c r="R428" s="18">
        <v>0</v>
      </c>
      <c r="S428" s="18">
        <v>0</v>
      </c>
      <c r="T428" s="18">
        <v>1616</v>
      </c>
      <c r="U428" s="18">
        <v>1952</v>
      </c>
      <c r="V428" s="18">
        <v>4717</v>
      </c>
      <c r="W428" s="18">
        <v>2762</v>
      </c>
      <c r="X428" s="18">
        <v>3370</v>
      </c>
      <c r="Y428" s="18">
        <v>1609</v>
      </c>
      <c r="Z428" s="18">
        <v>1871</v>
      </c>
      <c r="AA428" s="18">
        <f>SUMIF([1]SA007!$C:$C,'SA007 2025.01-2026.05 '!$D428,[1]SA007!P:P)</f>
        <v>2423</v>
      </c>
      <c r="AB428" s="18">
        <f>SUMIF([1]SA007!$C:$C,'SA007 2025.01-2026.05 '!$D428,[1]SA007!Q:Q)</f>
        <v>3120</v>
      </c>
      <c r="AC428" s="19">
        <f t="shared" si="15"/>
        <v>23440</v>
      </c>
      <c r="AD428" s="19">
        <f t="shared" si="16"/>
        <v>1378.8235294117646</v>
      </c>
      <c r="AG428" s="21">
        <f>SUMIF([1]SO003!$H:$H,'SA007 2025.01-2026.05 '!$D428,[1]SO003!AF:AF)</f>
        <v>3000</v>
      </c>
      <c r="AH428" s="21">
        <f>SUMIF([1]SO003!$H:$H,'SA007 2025.01-2026.05 '!$D428,[1]SO003!AH:AH)</f>
        <v>1796</v>
      </c>
      <c r="AI428" s="21">
        <f>SUMIF([1]SO003!$H:$H,'SA007 2025.01-2026.05 '!$D428,[1]SO003!AJ:AJ)</f>
        <v>1204</v>
      </c>
    </row>
    <row r="429" spans="1:35" x14ac:dyDescent="0.55000000000000004">
      <c r="A429" s="2" t="s">
        <v>632</v>
      </c>
      <c r="B429" s="2" t="s">
        <v>365</v>
      </c>
      <c r="D429" s="22" t="s">
        <v>950</v>
      </c>
      <c r="E429" s="2" t="s">
        <v>946</v>
      </c>
      <c r="G429" s="3" t="s">
        <v>47</v>
      </c>
      <c r="H429" s="22" t="s">
        <v>951</v>
      </c>
      <c r="I429" s="17">
        <v>4.3499999999999996</v>
      </c>
      <c r="J429" s="3">
        <v>50</v>
      </c>
      <c r="K429" s="3" t="s">
        <v>41</v>
      </c>
      <c r="L429" s="18">
        <v>0</v>
      </c>
      <c r="M429" s="18">
        <v>0</v>
      </c>
      <c r="N429" s="18">
        <v>0</v>
      </c>
      <c r="O429" s="18">
        <v>0</v>
      </c>
      <c r="P429" s="18">
        <v>0</v>
      </c>
      <c r="Q429" s="18">
        <v>0</v>
      </c>
      <c r="R429" s="18">
        <v>0</v>
      </c>
      <c r="S429" s="18">
        <v>0</v>
      </c>
      <c r="T429" s="18">
        <v>5964</v>
      </c>
      <c r="U429" s="18">
        <v>7384</v>
      </c>
      <c r="V429" s="18">
        <v>7714</v>
      </c>
      <c r="W429" s="18">
        <v>7865</v>
      </c>
      <c r="X429" s="18">
        <v>6707</v>
      </c>
      <c r="Y429" s="18">
        <v>5672</v>
      </c>
      <c r="Z429" s="18">
        <v>4122</v>
      </c>
      <c r="AA429" s="18">
        <f>SUMIF([1]SA007!$C:$C,'SA007 2025.01-2026.05 '!$D429,[1]SA007!P:P)</f>
        <v>5305</v>
      </c>
      <c r="AB429" s="18">
        <f>SUMIF([1]SA007!$C:$C,'SA007 2025.01-2026.05 '!$D429,[1]SA007!Q:Q)</f>
        <v>19386</v>
      </c>
      <c r="AC429" s="19">
        <f t="shared" si="15"/>
        <v>70119</v>
      </c>
      <c r="AD429" s="19">
        <f t="shared" si="16"/>
        <v>4124.6470588235297</v>
      </c>
      <c r="AG429" s="21">
        <f>SUMIF([1]SO003!$H:$H,'SA007 2025.01-2026.05 '!$D429,[1]SO003!AF:AF)</f>
        <v>12000</v>
      </c>
      <c r="AH429" s="21">
        <f>SUMIF([1]SO003!$H:$H,'SA007 2025.01-2026.05 '!$D429,[1]SO003!AH:AH)</f>
        <v>11767</v>
      </c>
      <c r="AI429" s="21">
        <f>SUMIF([1]SO003!$H:$H,'SA007 2025.01-2026.05 '!$D429,[1]SO003!AJ:AJ)</f>
        <v>233</v>
      </c>
    </row>
    <row r="430" spans="1:35" x14ac:dyDescent="0.55000000000000004">
      <c r="A430" s="2" t="s">
        <v>724</v>
      </c>
      <c r="D430" s="22" t="s">
        <v>952</v>
      </c>
      <c r="E430" s="2" t="s">
        <v>129</v>
      </c>
      <c r="G430" s="3" t="s">
        <v>47</v>
      </c>
      <c r="H430" s="22" t="s">
        <v>469</v>
      </c>
      <c r="I430" s="17">
        <v>2.2999999999999998</v>
      </c>
      <c r="J430" s="3">
        <v>165</v>
      </c>
      <c r="K430" s="3" t="s">
        <v>953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8">
        <v>0</v>
      </c>
      <c r="R430" s="18">
        <v>0</v>
      </c>
      <c r="S430" s="18">
        <v>0</v>
      </c>
      <c r="T430" s="18">
        <v>293</v>
      </c>
      <c r="U430" s="18">
        <v>0</v>
      </c>
      <c r="V430" s="18">
        <v>0</v>
      </c>
      <c r="W430" s="18">
        <v>0</v>
      </c>
      <c r="X430" s="18">
        <v>241</v>
      </c>
      <c r="Y430" s="18">
        <v>834</v>
      </c>
      <c r="Z430" s="18">
        <v>0</v>
      </c>
      <c r="AA430" s="18">
        <f>SUMIF([1]SA007!$C:$C,'SA007 2025.01-2026.05 '!$D430,[1]SA007!P:P)</f>
        <v>0</v>
      </c>
      <c r="AB430" s="18">
        <f>SUMIF([1]SA007!$C:$C,'SA007 2025.01-2026.05 '!$D430,[1]SA007!Q:Q)</f>
        <v>0</v>
      </c>
      <c r="AC430" s="19">
        <f t="shared" si="15"/>
        <v>1368</v>
      </c>
      <c r="AD430" s="19">
        <f t="shared" si="16"/>
        <v>80.470588235294116</v>
      </c>
      <c r="AG430" s="21">
        <f>SUMIF([1]SO003!$H:$H,'SA007 2025.01-2026.05 '!$D430,[1]SO003!AF:AF)</f>
        <v>0</v>
      </c>
      <c r="AH430" s="21">
        <f>SUMIF([1]SO003!$H:$H,'SA007 2025.01-2026.05 '!$D430,[1]SO003!AH:AH)</f>
        <v>0</v>
      </c>
      <c r="AI430" s="21">
        <f>SUMIF([1]SO003!$H:$H,'SA007 2025.01-2026.05 '!$D430,[1]SO003!AJ:AJ)</f>
        <v>0</v>
      </c>
    </row>
    <row r="431" spans="1:35" x14ac:dyDescent="0.55000000000000004">
      <c r="A431" s="2" t="s">
        <v>794</v>
      </c>
      <c r="D431" s="2" t="s">
        <v>954</v>
      </c>
      <c r="E431" s="2" t="s">
        <v>370</v>
      </c>
      <c r="G431" s="3" t="s">
        <v>57</v>
      </c>
      <c r="H431" s="2" t="s">
        <v>158</v>
      </c>
      <c r="I431" s="17">
        <v>1.6</v>
      </c>
      <c r="J431" s="3">
        <v>1210</v>
      </c>
      <c r="K431" s="3" t="s">
        <v>762</v>
      </c>
      <c r="L431" s="18">
        <v>0</v>
      </c>
      <c r="M431" s="18">
        <v>0</v>
      </c>
      <c r="N431" s="18">
        <v>0</v>
      </c>
      <c r="O431" s="18">
        <v>0</v>
      </c>
      <c r="P431" s="18">
        <v>150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f>SUMIF([1]SA007!$C:$C,'SA007 2025.01-2026.05 '!$D431,[1]SA007!P:P)</f>
        <v>0</v>
      </c>
      <c r="AB431" s="18">
        <f>SUMIF([1]SA007!$C:$C,'SA007 2025.01-2026.05 '!$D431,[1]SA007!Q:Q)</f>
        <v>0</v>
      </c>
      <c r="AC431" s="19">
        <f t="shared" si="15"/>
        <v>150</v>
      </c>
      <c r="AD431" s="19">
        <f t="shared" si="16"/>
        <v>8.8235294117647065</v>
      </c>
      <c r="AG431" s="21">
        <f>SUMIF([1]SO003!$H:$H,'SA007 2025.01-2026.05 '!$D431,[1]SO003!AF:AF)</f>
        <v>0</v>
      </c>
      <c r="AH431" s="21">
        <f>SUMIF([1]SO003!$H:$H,'SA007 2025.01-2026.05 '!$D431,[1]SO003!AH:AH)</f>
        <v>0</v>
      </c>
      <c r="AI431" s="21">
        <f>SUMIF([1]SO003!$H:$H,'SA007 2025.01-2026.05 '!$D431,[1]SO003!AJ:AJ)</f>
        <v>0</v>
      </c>
    </row>
    <row r="432" spans="1:35" x14ac:dyDescent="0.55000000000000004">
      <c r="A432" s="2" t="s">
        <v>794</v>
      </c>
      <c r="B432" s="2" t="s">
        <v>67</v>
      </c>
      <c r="C432" s="2" t="s">
        <v>67</v>
      </c>
      <c r="D432" s="2" t="s">
        <v>955</v>
      </c>
      <c r="E432" s="2" t="s">
        <v>249</v>
      </c>
      <c r="F432" s="2" t="s">
        <v>249</v>
      </c>
      <c r="G432" s="3" t="s">
        <v>57</v>
      </c>
      <c r="H432" s="2" t="s">
        <v>67</v>
      </c>
      <c r="I432" s="17">
        <v>1.6</v>
      </c>
      <c r="J432" s="3">
        <v>43.8</v>
      </c>
      <c r="K432" s="3">
        <v>593</v>
      </c>
      <c r="L432" s="18">
        <v>18</v>
      </c>
      <c r="M432" s="18">
        <v>0</v>
      </c>
      <c r="N432" s="18">
        <v>51</v>
      </c>
      <c r="O432" s="18">
        <v>0</v>
      </c>
      <c r="P432" s="18">
        <v>68</v>
      </c>
      <c r="Q432" s="18">
        <v>0</v>
      </c>
      <c r="R432" s="18">
        <v>0</v>
      </c>
      <c r="S432" s="18">
        <v>63</v>
      </c>
      <c r="T432" s="18">
        <v>0</v>
      </c>
      <c r="U432" s="18">
        <v>121</v>
      </c>
      <c r="V432" s="18">
        <v>64</v>
      </c>
      <c r="W432" s="18">
        <v>0</v>
      </c>
      <c r="X432" s="18">
        <v>0</v>
      </c>
      <c r="Y432" s="18">
        <v>0</v>
      </c>
      <c r="Z432" s="18">
        <v>77</v>
      </c>
      <c r="AA432" s="18">
        <f>SUMIF([1]SA007!$C:$C,'SA007 2025.01-2026.05 '!$D432,[1]SA007!P:P)</f>
        <v>63</v>
      </c>
      <c r="AB432" s="18">
        <f>SUMIF([1]SA007!$C:$C,'SA007 2025.01-2026.05 '!$D432,[1]SA007!Q:Q)</f>
        <v>0</v>
      </c>
      <c r="AC432" s="19">
        <f t="shared" si="15"/>
        <v>525</v>
      </c>
      <c r="AD432" s="19">
        <f t="shared" si="16"/>
        <v>30.882352941176471</v>
      </c>
      <c r="AE432" s="20" t="s">
        <v>821</v>
      </c>
      <c r="AG432" s="21">
        <f>SUMIF([1]SO003!$H:$H,'SA007 2025.01-2026.05 '!$D432,[1]SO003!AF:AF)</f>
        <v>0</v>
      </c>
      <c r="AH432" s="21">
        <f>SUMIF([1]SO003!$H:$H,'SA007 2025.01-2026.05 '!$D432,[1]SO003!AH:AH)</f>
        <v>0</v>
      </c>
      <c r="AI432" s="21">
        <f>SUMIF([1]SO003!$H:$H,'SA007 2025.01-2026.05 '!$D432,[1]SO003!AJ:AJ)</f>
        <v>0</v>
      </c>
    </row>
    <row r="433" spans="1:35" x14ac:dyDescent="0.55000000000000004">
      <c r="A433" s="2" t="s">
        <v>956</v>
      </c>
      <c r="D433" s="2" t="s">
        <v>957</v>
      </c>
      <c r="E433" s="2" t="s">
        <v>240</v>
      </c>
      <c r="G433" s="3" t="s">
        <v>57</v>
      </c>
      <c r="H433" s="2" t="s">
        <v>54</v>
      </c>
      <c r="I433" s="17">
        <v>1.5</v>
      </c>
      <c r="J433" s="3">
        <v>155</v>
      </c>
      <c r="K433" s="3" t="s">
        <v>41</v>
      </c>
      <c r="L433" s="18">
        <v>0</v>
      </c>
      <c r="M433" s="18">
        <v>0</v>
      </c>
      <c r="N433" s="18">
        <v>0</v>
      </c>
      <c r="O433" s="18">
        <v>0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1038</v>
      </c>
      <c r="V433" s="18">
        <v>0</v>
      </c>
      <c r="W433" s="18">
        <v>0</v>
      </c>
      <c r="X433" s="18">
        <v>0</v>
      </c>
      <c r="Y433" s="18">
        <v>149</v>
      </c>
      <c r="Z433" s="18">
        <v>0</v>
      </c>
      <c r="AA433" s="18">
        <f>SUMIF([1]SA007!$C:$C,'SA007 2025.01-2026.05 '!$D433,[1]SA007!P:P)</f>
        <v>0</v>
      </c>
      <c r="AB433" s="18">
        <f>SUMIF([1]SA007!$C:$C,'SA007 2025.01-2026.05 '!$D433,[1]SA007!Q:Q)</f>
        <v>0</v>
      </c>
      <c r="AC433" s="19">
        <f t="shared" si="15"/>
        <v>1187</v>
      </c>
      <c r="AD433" s="19">
        <f t="shared" si="16"/>
        <v>69.82352941176471</v>
      </c>
      <c r="AG433" s="21">
        <f>SUMIF([1]SO003!$H:$H,'SA007 2025.01-2026.05 '!$D433,[1]SO003!AF:AF)</f>
        <v>0</v>
      </c>
      <c r="AH433" s="21">
        <f>SUMIF([1]SO003!$H:$H,'SA007 2025.01-2026.05 '!$D433,[1]SO003!AH:AH)</f>
        <v>0</v>
      </c>
      <c r="AI433" s="21">
        <f>SUMIF([1]SO003!$H:$H,'SA007 2025.01-2026.05 '!$D433,[1]SO003!AJ:AJ)</f>
        <v>0</v>
      </c>
    </row>
    <row r="434" spans="1:35" x14ac:dyDescent="0.55000000000000004">
      <c r="A434" s="2" t="s">
        <v>956</v>
      </c>
      <c r="D434" s="2" t="s">
        <v>958</v>
      </c>
      <c r="E434" s="2" t="s">
        <v>240</v>
      </c>
      <c r="G434" s="3" t="s">
        <v>57</v>
      </c>
      <c r="H434" s="2" t="s">
        <v>959</v>
      </c>
      <c r="I434" s="17">
        <v>1.5</v>
      </c>
      <c r="J434" s="3">
        <v>175</v>
      </c>
      <c r="K434" s="3" t="s">
        <v>41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>
        <v>0</v>
      </c>
      <c r="U434" s="18">
        <v>1096</v>
      </c>
      <c r="V434" s="18">
        <v>0</v>
      </c>
      <c r="W434" s="18">
        <v>0</v>
      </c>
      <c r="X434" s="18">
        <v>0</v>
      </c>
      <c r="Y434" s="18">
        <v>371</v>
      </c>
      <c r="Z434" s="18">
        <v>0</v>
      </c>
      <c r="AA434" s="18">
        <f>SUMIF([1]SA007!$C:$C,'SA007 2025.01-2026.05 '!$D434,[1]SA007!P:P)</f>
        <v>0</v>
      </c>
      <c r="AB434" s="18">
        <f>SUMIF([1]SA007!$C:$C,'SA007 2025.01-2026.05 '!$D434,[1]SA007!Q:Q)</f>
        <v>0</v>
      </c>
      <c r="AC434" s="19">
        <f t="shared" si="15"/>
        <v>1467</v>
      </c>
      <c r="AD434" s="19">
        <f t="shared" si="16"/>
        <v>86.294117647058826</v>
      </c>
      <c r="AG434" s="21">
        <f>SUMIF([1]SO003!$H:$H,'SA007 2025.01-2026.05 '!$D434,[1]SO003!AF:AF)</f>
        <v>0</v>
      </c>
      <c r="AH434" s="21">
        <f>SUMIF([1]SO003!$H:$H,'SA007 2025.01-2026.05 '!$D434,[1]SO003!AH:AH)</f>
        <v>0</v>
      </c>
      <c r="AI434" s="21">
        <f>SUMIF([1]SO003!$H:$H,'SA007 2025.01-2026.05 '!$D434,[1]SO003!AJ:AJ)</f>
        <v>0</v>
      </c>
    </row>
    <row r="435" spans="1:35" x14ac:dyDescent="0.55000000000000004">
      <c r="A435" s="2" t="s">
        <v>82</v>
      </c>
      <c r="D435" s="2" t="s">
        <v>960</v>
      </c>
      <c r="E435" s="2" t="s">
        <v>234</v>
      </c>
      <c r="G435" s="3" t="s">
        <v>39</v>
      </c>
      <c r="H435" s="2" t="s">
        <v>78</v>
      </c>
      <c r="I435" s="17">
        <v>1</v>
      </c>
      <c r="J435" s="3">
        <v>61</v>
      </c>
      <c r="K435" s="3" t="s">
        <v>41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f>SUMIF([1]SA007!$C:$C,'SA007 2025.01-2026.05 '!$D435,[1]SA007!P:P)</f>
        <v>0</v>
      </c>
      <c r="AB435" s="18">
        <f>SUMIF([1]SA007!$C:$C,'SA007 2025.01-2026.05 '!$D435,[1]SA007!Q:Q)</f>
        <v>0</v>
      </c>
      <c r="AC435" s="19">
        <f t="shared" si="15"/>
        <v>0</v>
      </c>
      <c r="AD435" s="19">
        <f t="shared" si="16"/>
        <v>0</v>
      </c>
      <c r="AG435" s="21">
        <f>SUMIF([1]SO003!$H:$H,'SA007 2025.01-2026.05 '!$D435,[1]SO003!AF:AF)</f>
        <v>0</v>
      </c>
      <c r="AH435" s="21">
        <f>SUMIF([1]SO003!$H:$H,'SA007 2025.01-2026.05 '!$D435,[1]SO003!AH:AH)</f>
        <v>0</v>
      </c>
      <c r="AI435" s="21">
        <f>SUMIF([1]SO003!$H:$H,'SA007 2025.01-2026.05 '!$D435,[1]SO003!AJ:AJ)</f>
        <v>0</v>
      </c>
    </row>
    <row r="436" spans="1:35" x14ac:dyDescent="0.55000000000000004">
      <c r="A436" s="2" t="s">
        <v>794</v>
      </c>
      <c r="B436" s="2" t="s">
        <v>67</v>
      </c>
      <c r="C436" s="2" t="s">
        <v>67</v>
      </c>
      <c r="D436" s="2" t="s">
        <v>961</v>
      </c>
      <c r="E436" s="2" t="s">
        <v>249</v>
      </c>
      <c r="F436" s="2" t="s">
        <v>249</v>
      </c>
      <c r="G436" s="3" t="s">
        <v>57</v>
      </c>
      <c r="H436" s="2" t="s">
        <v>67</v>
      </c>
      <c r="I436" s="17">
        <v>1.6</v>
      </c>
      <c r="J436" s="3">
        <v>43.8</v>
      </c>
      <c r="K436" s="3">
        <v>627</v>
      </c>
      <c r="L436" s="18">
        <v>68</v>
      </c>
      <c r="M436" s="18">
        <v>0</v>
      </c>
      <c r="N436" s="18">
        <v>0</v>
      </c>
      <c r="O436" s="18">
        <v>0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69</v>
      </c>
      <c r="W436" s="18">
        <v>0</v>
      </c>
      <c r="X436" s="18">
        <v>0</v>
      </c>
      <c r="Y436" s="18">
        <v>34</v>
      </c>
      <c r="Z436" s="18">
        <v>17</v>
      </c>
      <c r="AA436" s="18">
        <f>SUMIF([1]SA007!$C:$C,'SA007 2025.01-2026.05 '!$D436,[1]SA007!P:P)</f>
        <v>68</v>
      </c>
      <c r="AB436" s="18">
        <f>SUMIF([1]SA007!$C:$C,'SA007 2025.01-2026.05 '!$D436,[1]SA007!Q:Q)</f>
        <v>0</v>
      </c>
      <c r="AC436" s="19">
        <f t="shared" si="15"/>
        <v>256</v>
      </c>
      <c r="AD436" s="19">
        <f t="shared" si="16"/>
        <v>15.058823529411764</v>
      </c>
      <c r="AE436" s="20" t="s">
        <v>821</v>
      </c>
      <c r="AG436" s="21">
        <f>SUMIF([1]SO003!$H:$H,'SA007 2025.01-2026.05 '!$D436,[1]SO003!AF:AF)</f>
        <v>68.986051200000006</v>
      </c>
      <c r="AH436" s="21">
        <f>SUMIF([1]SO003!$H:$H,'SA007 2025.01-2026.05 '!$D436,[1]SO003!AH:AH)</f>
        <v>68.986051200000006</v>
      </c>
      <c r="AI436" s="21">
        <f>SUMIF([1]SO003!$H:$H,'SA007 2025.01-2026.05 '!$D436,[1]SO003!AJ:AJ)</f>
        <v>0</v>
      </c>
    </row>
    <row r="437" spans="1:35" x14ac:dyDescent="0.55000000000000004">
      <c r="A437" s="2" t="s">
        <v>794</v>
      </c>
      <c r="B437" s="2" t="s">
        <v>67</v>
      </c>
      <c r="C437" s="2" t="s">
        <v>67</v>
      </c>
      <c r="D437" s="2" t="s">
        <v>962</v>
      </c>
      <c r="E437" s="2" t="s">
        <v>249</v>
      </c>
      <c r="F437" s="2" t="s">
        <v>249</v>
      </c>
      <c r="G437" s="3" t="s">
        <v>57</v>
      </c>
      <c r="H437" s="2" t="s">
        <v>67</v>
      </c>
      <c r="I437" s="17">
        <v>1.6</v>
      </c>
      <c r="J437" s="3">
        <v>43.8</v>
      </c>
      <c r="K437" s="3">
        <v>745</v>
      </c>
      <c r="L437" s="18">
        <v>324</v>
      </c>
      <c r="M437" s="18">
        <v>0</v>
      </c>
      <c r="N437" s="18">
        <v>320</v>
      </c>
      <c r="O437" s="18">
        <v>0</v>
      </c>
      <c r="P437" s="18">
        <v>0</v>
      </c>
      <c r="Q437" s="18">
        <v>0</v>
      </c>
      <c r="R437" s="18">
        <v>0</v>
      </c>
      <c r="S437" s="18">
        <v>363</v>
      </c>
      <c r="T437" s="18">
        <v>328</v>
      </c>
      <c r="U437" s="18">
        <v>0</v>
      </c>
      <c r="V437" s="18">
        <v>0</v>
      </c>
      <c r="W437" s="18">
        <v>83</v>
      </c>
      <c r="X437" s="18">
        <v>248</v>
      </c>
      <c r="Y437" s="18">
        <v>246</v>
      </c>
      <c r="Z437" s="18">
        <v>120</v>
      </c>
      <c r="AA437" s="18">
        <f>SUMIF([1]SA007!$C:$C,'SA007 2025.01-2026.05 '!$D437,[1]SA007!P:P)</f>
        <v>240</v>
      </c>
      <c r="AB437" s="18">
        <f>SUMIF([1]SA007!$C:$C,'SA007 2025.01-2026.05 '!$D437,[1]SA007!Q:Q)</f>
        <v>240</v>
      </c>
      <c r="AC437" s="19">
        <f t="shared" si="15"/>
        <v>2512</v>
      </c>
      <c r="AD437" s="19">
        <f t="shared" si="16"/>
        <v>147.76470588235293</v>
      </c>
      <c r="AE437" s="20" t="s">
        <v>821</v>
      </c>
      <c r="AG437" s="21">
        <f>SUMIF([1]SO003!$H:$H,'SA007 2025.01-2026.05 '!$D437,[1]SO003!AF:AF)</f>
        <v>163.93814400000002</v>
      </c>
      <c r="AH437" s="21">
        <f>SUMIF([1]SO003!$H:$H,'SA007 2025.01-2026.05 '!$D437,[1]SO003!AH:AH)</f>
        <v>491.81443200000007</v>
      </c>
      <c r="AI437" s="21">
        <f>SUMIF([1]SO003!$H:$H,'SA007 2025.01-2026.05 '!$D437,[1]SO003!AJ:AJ)</f>
        <v>0</v>
      </c>
    </row>
    <row r="438" spans="1:35" x14ac:dyDescent="0.55000000000000004">
      <c r="A438" s="2" t="s">
        <v>433</v>
      </c>
      <c r="D438" s="2" t="s">
        <v>963</v>
      </c>
      <c r="E438" s="2" t="s">
        <v>182</v>
      </c>
      <c r="G438" s="3" t="s">
        <v>47</v>
      </c>
      <c r="H438" s="2" t="s">
        <v>213</v>
      </c>
      <c r="I438" s="17">
        <v>2.6</v>
      </c>
      <c r="J438" s="3">
        <v>139</v>
      </c>
      <c r="K438" s="3" t="s">
        <v>819</v>
      </c>
      <c r="L438" s="18">
        <v>0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153</v>
      </c>
      <c r="W438" s="18">
        <v>0</v>
      </c>
      <c r="X438" s="18">
        <v>0</v>
      </c>
      <c r="Y438" s="18">
        <v>0</v>
      </c>
      <c r="Z438" s="18">
        <v>0</v>
      </c>
      <c r="AA438" s="18">
        <f>SUMIF([1]SA007!$C:$C,'SA007 2025.01-2026.05 '!$D438,[1]SA007!P:P)</f>
        <v>0</v>
      </c>
      <c r="AB438" s="18">
        <f>SUMIF([1]SA007!$C:$C,'SA007 2025.01-2026.05 '!$D438,[1]SA007!Q:Q)</f>
        <v>0</v>
      </c>
      <c r="AC438" s="19">
        <f t="shared" si="15"/>
        <v>153</v>
      </c>
      <c r="AD438" s="19">
        <f t="shared" si="16"/>
        <v>9</v>
      </c>
      <c r="AG438" s="21">
        <f>SUMIF([1]SO003!$H:$H,'SA007 2025.01-2026.05 '!$D438,[1]SO003!AF:AF)</f>
        <v>0</v>
      </c>
      <c r="AH438" s="21">
        <f>SUMIF([1]SO003!$H:$H,'SA007 2025.01-2026.05 '!$D438,[1]SO003!AH:AH)</f>
        <v>0</v>
      </c>
      <c r="AI438" s="21">
        <f>SUMIF([1]SO003!$H:$H,'SA007 2025.01-2026.05 '!$D438,[1]SO003!AJ:AJ)</f>
        <v>0</v>
      </c>
    </row>
    <row r="439" spans="1:35" x14ac:dyDescent="0.55000000000000004">
      <c r="A439" s="2" t="s">
        <v>178</v>
      </c>
      <c r="D439" s="2" t="s">
        <v>964</v>
      </c>
      <c r="E439" s="2" t="s">
        <v>182</v>
      </c>
      <c r="G439" s="3" t="s">
        <v>57</v>
      </c>
      <c r="H439" s="2" t="s">
        <v>218</v>
      </c>
      <c r="I439" s="17">
        <v>1</v>
      </c>
      <c r="J439" s="3">
        <v>210</v>
      </c>
      <c r="K439" s="3" t="s">
        <v>965</v>
      </c>
      <c r="L439" s="18">
        <v>0</v>
      </c>
      <c r="M439" s="18">
        <v>0</v>
      </c>
      <c r="N439" s="18">
        <v>0</v>
      </c>
      <c r="O439" s="18">
        <v>0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604</v>
      </c>
      <c r="V439" s="18">
        <v>0</v>
      </c>
      <c r="W439" s="18">
        <v>0</v>
      </c>
      <c r="X439" s="18">
        <v>0</v>
      </c>
      <c r="Y439" s="18">
        <v>1395</v>
      </c>
      <c r="Z439" s="18">
        <v>0</v>
      </c>
      <c r="AA439" s="18">
        <f>SUMIF([1]SA007!$C:$C,'SA007 2025.01-2026.05 '!$D439,[1]SA007!P:P)</f>
        <v>456</v>
      </c>
      <c r="AB439" s="18">
        <f>SUMIF([1]SA007!$C:$C,'SA007 2025.01-2026.05 '!$D439,[1]SA007!Q:Q)</f>
        <v>0</v>
      </c>
      <c r="AC439" s="19">
        <f t="shared" si="15"/>
        <v>2455</v>
      </c>
      <c r="AD439" s="19">
        <f t="shared" si="16"/>
        <v>144.41176470588235</v>
      </c>
      <c r="AG439" s="21">
        <f>SUMIF([1]SO003!$H:$H,'SA007 2025.01-2026.05 '!$D439,[1]SO003!AF:AF)</f>
        <v>0</v>
      </c>
      <c r="AH439" s="21">
        <f>SUMIF([1]SO003!$H:$H,'SA007 2025.01-2026.05 '!$D439,[1]SO003!AH:AH)</f>
        <v>0</v>
      </c>
      <c r="AI439" s="21">
        <f>SUMIF([1]SO003!$H:$H,'SA007 2025.01-2026.05 '!$D439,[1]SO003!AJ:AJ)</f>
        <v>0</v>
      </c>
    </row>
    <row r="440" spans="1:35" x14ac:dyDescent="0.55000000000000004">
      <c r="A440" s="2" t="s">
        <v>178</v>
      </c>
      <c r="D440" s="2" t="s">
        <v>966</v>
      </c>
      <c r="E440" s="2" t="s">
        <v>182</v>
      </c>
      <c r="G440" s="3" t="s">
        <v>57</v>
      </c>
      <c r="H440" s="2" t="s">
        <v>160</v>
      </c>
      <c r="I440" s="17">
        <v>1</v>
      </c>
      <c r="J440" s="3">
        <v>180</v>
      </c>
      <c r="K440" s="3" t="s">
        <v>967</v>
      </c>
      <c r="L440" s="18">
        <v>0</v>
      </c>
      <c r="M440" s="18">
        <v>0</v>
      </c>
      <c r="N440" s="18">
        <v>0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367</v>
      </c>
      <c r="V440" s="18">
        <v>0</v>
      </c>
      <c r="W440" s="18">
        <v>0</v>
      </c>
      <c r="X440" s="18">
        <v>0</v>
      </c>
      <c r="Y440" s="18">
        <v>1036</v>
      </c>
      <c r="Z440" s="18">
        <v>0</v>
      </c>
      <c r="AA440" s="18">
        <f>SUMIF([1]SA007!$C:$C,'SA007 2025.01-2026.05 '!$D440,[1]SA007!P:P)</f>
        <v>343</v>
      </c>
      <c r="AB440" s="18">
        <f>SUMIF([1]SA007!$C:$C,'SA007 2025.01-2026.05 '!$D440,[1]SA007!Q:Q)</f>
        <v>0</v>
      </c>
      <c r="AC440" s="19">
        <f t="shared" si="15"/>
        <v>1746</v>
      </c>
      <c r="AD440" s="19">
        <f t="shared" si="16"/>
        <v>102.70588235294117</v>
      </c>
      <c r="AG440" s="21">
        <f>SUMIF([1]SO003!$H:$H,'SA007 2025.01-2026.05 '!$D440,[1]SO003!AF:AF)</f>
        <v>0</v>
      </c>
      <c r="AH440" s="21">
        <f>SUMIF([1]SO003!$H:$H,'SA007 2025.01-2026.05 '!$D440,[1]SO003!AH:AH)</f>
        <v>0</v>
      </c>
      <c r="AI440" s="21">
        <f>SUMIF([1]SO003!$H:$H,'SA007 2025.01-2026.05 '!$D440,[1]SO003!AJ:AJ)</f>
        <v>0</v>
      </c>
    </row>
    <row r="441" spans="1:35" x14ac:dyDescent="0.55000000000000004">
      <c r="A441" s="2" t="s">
        <v>178</v>
      </c>
      <c r="D441" s="2" t="s">
        <v>968</v>
      </c>
      <c r="E441" s="2" t="s">
        <v>182</v>
      </c>
      <c r="G441" s="3" t="s">
        <v>57</v>
      </c>
      <c r="H441" s="2" t="s">
        <v>160</v>
      </c>
      <c r="I441" s="17">
        <v>1</v>
      </c>
      <c r="J441" s="3">
        <v>186</v>
      </c>
      <c r="K441" s="3" t="s">
        <v>183</v>
      </c>
      <c r="L441" s="18">
        <v>0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1499</v>
      </c>
      <c r="V441" s="18">
        <v>0</v>
      </c>
      <c r="W441" s="18">
        <v>641</v>
      </c>
      <c r="X441" s="18">
        <v>2330</v>
      </c>
      <c r="Y441" s="18">
        <v>1952</v>
      </c>
      <c r="Z441" s="18">
        <v>0</v>
      </c>
      <c r="AA441" s="18">
        <f>SUMIF([1]SA007!$C:$C,'SA007 2025.01-2026.05 '!$D441,[1]SA007!P:P)</f>
        <v>0</v>
      </c>
      <c r="AB441" s="18">
        <f>SUMIF([1]SA007!$C:$C,'SA007 2025.01-2026.05 '!$D441,[1]SA007!Q:Q)</f>
        <v>0</v>
      </c>
      <c r="AC441" s="19">
        <f t="shared" si="15"/>
        <v>6422</v>
      </c>
      <c r="AD441" s="19">
        <f t="shared" si="16"/>
        <v>377.76470588235293</v>
      </c>
      <c r="AG441" s="21">
        <f>SUMIF([1]SO003!$H:$H,'SA007 2025.01-2026.05 '!$D441,[1]SO003!AF:AF)</f>
        <v>0</v>
      </c>
      <c r="AH441" s="21">
        <f>SUMIF([1]SO003!$H:$H,'SA007 2025.01-2026.05 '!$D441,[1]SO003!AH:AH)</f>
        <v>0</v>
      </c>
      <c r="AI441" s="21">
        <f>SUMIF([1]SO003!$H:$H,'SA007 2025.01-2026.05 '!$D441,[1]SO003!AJ:AJ)</f>
        <v>0</v>
      </c>
    </row>
    <row r="442" spans="1:35" x14ac:dyDescent="0.55000000000000004">
      <c r="A442" s="2" t="s">
        <v>198</v>
      </c>
      <c r="D442" s="2" t="s">
        <v>969</v>
      </c>
      <c r="E442" s="2" t="s">
        <v>182</v>
      </c>
      <c r="G442" s="3" t="s">
        <v>63</v>
      </c>
      <c r="H442" s="2" t="s">
        <v>682</v>
      </c>
      <c r="I442" s="17">
        <v>1</v>
      </c>
      <c r="J442" s="3">
        <v>50</v>
      </c>
      <c r="K442" s="3" t="s">
        <v>970</v>
      </c>
      <c r="L442" s="18">
        <v>0</v>
      </c>
      <c r="M442" s="18">
        <v>0</v>
      </c>
      <c r="N442" s="18">
        <v>0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18">
        <v>0</v>
      </c>
      <c r="U442" s="18">
        <v>100</v>
      </c>
      <c r="V442" s="18">
        <v>0</v>
      </c>
      <c r="W442" s="18">
        <v>0</v>
      </c>
      <c r="X442" s="18">
        <v>0</v>
      </c>
      <c r="Y442" s="18">
        <v>0</v>
      </c>
      <c r="Z442" s="18">
        <v>0</v>
      </c>
      <c r="AA442" s="18">
        <f>SUMIF([1]SA007!$C:$C,'SA007 2025.01-2026.05 '!$D442,[1]SA007!P:P)</f>
        <v>0</v>
      </c>
      <c r="AB442" s="18">
        <f>SUMIF([1]SA007!$C:$C,'SA007 2025.01-2026.05 '!$D442,[1]SA007!Q:Q)</f>
        <v>0</v>
      </c>
      <c r="AC442" s="19">
        <f t="shared" si="15"/>
        <v>100</v>
      </c>
      <c r="AD442" s="19">
        <f t="shared" si="16"/>
        <v>5.882352941176471</v>
      </c>
      <c r="AG442" s="21">
        <f>SUMIF([1]SO003!$H:$H,'SA007 2025.01-2026.05 '!$D442,[1]SO003!AF:AF)</f>
        <v>0</v>
      </c>
      <c r="AH442" s="21">
        <f>SUMIF([1]SO003!$H:$H,'SA007 2025.01-2026.05 '!$D442,[1]SO003!AH:AH)</f>
        <v>0</v>
      </c>
      <c r="AI442" s="21">
        <f>SUMIF([1]SO003!$H:$H,'SA007 2025.01-2026.05 '!$D442,[1]SO003!AJ:AJ)</f>
        <v>0</v>
      </c>
    </row>
    <row r="443" spans="1:35" x14ac:dyDescent="0.55000000000000004">
      <c r="A443" s="2" t="s">
        <v>794</v>
      </c>
      <c r="B443" s="2" t="s">
        <v>67</v>
      </c>
      <c r="C443" s="2" t="s">
        <v>67</v>
      </c>
      <c r="D443" s="2" t="s">
        <v>971</v>
      </c>
      <c r="E443" s="2" t="s">
        <v>249</v>
      </c>
      <c r="F443" s="2" t="s">
        <v>249</v>
      </c>
      <c r="G443" s="3" t="s">
        <v>57</v>
      </c>
      <c r="H443" s="2" t="s">
        <v>67</v>
      </c>
      <c r="I443" s="17">
        <v>1.6</v>
      </c>
      <c r="J443" s="3">
        <v>43.8</v>
      </c>
      <c r="K443" s="3">
        <v>820</v>
      </c>
      <c r="L443" s="18">
        <v>267</v>
      </c>
      <c r="M443" s="18">
        <v>0</v>
      </c>
      <c r="N443" s="18">
        <v>438</v>
      </c>
      <c r="O443" s="18">
        <v>173</v>
      </c>
      <c r="P443" s="18">
        <v>87</v>
      </c>
      <c r="Q443" s="18">
        <v>0</v>
      </c>
      <c r="R443" s="18">
        <v>91</v>
      </c>
      <c r="S443" s="18">
        <v>0</v>
      </c>
      <c r="T443" s="18">
        <v>177</v>
      </c>
      <c r="U443" s="18">
        <v>0</v>
      </c>
      <c r="V443" s="18">
        <v>0</v>
      </c>
      <c r="W443" s="18">
        <v>890</v>
      </c>
      <c r="X443" s="18">
        <v>884</v>
      </c>
      <c r="Y443" s="18">
        <v>1084</v>
      </c>
      <c r="Z443" s="18">
        <v>432</v>
      </c>
      <c r="AA443" s="18">
        <f>SUMIF([1]SA007!$C:$C,'SA007 2025.01-2026.05 '!$D443,[1]SA007!P:P)</f>
        <v>715</v>
      </c>
      <c r="AB443" s="18">
        <f>SUMIF([1]SA007!$C:$C,'SA007 2025.01-2026.05 '!$D443,[1]SA007!Q:Q)</f>
        <v>521</v>
      </c>
      <c r="AC443" s="19">
        <f t="shared" si="15"/>
        <v>5759</v>
      </c>
      <c r="AD443" s="19">
        <f t="shared" si="16"/>
        <v>338.76470588235293</v>
      </c>
      <c r="AE443" s="20" t="s">
        <v>821</v>
      </c>
      <c r="AG443" s="21">
        <f>SUMIF([1]SO003!$H:$H,'SA007 2025.01-2026.05 '!$D443,[1]SO003!AF:AF)</f>
        <v>541.32595200000003</v>
      </c>
      <c r="AH443" s="21">
        <f>SUMIF([1]SO003!$H:$H,'SA007 2025.01-2026.05 '!$D443,[1]SO003!AH:AH)</f>
        <v>90.220991999999995</v>
      </c>
      <c r="AI443" s="21">
        <f>SUMIF([1]SO003!$H:$H,'SA007 2025.01-2026.05 '!$D443,[1]SO003!AJ:AJ)</f>
        <v>451.10496000000001</v>
      </c>
    </row>
    <row r="444" spans="1:35" x14ac:dyDescent="0.55000000000000004">
      <c r="A444" s="2" t="s">
        <v>141</v>
      </c>
      <c r="D444" s="2" t="s">
        <v>972</v>
      </c>
      <c r="E444" s="2" t="s">
        <v>973</v>
      </c>
      <c r="G444" s="3" t="s">
        <v>63</v>
      </c>
      <c r="H444" s="2" t="s">
        <v>61</v>
      </c>
      <c r="I444" s="17">
        <v>0.7</v>
      </c>
      <c r="J444" s="3">
        <v>1219</v>
      </c>
      <c r="K444" s="3" t="s">
        <v>974</v>
      </c>
      <c r="L444" s="18">
        <v>0</v>
      </c>
      <c r="M444" s="18">
        <v>0</v>
      </c>
      <c r="N444" s="18">
        <v>0</v>
      </c>
      <c r="O444" s="18">
        <v>0</v>
      </c>
      <c r="P444" s="18">
        <v>0</v>
      </c>
      <c r="Q444" s="18">
        <v>0</v>
      </c>
      <c r="R444" s="18">
        <v>965</v>
      </c>
      <c r="S444" s="18">
        <v>0</v>
      </c>
      <c r="T444" s="18">
        <v>0</v>
      </c>
      <c r="U444" s="18">
        <v>962</v>
      </c>
      <c r="V444" s="18">
        <v>0</v>
      </c>
      <c r="W444" s="18">
        <v>0</v>
      </c>
      <c r="X444" s="18">
        <v>0</v>
      </c>
      <c r="Y444" s="18">
        <v>0</v>
      </c>
      <c r="Z444" s="18">
        <v>0</v>
      </c>
      <c r="AA444" s="18">
        <f>SUMIF([1]SA007!$C:$C,'SA007 2025.01-2026.05 '!$D444,[1]SA007!P:P)</f>
        <v>0</v>
      </c>
      <c r="AB444" s="18">
        <f>SUMIF([1]SA007!$C:$C,'SA007 2025.01-2026.05 '!$D444,[1]SA007!Q:Q)</f>
        <v>0</v>
      </c>
      <c r="AC444" s="19">
        <f t="shared" si="15"/>
        <v>1927</v>
      </c>
      <c r="AD444" s="19">
        <f t="shared" si="16"/>
        <v>113.35294117647059</v>
      </c>
      <c r="AG444" s="21">
        <f>SUMIF([1]SO003!$H:$H,'SA007 2025.01-2026.05 '!$D444,[1]SO003!AF:AF)</f>
        <v>0</v>
      </c>
      <c r="AH444" s="21">
        <f>SUMIF([1]SO003!$H:$H,'SA007 2025.01-2026.05 '!$D444,[1]SO003!AH:AH)</f>
        <v>0</v>
      </c>
      <c r="AI444" s="21">
        <f>SUMIF([1]SO003!$H:$H,'SA007 2025.01-2026.05 '!$D444,[1]SO003!AJ:AJ)</f>
        <v>0</v>
      </c>
    </row>
    <row r="445" spans="1:35" x14ac:dyDescent="0.55000000000000004">
      <c r="A445" s="2" t="s">
        <v>145</v>
      </c>
      <c r="D445" s="2" t="s">
        <v>975</v>
      </c>
      <c r="E445" s="2" t="s">
        <v>182</v>
      </c>
      <c r="G445" s="3" t="s">
        <v>63</v>
      </c>
      <c r="H445" s="2" t="s">
        <v>61</v>
      </c>
      <c r="I445" s="17">
        <v>0.8</v>
      </c>
      <c r="J445" s="3">
        <v>103</v>
      </c>
      <c r="K445" s="3" t="s">
        <v>41</v>
      </c>
      <c r="L445" s="18">
        <v>0</v>
      </c>
      <c r="M445" s="18">
        <v>0</v>
      </c>
      <c r="N445" s="18">
        <v>0</v>
      </c>
      <c r="O445" s="18">
        <v>0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190</v>
      </c>
      <c r="X445" s="18">
        <v>0</v>
      </c>
      <c r="Y445" s="18">
        <v>0</v>
      </c>
      <c r="Z445" s="18">
        <v>0</v>
      </c>
      <c r="AA445" s="18">
        <f>SUMIF([1]SA007!$C:$C,'SA007 2025.01-2026.05 '!$D445,[1]SA007!P:P)</f>
        <v>0</v>
      </c>
      <c r="AB445" s="18">
        <f>SUMIF([1]SA007!$C:$C,'SA007 2025.01-2026.05 '!$D445,[1]SA007!Q:Q)</f>
        <v>0</v>
      </c>
      <c r="AC445" s="19">
        <f t="shared" si="15"/>
        <v>190</v>
      </c>
      <c r="AD445" s="19">
        <f t="shared" si="16"/>
        <v>11.176470588235293</v>
      </c>
      <c r="AG445" s="21">
        <f>SUMIF([1]SO003!$H:$H,'SA007 2025.01-2026.05 '!$D445,[1]SO003!AF:AF)</f>
        <v>0</v>
      </c>
      <c r="AH445" s="21">
        <f>SUMIF([1]SO003!$H:$H,'SA007 2025.01-2026.05 '!$D445,[1]SO003!AH:AH)</f>
        <v>0</v>
      </c>
      <c r="AI445" s="21">
        <f>SUMIF([1]SO003!$H:$H,'SA007 2025.01-2026.05 '!$D445,[1]SO003!AJ:AJ)</f>
        <v>0</v>
      </c>
    </row>
    <row r="446" spans="1:35" x14ac:dyDescent="0.55000000000000004">
      <c r="A446" s="33" t="s">
        <v>976</v>
      </c>
      <c r="B446" s="2" t="s">
        <v>54</v>
      </c>
      <c r="C446" s="2" t="s">
        <v>54</v>
      </c>
      <c r="D446" s="2" t="s">
        <v>977</v>
      </c>
      <c r="E446" s="2" t="s">
        <v>240</v>
      </c>
      <c r="F446" s="2" t="s">
        <v>240</v>
      </c>
      <c r="G446" s="3" t="s">
        <v>57</v>
      </c>
      <c r="H446" s="2" t="s">
        <v>54</v>
      </c>
      <c r="I446" s="17">
        <v>1.2</v>
      </c>
      <c r="J446" s="3">
        <v>171</v>
      </c>
      <c r="K446" s="3" t="s">
        <v>41</v>
      </c>
      <c r="L446" s="18">
        <v>1681</v>
      </c>
      <c r="M446" s="18">
        <v>0</v>
      </c>
      <c r="N446" s="18">
        <v>1966</v>
      </c>
      <c r="O446" s="18">
        <v>0</v>
      </c>
      <c r="P446" s="18">
        <v>0</v>
      </c>
      <c r="Q446" s="18">
        <v>0</v>
      </c>
      <c r="R446" s="18">
        <v>0</v>
      </c>
      <c r="S446" s="18">
        <v>3513</v>
      </c>
      <c r="T446" s="18">
        <v>0</v>
      </c>
      <c r="U446" s="18">
        <v>797</v>
      </c>
      <c r="V446" s="18">
        <v>0</v>
      </c>
      <c r="W446" s="18">
        <v>0</v>
      </c>
      <c r="X446" s="18">
        <v>0</v>
      </c>
      <c r="Y446" s="18">
        <v>0</v>
      </c>
      <c r="Z446" s="18">
        <v>0</v>
      </c>
      <c r="AA446" s="18">
        <f>SUMIF([1]SA007!$C:$C,'SA007 2025.01-2026.05 '!$D446,[1]SA007!P:P)</f>
        <v>0</v>
      </c>
      <c r="AB446" s="18">
        <f>SUMIF([1]SA007!$C:$C,'SA007 2025.01-2026.05 '!$D446,[1]SA007!Q:Q)</f>
        <v>2449</v>
      </c>
      <c r="AC446" s="19">
        <f t="shared" si="15"/>
        <v>10406</v>
      </c>
      <c r="AD446" s="19">
        <f t="shared" si="16"/>
        <v>612.11764705882354</v>
      </c>
      <c r="AE446" s="20" t="s">
        <v>978</v>
      </c>
      <c r="AG446" s="21">
        <f>SUMIF([1]SO003!$H:$H,'SA007 2025.01-2026.05 '!$D446,[1]SO003!AF:AF)</f>
        <v>0</v>
      </c>
      <c r="AH446" s="21">
        <f>SUMIF([1]SO003!$H:$H,'SA007 2025.01-2026.05 '!$D446,[1]SO003!AH:AH)</f>
        <v>0</v>
      </c>
      <c r="AI446" s="21">
        <f>SUMIF([1]SO003!$H:$H,'SA007 2025.01-2026.05 '!$D446,[1]SO003!AJ:AJ)</f>
        <v>0</v>
      </c>
    </row>
    <row r="447" spans="1:35" x14ac:dyDescent="0.55000000000000004">
      <c r="A447" s="2" t="s">
        <v>794</v>
      </c>
      <c r="B447" s="2" t="s">
        <v>67</v>
      </c>
      <c r="C447" s="2" t="s">
        <v>67</v>
      </c>
      <c r="D447" s="2" t="s">
        <v>979</v>
      </c>
      <c r="E447" s="2" t="s">
        <v>249</v>
      </c>
      <c r="F447" s="2" t="s">
        <v>249</v>
      </c>
      <c r="G447" s="3" t="s">
        <v>57</v>
      </c>
      <c r="H447" s="2" t="s">
        <v>67</v>
      </c>
      <c r="I447" s="17">
        <v>1.6</v>
      </c>
      <c r="J447" s="3">
        <v>43.8</v>
      </c>
      <c r="K447" s="3">
        <v>830</v>
      </c>
      <c r="L447" s="18">
        <v>181</v>
      </c>
      <c r="M447" s="18">
        <v>0</v>
      </c>
      <c r="N447" s="18">
        <v>170</v>
      </c>
      <c r="O447" s="18">
        <v>267</v>
      </c>
      <c r="P447" s="18">
        <v>0</v>
      </c>
      <c r="Q447" s="18">
        <v>267</v>
      </c>
      <c r="R447" s="18">
        <v>0</v>
      </c>
      <c r="S447" s="18">
        <v>91</v>
      </c>
      <c r="T447" s="18">
        <v>0</v>
      </c>
      <c r="U447" s="18">
        <v>0</v>
      </c>
      <c r="V447" s="18">
        <v>623</v>
      </c>
      <c r="W447" s="18">
        <v>0</v>
      </c>
      <c r="X447" s="18">
        <v>176</v>
      </c>
      <c r="Y447" s="18">
        <v>359</v>
      </c>
      <c r="Z447" s="18">
        <v>269</v>
      </c>
      <c r="AA447" s="18">
        <f>SUMIF([1]SA007!$C:$C,'SA007 2025.01-2026.05 '!$D447,[1]SA007!P:P)</f>
        <v>0</v>
      </c>
      <c r="AB447" s="18">
        <f>SUMIF([1]SA007!$C:$C,'SA007 2025.01-2026.05 '!$D447,[1]SA007!Q:Q)</f>
        <v>178</v>
      </c>
      <c r="AC447" s="19">
        <f t="shared" si="15"/>
        <v>2581</v>
      </c>
      <c r="AD447" s="19">
        <f t="shared" si="16"/>
        <v>151.8235294117647</v>
      </c>
      <c r="AE447" s="20" t="s">
        <v>821</v>
      </c>
      <c r="AG447" s="21">
        <f>SUMIF([1]SO003!$H:$H,'SA007 2025.01-2026.05 '!$D447,[1]SO003!AF:AF)</f>
        <v>0</v>
      </c>
      <c r="AH447" s="21">
        <f>SUMIF([1]SO003!$H:$H,'SA007 2025.01-2026.05 '!$D447,[1]SO003!AH:AH)</f>
        <v>0</v>
      </c>
      <c r="AI447" s="21">
        <f>SUMIF([1]SO003!$H:$H,'SA007 2025.01-2026.05 '!$D447,[1]SO003!AJ:AJ)</f>
        <v>0</v>
      </c>
    </row>
    <row r="448" spans="1:35" x14ac:dyDescent="0.55000000000000004">
      <c r="A448" s="2" t="s">
        <v>126</v>
      </c>
      <c r="D448" s="2" t="s">
        <v>980</v>
      </c>
      <c r="E448" s="2" t="s">
        <v>115</v>
      </c>
      <c r="G448" s="3" t="s">
        <v>63</v>
      </c>
      <c r="H448" s="2" t="s">
        <v>64</v>
      </c>
      <c r="I448" s="17">
        <v>0.6</v>
      </c>
      <c r="J448" s="3">
        <v>406</v>
      </c>
      <c r="K448" s="3" t="s">
        <v>981</v>
      </c>
      <c r="L448" s="18">
        <v>0</v>
      </c>
      <c r="M448" s="18">
        <v>0</v>
      </c>
      <c r="N448" s="18">
        <v>0</v>
      </c>
      <c r="O448" s="18">
        <v>0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2004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f>SUMIF([1]SA007!$C:$C,'SA007 2025.01-2026.05 '!$D448,[1]SA007!P:P)</f>
        <v>0</v>
      </c>
      <c r="AB448" s="18">
        <f>SUMIF([1]SA007!$C:$C,'SA007 2025.01-2026.05 '!$D448,[1]SA007!Q:Q)</f>
        <v>0</v>
      </c>
      <c r="AC448" s="19">
        <f t="shared" si="15"/>
        <v>2004</v>
      </c>
      <c r="AD448" s="19">
        <f t="shared" si="16"/>
        <v>117.88235294117646</v>
      </c>
      <c r="AG448" s="21">
        <f>SUMIF([1]SO003!$H:$H,'SA007 2025.01-2026.05 '!$D448,[1]SO003!AF:AF)</f>
        <v>0</v>
      </c>
      <c r="AH448" s="21">
        <f>SUMIF([1]SO003!$H:$H,'SA007 2025.01-2026.05 '!$D448,[1]SO003!AH:AH)</f>
        <v>0</v>
      </c>
      <c r="AI448" s="21">
        <f>SUMIF([1]SO003!$H:$H,'SA007 2025.01-2026.05 '!$D448,[1]SO003!AJ:AJ)</f>
        <v>0</v>
      </c>
    </row>
    <row r="449" spans="1:35" x14ac:dyDescent="0.55000000000000004">
      <c r="A449" s="2" t="s">
        <v>145</v>
      </c>
      <c r="D449" s="2" t="s">
        <v>982</v>
      </c>
      <c r="E449" s="2" t="s">
        <v>182</v>
      </c>
      <c r="G449" s="3" t="s">
        <v>63</v>
      </c>
      <c r="H449" s="2" t="s">
        <v>61</v>
      </c>
      <c r="I449" s="17">
        <v>0.8</v>
      </c>
      <c r="J449" s="3">
        <v>95</v>
      </c>
      <c r="K449" s="3" t="s">
        <v>41</v>
      </c>
      <c r="L449" s="18">
        <v>0</v>
      </c>
      <c r="M449" s="18">
        <v>0</v>
      </c>
      <c r="N449" s="18">
        <v>0</v>
      </c>
      <c r="O449" s="18">
        <v>0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699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f>SUMIF([1]SA007!$C:$C,'SA007 2025.01-2026.05 '!$D449,[1]SA007!P:P)</f>
        <v>0</v>
      </c>
      <c r="AB449" s="18">
        <f>SUMIF([1]SA007!$C:$C,'SA007 2025.01-2026.05 '!$D449,[1]SA007!Q:Q)</f>
        <v>0</v>
      </c>
      <c r="AC449" s="19">
        <f t="shared" si="15"/>
        <v>699</v>
      </c>
      <c r="AD449" s="19">
        <f t="shared" si="16"/>
        <v>41.117647058823529</v>
      </c>
      <c r="AG449" s="21">
        <f>SUMIF([1]SO003!$H:$H,'SA007 2025.01-2026.05 '!$D449,[1]SO003!AF:AF)</f>
        <v>0</v>
      </c>
      <c r="AH449" s="21">
        <f>SUMIF([1]SO003!$H:$H,'SA007 2025.01-2026.05 '!$D449,[1]SO003!AH:AH)</f>
        <v>0</v>
      </c>
      <c r="AI449" s="21">
        <f>SUMIF([1]SO003!$H:$H,'SA007 2025.01-2026.05 '!$D449,[1]SO003!AJ:AJ)</f>
        <v>0</v>
      </c>
    </row>
    <row r="450" spans="1:35" x14ac:dyDescent="0.55000000000000004">
      <c r="A450" s="2" t="s">
        <v>794</v>
      </c>
      <c r="B450" s="2" t="s">
        <v>67</v>
      </c>
      <c r="C450" s="2" t="s">
        <v>67</v>
      </c>
      <c r="D450" s="2" t="s">
        <v>983</v>
      </c>
      <c r="E450" s="2" t="s">
        <v>249</v>
      </c>
      <c r="F450" s="2" t="s">
        <v>249</v>
      </c>
      <c r="G450" s="3" t="s">
        <v>57</v>
      </c>
      <c r="H450" s="2" t="s">
        <v>67</v>
      </c>
      <c r="I450" s="17">
        <v>1.6</v>
      </c>
      <c r="J450" s="3">
        <v>43.8</v>
      </c>
      <c r="K450" s="3">
        <v>795</v>
      </c>
      <c r="L450" s="18">
        <v>435</v>
      </c>
      <c r="M450" s="18">
        <v>0</v>
      </c>
      <c r="N450" s="18">
        <v>339</v>
      </c>
      <c r="O450" s="18">
        <v>85</v>
      </c>
      <c r="P450" s="18">
        <v>85</v>
      </c>
      <c r="Q450" s="18">
        <v>170</v>
      </c>
      <c r="R450" s="18">
        <v>174</v>
      </c>
      <c r="S450" s="18">
        <v>336</v>
      </c>
      <c r="T450" s="18">
        <v>264</v>
      </c>
      <c r="U450" s="18">
        <v>0</v>
      </c>
      <c r="V450" s="18">
        <v>0</v>
      </c>
      <c r="W450" s="18">
        <v>0</v>
      </c>
      <c r="X450" s="18">
        <v>698</v>
      </c>
      <c r="Y450" s="18">
        <v>376</v>
      </c>
      <c r="Z450" s="18">
        <v>213</v>
      </c>
      <c r="AA450" s="18">
        <f>SUMIF([1]SA007!$C:$C,'SA007 2025.01-2026.05 '!$D450,[1]SA007!P:P)</f>
        <v>0</v>
      </c>
      <c r="AB450" s="18">
        <f>SUMIF([1]SA007!$C:$C,'SA007 2025.01-2026.05 '!$D450,[1]SA007!Q:Q)</f>
        <v>516</v>
      </c>
      <c r="AC450" s="19">
        <f t="shared" si="15"/>
        <v>3691</v>
      </c>
      <c r="AD450" s="19">
        <f t="shared" si="16"/>
        <v>217.11764705882354</v>
      </c>
      <c r="AE450" s="20" t="s">
        <v>821</v>
      </c>
      <c r="AG450" s="21">
        <f>SUMIF([1]SO003!$H:$H,'SA007 2025.01-2026.05 '!$D450,[1]SO003!AF:AF)</f>
        <v>437.35176000000001</v>
      </c>
      <c r="AH450" s="21">
        <f>SUMIF([1]SO003!$H:$H,'SA007 2025.01-2026.05 '!$D450,[1]SO003!AH:AH)</f>
        <v>348.56935272000004</v>
      </c>
      <c r="AI450" s="21">
        <f>SUMIF([1]SO003!$H:$H,'SA007 2025.01-2026.05 '!$D450,[1]SO003!AJ:AJ)</f>
        <v>88.782407280000001</v>
      </c>
    </row>
    <row r="451" spans="1:35" x14ac:dyDescent="0.55000000000000004">
      <c r="A451" s="2" t="s">
        <v>356</v>
      </c>
      <c r="D451" s="2" t="s">
        <v>984</v>
      </c>
      <c r="E451" s="2" t="s">
        <v>946</v>
      </c>
      <c r="G451" s="3" t="s">
        <v>63</v>
      </c>
      <c r="H451" s="2" t="s">
        <v>61</v>
      </c>
      <c r="I451" s="17">
        <v>2</v>
      </c>
      <c r="J451" s="3">
        <v>62</v>
      </c>
      <c r="K451" s="3" t="s">
        <v>41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1094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0</v>
      </c>
      <c r="AA451" s="18">
        <f>SUMIF([1]SA007!$C:$C,'SA007 2025.01-2026.05 '!$D451,[1]SA007!P:P)</f>
        <v>0</v>
      </c>
      <c r="AB451" s="18">
        <f>SUMIF([1]SA007!$C:$C,'SA007 2025.01-2026.05 '!$D451,[1]SA007!Q:Q)</f>
        <v>0</v>
      </c>
      <c r="AC451" s="19">
        <f t="shared" si="15"/>
        <v>1094</v>
      </c>
      <c r="AD451" s="19">
        <f t="shared" si="16"/>
        <v>64.352941176470594</v>
      </c>
      <c r="AG451" s="21">
        <f>SUMIF([1]SO003!$H:$H,'SA007 2025.01-2026.05 '!$D451,[1]SO003!AF:AF)</f>
        <v>0</v>
      </c>
      <c r="AH451" s="21">
        <f>SUMIF([1]SO003!$H:$H,'SA007 2025.01-2026.05 '!$D451,[1]SO003!AH:AH)</f>
        <v>0</v>
      </c>
      <c r="AI451" s="21">
        <f>SUMIF([1]SO003!$H:$H,'SA007 2025.01-2026.05 '!$D451,[1]SO003!AJ:AJ)</f>
        <v>0</v>
      </c>
    </row>
    <row r="452" spans="1:35" x14ac:dyDescent="0.55000000000000004">
      <c r="A452" s="2" t="s">
        <v>356</v>
      </c>
      <c r="D452" s="2" t="s">
        <v>985</v>
      </c>
      <c r="E452" s="2" t="s">
        <v>946</v>
      </c>
      <c r="G452" s="3" t="s">
        <v>63</v>
      </c>
      <c r="H452" s="2" t="s">
        <v>61</v>
      </c>
      <c r="I452" s="17">
        <v>2</v>
      </c>
      <c r="J452" s="3">
        <v>42</v>
      </c>
      <c r="K452" s="3" t="s">
        <v>41</v>
      </c>
      <c r="L452" s="18">
        <v>0</v>
      </c>
      <c r="M452" s="18">
        <v>0</v>
      </c>
      <c r="N452" s="18">
        <v>0</v>
      </c>
      <c r="O452" s="18">
        <v>0</v>
      </c>
      <c r="P452" s="18">
        <v>0</v>
      </c>
      <c r="Q452" s="18">
        <v>0</v>
      </c>
      <c r="R452" s="18">
        <v>0</v>
      </c>
      <c r="S452" s="18">
        <v>174</v>
      </c>
      <c r="T452" s="18">
        <v>0</v>
      </c>
      <c r="U452" s="18">
        <v>0</v>
      </c>
      <c r="V452" s="18">
        <v>177</v>
      </c>
      <c r="W452" s="18">
        <v>0</v>
      </c>
      <c r="X452" s="18">
        <v>0</v>
      </c>
      <c r="Y452" s="18">
        <v>0</v>
      </c>
      <c r="Z452" s="18">
        <v>0</v>
      </c>
      <c r="AA452" s="18">
        <f>SUMIF([1]SA007!$C:$C,'SA007 2025.01-2026.05 '!$D452,[1]SA007!P:P)</f>
        <v>0</v>
      </c>
      <c r="AB452" s="18">
        <f>SUMIF([1]SA007!$C:$C,'SA007 2025.01-2026.05 '!$D452,[1]SA007!Q:Q)</f>
        <v>0</v>
      </c>
      <c r="AC452" s="19">
        <f t="shared" si="15"/>
        <v>351</v>
      </c>
      <c r="AD452" s="19">
        <f t="shared" si="16"/>
        <v>20.647058823529413</v>
      </c>
      <c r="AG452" s="21">
        <f>SUMIF([1]SO003!$H:$H,'SA007 2025.01-2026.05 '!$D452,[1]SO003!AF:AF)</f>
        <v>0</v>
      </c>
      <c r="AH452" s="21">
        <f>SUMIF([1]SO003!$H:$H,'SA007 2025.01-2026.05 '!$D452,[1]SO003!AH:AH)</f>
        <v>0</v>
      </c>
      <c r="AI452" s="21">
        <f>SUMIF([1]SO003!$H:$H,'SA007 2025.01-2026.05 '!$D452,[1]SO003!AJ:AJ)</f>
        <v>0</v>
      </c>
    </row>
    <row r="453" spans="1:35" x14ac:dyDescent="0.55000000000000004">
      <c r="A453" s="2" t="s">
        <v>571</v>
      </c>
      <c r="D453" s="2" t="s">
        <v>986</v>
      </c>
      <c r="E453" s="2" t="s">
        <v>946</v>
      </c>
      <c r="G453" s="3" t="s">
        <v>47</v>
      </c>
      <c r="H453" s="2" t="s">
        <v>987</v>
      </c>
      <c r="I453" s="17">
        <v>4.5</v>
      </c>
      <c r="J453" s="3">
        <v>50</v>
      </c>
      <c r="K453" s="3" t="s">
        <v>41</v>
      </c>
      <c r="L453" s="18">
        <v>0</v>
      </c>
      <c r="M453" s="18">
        <v>0</v>
      </c>
      <c r="N453" s="18">
        <v>0</v>
      </c>
      <c r="O453" s="18">
        <v>0</v>
      </c>
      <c r="P453" s="18">
        <v>0</v>
      </c>
      <c r="Q453" s="18">
        <v>0</v>
      </c>
      <c r="R453" s="18">
        <v>0</v>
      </c>
      <c r="S453" s="18">
        <v>2656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f>SUMIF([1]SA007!$C:$C,'SA007 2025.01-2026.05 '!$D453,[1]SA007!P:P)</f>
        <v>0</v>
      </c>
      <c r="AB453" s="18">
        <f>SUMIF([1]SA007!$C:$C,'SA007 2025.01-2026.05 '!$D453,[1]SA007!Q:Q)</f>
        <v>0</v>
      </c>
      <c r="AC453" s="19">
        <f t="shared" si="15"/>
        <v>2656</v>
      </c>
      <c r="AD453" s="19">
        <f t="shared" si="16"/>
        <v>156.23529411764707</v>
      </c>
      <c r="AG453" s="21">
        <f>SUMIF([1]SO003!$H:$H,'SA007 2025.01-2026.05 '!$D453,[1]SO003!AF:AF)</f>
        <v>0</v>
      </c>
      <c r="AH453" s="21">
        <f>SUMIF([1]SO003!$H:$H,'SA007 2025.01-2026.05 '!$D453,[1]SO003!AH:AH)</f>
        <v>0</v>
      </c>
      <c r="AI453" s="21">
        <f>SUMIF([1]SO003!$H:$H,'SA007 2025.01-2026.05 '!$D453,[1]SO003!AJ:AJ)</f>
        <v>0</v>
      </c>
    </row>
    <row r="454" spans="1:35" x14ac:dyDescent="0.55000000000000004">
      <c r="A454" s="2" t="s">
        <v>280</v>
      </c>
      <c r="D454" s="2" t="s">
        <v>988</v>
      </c>
      <c r="E454" s="2" t="s">
        <v>227</v>
      </c>
      <c r="G454" s="3" t="s">
        <v>39</v>
      </c>
      <c r="H454" s="2" t="s">
        <v>599</v>
      </c>
      <c r="I454" s="17">
        <v>1.5</v>
      </c>
      <c r="J454" s="3">
        <v>86</v>
      </c>
      <c r="K454" s="3" t="s">
        <v>41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1219</v>
      </c>
      <c r="X454" s="18">
        <v>2375</v>
      </c>
      <c r="Y454" s="18">
        <v>0</v>
      </c>
      <c r="Z454" s="18">
        <v>0</v>
      </c>
      <c r="AA454" s="18">
        <f>SUMIF([1]SA007!$C:$C,'SA007 2025.01-2026.05 '!$D454,[1]SA007!P:P)</f>
        <v>0</v>
      </c>
      <c r="AB454" s="18">
        <f>SUMIF([1]SA007!$C:$C,'SA007 2025.01-2026.05 '!$D454,[1]SA007!Q:Q)</f>
        <v>0</v>
      </c>
      <c r="AC454" s="19">
        <f t="shared" ref="AC454:AC517" si="17">SUM(L454:AB454)</f>
        <v>3594</v>
      </c>
      <c r="AD454" s="19">
        <f t="shared" ref="AD454:AD517" si="18">AVERAGE(L454:AB454)</f>
        <v>211.41176470588235</v>
      </c>
      <c r="AG454" s="21">
        <f>SUMIF([1]SO003!$H:$H,'SA007 2025.01-2026.05 '!$D454,[1]SO003!AF:AF)</f>
        <v>0</v>
      </c>
      <c r="AH454" s="21">
        <f>SUMIF([1]SO003!$H:$H,'SA007 2025.01-2026.05 '!$D454,[1]SO003!AH:AH)</f>
        <v>0</v>
      </c>
      <c r="AI454" s="21">
        <f>SUMIF([1]SO003!$H:$H,'SA007 2025.01-2026.05 '!$D454,[1]SO003!AJ:AJ)</f>
        <v>0</v>
      </c>
    </row>
    <row r="455" spans="1:35" x14ac:dyDescent="0.55000000000000004">
      <c r="A455" s="2" t="s">
        <v>794</v>
      </c>
      <c r="B455" s="2" t="s">
        <v>67</v>
      </c>
      <c r="C455" s="2" t="s">
        <v>67</v>
      </c>
      <c r="D455" s="2" t="s">
        <v>989</v>
      </c>
      <c r="E455" s="2" t="s">
        <v>249</v>
      </c>
      <c r="F455" s="2" t="s">
        <v>249</v>
      </c>
      <c r="G455" s="3" t="s">
        <v>57</v>
      </c>
      <c r="H455" s="2" t="s">
        <v>67</v>
      </c>
      <c r="I455" s="17">
        <v>1.6</v>
      </c>
      <c r="J455" s="3">
        <v>43.8</v>
      </c>
      <c r="K455" s="3">
        <v>855</v>
      </c>
      <c r="L455" s="18">
        <v>547</v>
      </c>
      <c r="M455" s="18">
        <v>0</v>
      </c>
      <c r="N455" s="18">
        <v>379</v>
      </c>
      <c r="O455" s="18">
        <v>366</v>
      </c>
      <c r="P455" s="18">
        <v>0</v>
      </c>
      <c r="Q455" s="18">
        <v>0</v>
      </c>
      <c r="R455" s="18">
        <v>455</v>
      </c>
      <c r="S455" s="18">
        <v>0</v>
      </c>
      <c r="T455" s="18">
        <v>464</v>
      </c>
      <c r="U455" s="18">
        <v>0</v>
      </c>
      <c r="V455" s="18">
        <v>368</v>
      </c>
      <c r="W455" s="18">
        <v>0</v>
      </c>
      <c r="X455" s="18">
        <v>647</v>
      </c>
      <c r="Y455" s="18">
        <v>558</v>
      </c>
      <c r="Z455" s="18">
        <v>321</v>
      </c>
      <c r="AA455" s="18">
        <f>SUMIF([1]SA007!$C:$C,'SA007 2025.01-2026.05 '!$D455,[1]SA007!P:P)</f>
        <v>450</v>
      </c>
      <c r="AB455" s="18">
        <f>SUMIF([1]SA007!$C:$C,'SA007 2025.01-2026.05 '!$D455,[1]SA007!Q:Q)</f>
        <v>372</v>
      </c>
      <c r="AC455" s="19">
        <f t="shared" si="17"/>
        <v>4927</v>
      </c>
      <c r="AD455" s="19">
        <f t="shared" si="18"/>
        <v>289.8235294117647</v>
      </c>
      <c r="AE455" s="20" t="s">
        <v>459</v>
      </c>
      <c r="AG455" s="21">
        <f>SUMIF([1]SO003!$H:$H,'SA007 2025.01-2026.05 '!$D455,[1]SO003!AF:AF)</f>
        <v>470.35944000000006</v>
      </c>
      <c r="AH455" s="21">
        <f>SUMIF([1]SO003!$H:$H,'SA007 2025.01-2026.05 '!$D455,[1]SO003!AH:AH)</f>
        <v>1317.0064320000001</v>
      </c>
      <c r="AI455" s="21">
        <f>SUMIF([1]SO003!$H:$H,'SA007 2025.01-2026.05 '!$D455,[1]SO003!AJ:AJ)</f>
        <v>0</v>
      </c>
    </row>
    <row r="456" spans="1:35" x14ac:dyDescent="0.55000000000000004">
      <c r="A456" s="2" t="s">
        <v>794</v>
      </c>
      <c r="B456" s="2" t="s">
        <v>67</v>
      </c>
      <c r="C456" s="2" t="s">
        <v>67</v>
      </c>
      <c r="D456" s="2" t="s">
        <v>990</v>
      </c>
      <c r="E456" s="2" t="s">
        <v>249</v>
      </c>
      <c r="F456" s="2" t="s">
        <v>249</v>
      </c>
      <c r="G456" s="3" t="s">
        <v>57</v>
      </c>
      <c r="H456" s="2" t="s">
        <v>67</v>
      </c>
      <c r="I456" s="17">
        <v>1.6</v>
      </c>
      <c r="J456" s="3">
        <v>43.8</v>
      </c>
      <c r="K456" s="3">
        <v>795</v>
      </c>
      <c r="L456" s="18">
        <v>0</v>
      </c>
      <c r="M456" s="18">
        <v>0</v>
      </c>
      <c r="N456" s="18">
        <v>0</v>
      </c>
      <c r="O456" s="18">
        <v>0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8">
        <v>0</v>
      </c>
      <c r="Z456" s="18">
        <v>0</v>
      </c>
      <c r="AA456" s="18">
        <f>SUMIF([1]SA007!$C:$C,'SA007 2025.01-2026.05 '!$D456,[1]SA007!P:P)</f>
        <v>0</v>
      </c>
      <c r="AB456" s="18">
        <f>SUMIF([1]SA007!$C:$C,'SA007 2025.01-2026.05 '!$D456,[1]SA007!Q:Q)</f>
        <v>0</v>
      </c>
      <c r="AC456" s="19">
        <f t="shared" si="17"/>
        <v>0</v>
      </c>
      <c r="AD456" s="19">
        <f t="shared" si="18"/>
        <v>0</v>
      </c>
      <c r="AE456" s="20" t="e">
        <v>#N/A</v>
      </c>
      <c r="AG456" s="21">
        <f>SUMIF([1]SO003!$H:$H,'SA007 2025.01-2026.05 '!$D456,[1]SO003!AF:AF)</f>
        <v>0</v>
      </c>
      <c r="AH456" s="21">
        <f>SUMIF([1]SO003!$H:$H,'SA007 2025.01-2026.05 '!$D456,[1]SO003!AH:AH)</f>
        <v>0</v>
      </c>
      <c r="AI456" s="21">
        <f>SUMIF([1]SO003!$H:$H,'SA007 2025.01-2026.05 '!$D456,[1]SO003!AJ:AJ)</f>
        <v>0</v>
      </c>
    </row>
    <row r="457" spans="1:35" x14ac:dyDescent="0.55000000000000004">
      <c r="A457" s="2" t="s">
        <v>178</v>
      </c>
      <c r="D457" s="2" t="s">
        <v>991</v>
      </c>
      <c r="E457" s="2" t="s">
        <v>370</v>
      </c>
      <c r="G457" s="3" t="s">
        <v>57</v>
      </c>
      <c r="H457" s="2" t="s">
        <v>158</v>
      </c>
      <c r="I457" s="17">
        <v>1</v>
      </c>
      <c r="J457" s="3">
        <v>1000</v>
      </c>
      <c r="K457" s="3" t="s">
        <v>992</v>
      </c>
      <c r="L457" s="18">
        <v>0</v>
      </c>
      <c r="M457" s="18">
        <v>0</v>
      </c>
      <c r="N457" s="18">
        <v>0</v>
      </c>
      <c r="O457" s="18">
        <v>0</v>
      </c>
      <c r="P457" s="18">
        <v>0</v>
      </c>
      <c r="Q457" s="18">
        <v>555</v>
      </c>
      <c r="R457" s="18">
        <v>0</v>
      </c>
      <c r="S457" s="18">
        <v>0</v>
      </c>
      <c r="T457" s="18">
        <v>0</v>
      </c>
      <c r="U457" s="18">
        <v>1638</v>
      </c>
      <c r="V457" s="18">
        <v>0</v>
      </c>
      <c r="W457" s="18">
        <v>2255</v>
      </c>
      <c r="X457" s="18">
        <v>2679</v>
      </c>
      <c r="Y457" s="18">
        <v>0</v>
      </c>
      <c r="Z457" s="18">
        <v>1162</v>
      </c>
      <c r="AA457" s="18">
        <f>SUMIF([1]SA007!$C:$C,'SA007 2025.01-2026.05 '!$D457,[1]SA007!P:P)</f>
        <v>972</v>
      </c>
      <c r="AB457" s="18">
        <f>SUMIF([1]SA007!$C:$C,'SA007 2025.01-2026.05 '!$D457,[1]SA007!Q:Q)</f>
        <v>2101</v>
      </c>
      <c r="AC457" s="19">
        <f t="shared" si="17"/>
        <v>11362</v>
      </c>
      <c r="AD457" s="19">
        <f t="shared" si="18"/>
        <v>668.35294117647061</v>
      </c>
      <c r="AG457" s="21">
        <f>SUMIF([1]SO003!$H:$H,'SA007 2025.01-2026.05 '!$D457,[1]SO003!AF:AF)</f>
        <v>1818.1385</v>
      </c>
      <c r="AH457" s="21">
        <f>SUMIF([1]SO003!$H:$H,'SA007 2025.01-2026.05 '!$D457,[1]SO003!AH:AH)</f>
        <v>1818.1385</v>
      </c>
      <c r="AI457" s="21">
        <f>SUMIF([1]SO003!$H:$H,'SA007 2025.01-2026.05 '!$D457,[1]SO003!AJ:AJ)</f>
        <v>0</v>
      </c>
    </row>
    <row r="458" spans="1:35" x14ac:dyDescent="0.55000000000000004">
      <c r="A458" s="2" t="s">
        <v>178</v>
      </c>
      <c r="D458" s="2" t="s">
        <v>993</v>
      </c>
      <c r="E458" s="2" t="s">
        <v>370</v>
      </c>
      <c r="G458" s="3" t="s">
        <v>57</v>
      </c>
      <c r="H458" s="2" t="s">
        <v>158</v>
      </c>
      <c r="I458" s="17">
        <v>1</v>
      </c>
      <c r="J458" s="3">
        <v>1000</v>
      </c>
      <c r="K458" s="3" t="s">
        <v>994</v>
      </c>
      <c r="L458" s="18">
        <v>0</v>
      </c>
      <c r="M458" s="18">
        <v>0</v>
      </c>
      <c r="N458" s="18">
        <v>0</v>
      </c>
      <c r="O458" s="18">
        <v>0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140</v>
      </c>
      <c r="V458" s="18">
        <v>0</v>
      </c>
      <c r="W458" s="18">
        <v>1053</v>
      </c>
      <c r="X458" s="18">
        <v>423</v>
      </c>
      <c r="Y458" s="18">
        <v>0</v>
      </c>
      <c r="Z458" s="18">
        <v>293</v>
      </c>
      <c r="AA458" s="18">
        <f>SUMIF([1]SA007!$C:$C,'SA007 2025.01-2026.05 '!$D458,[1]SA007!P:P)</f>
        <v>0</v>
      </c>
      <c r="AB458" s="18">
        <f>SUMIF([1]SA007!$C:$C,'SA007 2025.01-2026.05 '!$D458,[1]SA007!Q:Q)</f>
        <v>1008</v>
      </c>
      <c r="AC458" s="19">
        <f t="shared" si="17"/>
        <v>2917</v>
      </c>
      <c r="AD458" s="19">
        <f t="shared" si="18"/>
        <v>171.58823529411765</v>
      </c>
      <c r="AG458" s="21">
        <f>SUMIF([1]SO003!$H:$H,'SA007 2025.01-2026.05 '!$D458,[1]SO003!AF:AF)</f>
        <v>353.25</v>
      </c>
      <c r="AH458" s="21">
        <f>SUMIF([1]SO003!$H:$H,'SA007 2025.01-2026.05 '!$D458,[1]SO003!AH:AH)</f>
        <v>353.25</v>
      </c>
      <c r="AI458" s="21">
        <f>SUMIF([1]SO003!$H:$H,'SA007 2025.01-2026.05 '!$D458,[1]SO003!AJ:AJ)</f>
        <v>0</v>
      </c>
    </row>
    <row r="459" spans="1:35" x14ac:dyDescent="0.55000000000000004">
      <c r="A459" s="2" t="s">
        <v>178</v>
      </c>
      <c r="D459" s="2" t="s">
        <v>995</v>
      </c>
      <c r="E459" s="2" t="s">
        <v>370</v>
      </c>
      <c r="G459" s="3" t="s">
        <v>57</v>
      </c>
      <c r="H459" s="2" t="s">
        <v>158</v>
      </c>
      <c r="I459" s="17">
        <v>1</v>
      </c>
      <c r="J459" s="3">
        <v>1219</v>
      </c>
      <c r="K459" s="3" t="s">
        <v>996</v>
      </c>
      <c r="L459" s="18">
        <v>0</v>
      </c>
      <c r="M459" s="18">
        <v>0</v>
      </c>
      <c r="N459" s="18">
        <v>0</v>
      </c>
      <c r="O459" s="18">
        <v>0</v>
      </c>
      <c r="P459" s="18">
        <v>0</v>
      </c>
      <c r="Q459" s="18">
        <v>467</v>
      </c>
      <c r="R459" s="18">
        <v>0</v>
      </c>
      <c r="S459" s="18">
        <v>0</v>
      </c>
      <c r="T459" s="18">
        <v>0</v>
      </c>
      <c r="U459" s="18">
        <v>345</v>
      </c>
      <c r="V459" s="18">
        <v>0</v>
      </c>
      <c r="W459" s="18">
        <v>415</v>
      </c>
      <c r="X459" s="18">
        <v>476</v>
      </c>
      <c r="Y459" s="18">
        <v>484</v>
      </c>
      <c r="Z459" s="18">
        <v>565</v>
      </c>
      <c r="AA459" s="18">
        <f>SUMIF([1]SA007!$C:$C,'SA007 2025.01-2026.05 '!$D459,[1]SA007!P:P)</f>
        <v>0</v>
      </c>
      <c r="AB459" s="18">
        <f>SUMIF([1]SA007!$C:$C,'SA007 2025.01-2026.05 '!$D459,[1]SA007!Q:Q)</f>
        <v>541</v>
      </c>
      <c r="AC459" s="19">
        <f t="shared" si="17"/>
        <v>3293</v>
      </c>
      <c r="AD459" s="19">
        <f t="shared" si="18"/>
        <v>193.70588235294119</v>
      </c>
      <c r="AG459" s="21">
        <f>SUMIF([1]SO003!$H:$H,'SA007 2025.01-2026.05 '!$D459,[1]SO003!AF:AF)</f>
        <v>710.5093875</v>
      </c>
      <c r="AH459" s="21">
        <f>SUMIF([1]SO003!$H:$H,'SA007 2025.01-2026.05 '!$D459,[1]SO003!AH:AH)</f>
        <v>710.5093875</v>
      </c>
      <c r="AI459" s="21">
        <f>SUMIF([1]SO003!$H:$H,'SA007 2025.01-2026.05 '!$D459,[1]SO003!AJ:AJ)</f>
        <v>0</v>
      </c>
    </row>
    <row r="460" spans="1:35" x14ac:dyDescent="0.55000000000000004">
      <c r="A460" s="2" t="s">
        <v>794</v>
      </c>
      <c r="B460" s="2" t="s">
        <v>67</v>
      </c>
      <c r="C460" s="2" t="s">
        <v>67</v>
      </c>
      <c r="D460" s="2" t="s">
        <v>997</v>
      </c>
      <c r="E460" s="2" t="s">
        <v>249</v>
      </c>
      <c r="F460" s="2" t="s">
        <v>249</v>
      </c>
      <c r="G460" s="3" t="s">
        <v>57</v>
      </c>
      <c r="H460" s="2" t="s">
        <v>67</v>
      </c>
      <c r="I460" s="17">
        <v>1.6</v>
      </c>
      <c r="J460" s="3">
        <v>43.8</v>
      </c>
      <c r="K460" s="3">
        <v>855</v>
      </c>
      <c r="L460" s="18">
        <v>0</v>
      </c>
      <c r="M460" s="18">
        <v>0</v>
      </c>
      <c r="N460" s="18">
        <v>0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f>SUMIF([1]SA007!$C:$C,'SA007 2025.01-2026.05 '!$D460,[1]SA007!P:P)</f>
        <v>0</v>
      </c>
      <c r="AB460" s="18">
        <f>SUMIF([1]SA007!$C:$C,'SA007 2025.01-2026.05 '!$D460,[1]SA007!Q:Q)</f>
        <v>0</v>
      </c>
      <c r="AC460" s="19">
        <f t="shared" si="17"/>
        <v>0</v>
      </c>
      <c r="AD460" s="19">
        <f t="shared" si="18"/>
        <v>0</v>
      </c>
      <c r="AE460" s="20" t="e">
        <v>#N/A</v>
      </c>
      <c r="AG460" s="21">
        <f>SUMIF([1]SO003!$H:$H,'SA007 2025.01-2026.05 '!$D460,[1]SO003!AF:AF)</f>
        <v>0</v>
      </c>
      <c r="AH460" s="21">
        <f>SUMIF([1]SO003!$H:$H,'SA007 2025.01-2026.05 '!$D460,[1]SO003!AH:AH)</f>
        <v>0</v>
      </c>
      <c r="AI460" s="21">
        <f>SUMIF([1]SO003!$H:$H,'SA007 2025.01-2026.05 '!$D460,[1]SO003!AJ:AJ)</f>
        <v>0</v>
      </c>
    </row>
    <row r="461" spans="1:35" x14ac:dyDescent="0.55000000000000004">
      <c r="A461" s="2" t="s">
        <v>794</v>
      </c>
      <c r="B461" s="2" t="s">
        <v>67</v>
      </c>
      <c r="C461" s="2" t="s">
        <v>67</v>
      </c>
      <c r="D461" s="2" t="s">
        <v>998</v>
      </c>
      <c r="E461" s="2" t="s">
        <v>249</v>
      </c>
      <c r="F461" s="2" t="s">
        <v>249</v>
      </c>
      <c r="G461" s="3" t="s">
        <v>57</v>
      </c>
      <c r="H461" s="2" t="s">
        <v>67</v>
      </c>
      <c r="I461" s="17">
        <v>1.6</v>
      </c>
      <c r="J461" s="3">
        <v>43.8</v>
      </c>
      <c r="K461" s="3">
        <v>900</v>
      </c>
      <c r="L461" s="18">
        <v>0</v>
      </c>
      <c r="M461" s="18">
        <v>30</v>
      </c>
      <c r="N461" s="18">
        <v>35</v>
      </c>
      <c r="O461" s="18">
        <v>0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f>SUMIF([1]SA007!$C:$C,'SA007 2025.01-2026.05 '!$D461,[1]SA007!P:P)</f>
        <v>0</v>
      </c>
      <c r="AB461" s="18">
        <f>SUMIF([1]SA007!$C:$C,'SA007 2025.01-2026.05 '!$D461,[1]SA007!Q:Q)</f>
        <v>0</v>
      </c>
      <c r="AC461" s="19">
        <f t="shared" si="17"/>
        <v>65</v>
      </c>
      <c r="AD461" s="19">
        <f t="shared" si="18"/>
        <v>3.8235294117647061</v>
      </c>
      <c r="AE461" s="20" t="s">
        <v>821</v>
      </c>
      <c r="AG461" s="21">
        <f>SUMIF([1]SO003!$H:$H,'SA007 2025.01-2026.05 '!$D461,[1]SO003!AF:AF)</f>
        <v>0</v>
      </c>
      <c r="AH461" s="21">
        <f>SUMIF([1]SO003!$H:$H,'SA007 2025.01-2026.05 '!$D461,[1]SO003!AH:AH)</f>
        <v>0</v>
      </c>
      <c r="AI461" s="21">
        <f>SUMIF([1]SO003!$H:$H,'SA007 2025.01-2026.05 '!$D461,[1]SO003!AJ:AJ)</f>
        <v>0</v>
      </c>
    </row>
    <row r="462" spans="1:35" x14ac:dyDescent="0.55000000000000004">
      <c r="A462" s="2" t="s">
        <v>145</v>
      </c>
      <c r="D462" s="2" t="s">
        <v>999</v>
      </c>
      <c r="E462" s="2" t="s">
        <v>182</v>
      </c>
      <c r="G462" s="3" t="s">
        <v>63</v>
      </c>
      <c r="H462" s="2" t="s">
        <v>61</v>
      </c>
      <c r="I462" s="17">
        <v>0.8</v>
      </c>
      <c r="J462" s="3">
        <v>51</v>
      </c>
      <c r="K462" s="3" t="s">
        <v>41</v>
      </c>
      <c r="L462" s="18">
        <v>0</v>
      </c>
      <c r="M462" s="18">
        <v>0</v>
      </c>
      <c r="N462" s="18">
        <v>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  <c r="V462" s="18">
        <v>63</v>
      </c>
      <c r="W462" s="18">
        <v>0</v>
      </c>
      <c r="X462" s="18">
        <v>0</v>
      </c>
      <c r="Y462" s="18">
        <v>0</v>
      </c>
      <c r="Z462" s="18">
        <v>0</v>
      </c>
      <c r="AA462" s="18">
        <f>SUMIF([1]SA007!$C:$C,'SA007 2025.01-2026.05 '!$D462,[1]SA007!P:P)</f>
        <v>0</v>
      </c>
      <c r="AB462" s="18">
        <f>SUMIF([1]SA007!$C:$C,'SA007 2025.01-2026.05 '!$D462,[1]SA007!Q:Q)</f>
        <v>0</v>
      </c>
      <c r="AC462" s="19">
        <f t="shared" si="17"/>
        <v>63</v>
      </c>
      <c r="AD462" s="19">
        <f t="shared" si="18"/>
        <v>3.7058823529411766</v>
      </c>
      <c r="AG462" s="21">
        <f>SUMIF([1]SO003!$H:$H,'SA007 2025.01-2026.05 '!$D462,[1]SO003!AF:AF)</f>
        <v>0</v>
      </c>
      <c r="AH462" s="21">
        <f>SUMIF([1]SO003!$H:$H,'SA007 2025.01-2026.05 '!$D462,[1]SO003!AH:AH)</f>
        <v>0</v>
      </c>
      <c r="AI462" s="21">
        <f>SUMIF([1]SO003!$H:$H,'SA007 2025.01-2026.05 '!$D462,[1]SO003!AJ:AJ)</f>
        <v>0</v>
      </c>
    </row>
    <row r="463" spans="1:35" x14ac:dyDescent="0.55000000000000004">
      <c r="A463" s="23" t="s">
        <v>219</v>
      </c>
      <c r="B463" s="2" t="s">
        <v>54</v>
      </c>
      <c r="C463" s="2" t="s">
        <v>54</v>
      </c>
      <c r="D463" s="2" t="s">
        <v>1000</v>
      </c>
      <c r="E463" s="2" t="s">
        <v>185</v>
      </c>
      <c r="F463" s="2" t="s">
        <v>185</v>
      </c>
      <c r="G463" s="3" t="s">
        <v>57</v>
      </c>
      <c r="H463" s="2" t="s">
        <v>54</v>
      </c>
      <c r="I463" s="17">
        <v>1.2</v>
      </c>
      <c r="J463" s="3">
        <v>1219</v>
      </c>
      <c r="K463" s="3">
        <v>280</v>
      </c>
      <c r="L463" s="18">
        <v>0</v>
      </c>
      <c r="M463" s="18">
        <v>0</v>
      </c>
      <c r="N463" s="18">
        <v>472</v>
      </c>
      <c r="O463" s="18">
        <v>0</v>
      </c>
      <c r="P463" s="18">
        <v>0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f>SUMIF([1]SA007!$C:$C,'SA007 2025.01-2026.05 '!$D463,[1]SA007!P:P)</f>
        <v>0</v>
      </c>
      <c r="AB463" s="18">
        <f>SUMIF([1]SA007!$C:$C,'SA007 2025.01-2026.05 '!$D463,[1]SA007!Q:Q)</f>
        <v>0</v>
      </c>
      <c r="AC463" s="19">
        <f t="shared" si="17"/>
        <v>472</v>
      </c>
      <c r="AD463" s="19">
        <f t="shared" si="18"/>
        <v>27.764705882352942</v>
      </c>
      <c r="AE463" s="20" t="s">
        <v>186</v>
      </c>
      <c r="AG463" s="21">
        <f>SUMIF([1]SO003!$H:$H,'SA007 2025.01-2026.05 '!$D463,[1]SO003!AF:AF)</f>
        <v>0</v>
      </c>
      <c r="AH463" s="21">
        <f>SUMIF([1]SO003!$H:$H,'SA007 2025.01-2026.05 '!$D463,[1]SO003!AH:AH)</f>
        <v>0</v>
      </c>
      <c r="AI463" s="21">
        <f>SUMIF([1]SO003!$H:$H,'SA007 2025.01-2026.05 '!$D463,[1]SO003!AJ:AJ)</f>
        <v>0</v>
      </c>
    </row>
    <row r="464" spans="1:35" x14ac:dyDescent="0.55000000000000004">
      <c r="A464" s="2" t="s">
        <v>206</v>
      </c>
      <c r="D464" s="2" t="s">
        <v>1001</v>
      </c>
      <c r="E464" s="2" t="s">
        <v>185</v>
      </c>
      <c r="G464" s="3" t="s">
        <v>63</v>
      </c>
      <c r="H464" s="2" t="s">
        <v>61</v>
      </c>
      <c r="I464" s="17">
        <v>1</v>
      </c>
      <c r="J464" s="3">
        <v>52</v>
      </c>
      <c r="K464" s="3" t="s">
        <v>41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  <c r="V464" s="18">
        <v>405</v>
      </c>
      <c r="W464" s="18">
        <v>0</v>
      </c>
      <c r="X464" s="18">
        <v>0</v>
      </c>
      <c r="Y464" s="18">
        <v>228</v>
      </c>
      <c r="Z464" s="18">
        <v>0</v>
      </c>
      <c r="AA464" s="18">
        <f>SUMIF([1]SA007!$C:$C,'SA007 2025.01-2026.05 '!$D464,[1]SA007!P:P)</f>
        <v>0</v>
      </c>
      <c r="AB464" s="18">
        <f>SUMIF([1]SA007!$C:$C,'SA007 2025.01-2026.05 '!$D464,[1]SA007!Q:Q)</f>
        <v>0</v>
      </c>
      <c r="AC464" s="19">
        <f t="shared" si="17"/>
        <v>633</v>
      </c>
      <c r="AD464" s="19">
        <f t="shared" si="18"/>
        <v>37.235294117647058</v>
      </c>
      <c r="AG464" s="21">
        <f>SUMIF([1]SO003!$H:$H,'SA007 2025.01-2026.05 '!$D464,[1]SO003!AF:AF)</f>
        <v>500</v>
      </c>
      <c r="AH464" s="21">
        <f>SUMIF([1]SO003!$H:$H,'SA007 2025.01-2026.05 '!$D464,[1]SO003!AH:AH)</f>
        <v>375</v>
      </c>
      <c r="AI464" s="21">
        <f>SUMIF([1]SO003!$H:$H,'SA007 2025.01-2026.05 '!$D464,[1]SO003!AJ:AJ)</f>
        <v>0</v>
      </c>
    </row>
    <row r="465" spans="1:35" x14ac:dyDescent="0.55000000000000004">
      <c r="A465" s="2" t="s">
        <v>827</v>
      </c>
      <c r="B465" s="2" t="s">
        <v>54</v>
      </c>
      <c r="C465" s="2" t="s">
        <v>54</v>
      </c>
      <c r="D465" s="2" t="s">
        <v>1002</v>
      </c>
      <c r="E465" s="2" t="s">
        <v>185</v>
      </c>
      <c r="F465" s="2" t="s">
        <v>185</v>
      </c>
      <c r="G465" s="3" t="s">
        <v>57</v>
      </c>
      <c r="H465" s="2" t="s">
        <v>54</v>
      </c>
      <c r="I465" s="17">
        <v>0.4</v>
      </c>
      <c r="J465" s="3">
        <v>54</v>
      </c>
      <c r="K465" s="3">
        <v>1219</v>
      </c>
      <c r="L465" s="18">
        <v>119</v>
      </c>
      <c r="M465" s="18">
        <v>0</v>
      </c>
      <c r="N465" s="18">
        <v>63</v>
      </c>
      <c r="O465" s="18">
        <v>0</v>
      </c>
      <c r="P465" s="18">
        <v>106</v>
      </c>
      <c r="Q465" s="18">
        <v>106</v>
      </c>
      <c r="R465" s="18">
        <v>0</v>
      </c>
      <c r="S465" s="18">
        <v>107</v>
      </c>
      <c r="T465" s="18">
        <v>0</v>
      </c>
      <c r="U465" s="18">
        <v>0</v>
      </c>
      <c r="V465" s="18">
        <v>0</v>
      </c>
      <c r="W465" s="18">
        <v>122</v>
      </c>
      <c r="X465" s="18">
        <v>0</v>
      </c>
      <c r="Y465" s="18">
        <v>0</v>
      </c>
      <c r="Z465" s="18">
        <v>138</v>
      </c>
      <c r="AA465" s="18">
        <f>SUMIF([1]SA007!$C:$C,'SA007 2025.01-2026.05 '!$D465,[1]SA007!P:P)</f>
        <v>0</v>
      </c>
      <c r="AB465" s="18">
        <f>SUMIF([1]SA007!$C:$C,'SA007 2025.01-2026.05 '!$D465,[1]SA007!Q:Q)</f>
        <v>0</v>
      </c>
      <c r="AC465" s="19">
        <f t="shared" si="17"/>
        <v>761</v>
      </c>
      <c r="AD465" s="19">
        <f t="shared" si="18"/>
        <v>44.764705882352942</v>
      </c>
      <c r="AE465" s="20" t="s">
        <v>1003</v>
      </c>
      <c r="AG465" s="21">
        <f>SUMIF([1]SO003!$H:$H,'SA007 2025.01-2026.05 '!$D465,[1]SO003!AF:AF)</f>
        <v>0</v>
      </c>
      <c r="AH465" s="21">
        <f>SUMIF([1]SO003!$H:$H,'SA007 2025.01-2026.05 '!$D465,[1]SO003!AH:AH)</f>
        <v>0</v>
      </c>
      <c r="AI465" s="21">
        <f>SUMIF([1]SO003!$H:$H,'SA007 2025.01-2026.05 '!$D465,[1]SO003!AJ:AJ)</f>
        <v>0</v>
      </c>
    </row>
    <row r="466" spans="1:35" x14ac:dyDescent="0.55000000000000004">
      <c r="A466" s="2" t="s">
        <v>157</v>
      </c>
      <c r="B466" s="2" t="s">
        <v>54</v>
      </c>
      <c r="C466" s="2" t="s">
        <v>54</v>
      </c>
      <c r="D466" s="2" t="s">
        <v>1004</v>
      </c>
      <c r="E466" s="2" t="s">
        <v>185</v>
      </c>
      <c r="F466" s="2" t="s">
        <v>185</v>
      </c>
      <c r="G466" s="3" t="s">
        <v>57</v>
      </c>
      <c r="H466" s="2" t="s">
        <v>54</v>
      </c>
      <c r="I466" s="17">
        <v>0.8</v>
      </c>
      <c r="J466" s="3">
        <v>158</v>
      </c>
      <c r="K466" s="3">
        <v>256</v>
      </c>
      <c r="L466" s="18">
        <v>0</v>
      </c>
      <c r="M466" s="18">
        <v>257</v>
      </c>
      <c r="N466" s="18">
        <v>0</v>
      </c>
      <c r="O466" s="18">
        <v>0</v>
      </c>
      <c r="P466" s="18">
        <v>0</v>
      </c>
      <c r="Q466" s="18">
        <v>0</v>
      </c>
      <c r="R466" s="18">
        <v>0</v>
      </c>
      <c r="S466" s="18">
        <v>0</v>
      </c>
      <c r="T466" s="18">
        <v>0</v>
      </c>
      <c r="U466" s="18">
        <v>0</v>
      </c>
      <c r="V466" s="18">
        <v>1020</v>
      </c>
      <c r="W466" s="18">
        <v>992</v>
      </c>
      <c r="X466" s="18">
        <v>0</v>
      </c>
      <c r="Y466" s="18">
        <v>0</v>
      </c>
      <c r="Z466" s="18">
        <v>0</v>
      </c>
      <c r="AA466" s="18">
        <f>SUMIF([1]SA007!$C:$C,'SA007 2025.01-2026.05 '!$D466,[1]SA007!P:P)</f>
        <v>1000</v>
      </c>
      <c r="AB466" s="18">
        <f>SUMIF([1]SA007!$C:$C,'SA007 2025.01-2026.05 '!$D466,[1]SA007!Q:Q)</f>
        <v>1866</v>
      </c>
      <c r="AC466" s="19">
        <f t="shared" si="17"/>
        <v>5135</v>
      </c>
      <c r="AD466" s="19">
        <f t="shared" si="18"/>
        <v>302.05882352941177</v>
      </c>
      <c r="AE466" s="20" t="s">
        <v>48</v>
      </c>
      <c r="AG466" s="21">
        <f>SUMIF([1]SO003!$H:$H,'SA007 2025.01-2026.05 '!$D466,[1]SO003!AF:AF)</f>
        <v>2159.1142399999999</v>
      </c>
      <c r="AH466" s="21">
        <f>SUMIF([1]SO003!$H:$H,'SA007 2025.01-2026.05 '!$D466,[1]SO003!AH:AH)</f>
        <v>3536.6291251199996</v>
      </c>
      <c r="AI466" s="21">
        <f>SUMIF([1]SO003!$H:$H,'SA007 2025.01-2026.05 '!$D466,[1]SO003!AJ:AJ)</f>
        <v>0</v>
      </c>
    </row>
    <row r="467" spans="1:35" x14ac:dyDescent="0.55000000000000004">
      <c r="A467" s="2" t="s">
        <v>157</v>
      </c>
      <c r="B467" s="2" t="s">
        <v>54</v>
      </c>
      <c r="C467" s="2" t="s">
        <v>54</v>
      </c>
      <c r="D467" s="2" t="s">
        <v>1005</v>
      </c>
      <c r="E467" s="2" t="s">
        <v>185</v>
      </c>
      <c r="F467" s="2" t="s">
        <v>185</v>
      </c>
      <c r="G467" s="3" t="s">
        <v>57</v>
      </c>
      <c r="H467" s="2" t="s">
        <v>54</v>
      </c>
      <c r="I467" s="17">
        <v>0.8</v>
      </c>
      <c r="J467" s="3">
        <v>240</v>
      </c>
      <c r="K467" s="3">
        <v>310</v>
      </c>
      <c r="L467" s="18">
        <v>0</v>
      </c>
      <c r="M467" s="18">
        <v>475</v>
      </c>
      <c r="N467" s="18">
        <v>0</v>
      </c>
      <c r="O467" s="18">
        <v>0</v>
      </c>
      <c r="P467" s="18">
        <v>0</v>
      </c>
      <c r="Q467" s="18">
        <v>0</v>
      </c>
      <c r="R467" s="18">
        <v>0</v>
      </c>
      <c r="S467" s="18">
        <v>232</v>
      </c>
      <c r="T467" s="18">
        <v>0</v>
      </c>
      <c r="U467" s="18">
        <v>365</v>
      </c>
      <c r="V467" s="18">
        <v>988</v>
      </c>
      <c r="W467" s="18">
        <v>2168</v>
      </c>
      <c r="X467" s="18">
        <v>0</v>
      </c>
      <c r="Y467" s="18">
        <v>0</v>
      </c>
      <c r="Z467" s="18">
        <v>0</v>
      </c>
      <c r="AA467" s="18">
        <f>SUMIF([1]SA007!$C:$C,'SA007 2025.01-2026.05 '!$D467,[1]SA007!P:P)</f>
        <v>1843</v>
      </c>
      <c r="AB467" s="18">
        <f>SUMIF([1]SA007!$C:$C,'SA007 2025.01-2026.05 '!$D467,[1]SA007!Q:Q)</f>
        <v>2760</v>
      </c>
      <c r="AC467" s="19">
        <f t="shared" si="17"/>
        <v>8831</v>
      </c>
      <c r="AD467" s="19">
        <f t="shared" si="18"/>
        <v>519.47058823529414</v>
      </c>
      <c r="AE467" s="20" t="s">
        <v>48</v>
      </c>
      <c r="AG467" s="21">
        <f>SUMIF([1]SO003!$H:$H,'SA007 2025.01-2026.05 '!$D467,[1]SO003!AF:AF)</f>
        <v>7195.3727999999992</v>
      </c>
      <c r="AH467" s="21">
        <f>SUMIF([1]SO003!$H:$H,'SA007 2025.01-2026.05 '!$D467,[1]SO003!AH:AH)</f>
        <v>7798.1020799999997</v>
      </c>
      <c r="AI467" s="21">
        <f>SUMIF([1]SO003!$H:$H,'SA007 2025.01-2026.05 '!$D467,[1]SO003!AJ:AJ)</f>
        <v>0</v>
      </c>
    </row>
    <row r="468" spans="1:35" x14ac:dyDescent="0.55000000000000004">
      <c r="A468" s="2" t="s">
        <v>157</v>
      </c>
      <c r="B468" s="2" t="s">
        <v>54</v>
      </c>
      <c r="C468" s="2" t="s">
        <v>54</v>
      </c>
      <c r="D468" s="2" t="s">
        <v>1006</v>
      </c>
      <c r="E468" s="2" t="s">
        <v>185</v>
      </c>
      <c r="F468" s="2" t="s">
        <v>185</v>
      </c>
      <c r="G468" s="3" t="s">
        <v>57</v>
      </c>
      <c r="H468" s="2" t="s">
        <v>54</v>
      </c>
      <c r="I468" s="17">
        <v>0.8</v>
      </c>
      <c r="J468" s="3">
        <v>190</v>
      </c>
      <c r="K468" s="3">
        <v>190</v>
      </c>
      <c r="L468" s="18">
        <v>0</v>
      </c>
      <c r="M468" s="18">
        <v>233</v>
      </c>
      <c r="N468" s="18">
        <v>0</v>
      </c>
      <c r="O468" s="18">
        <v>0</v>
      </c>
      <c r="P468" s="18">
        <v>0</v>
      </c>
      <c r="Q468" s="18">
        <v>0</v>
      </c>
      <c r="R468" s="18">
        <v>0</v>
      </c>
      <c r="S468" s="18">
        <v>0</v>
      </c>
      <c r="T468" s="18">
        <v>232</v>
      </c>
      <c r="U468" s="18">
        <v>0</v>
      </c>
      <c r="V468" s="18">
        <v>959</v>
      </c>
      <c r="W468" s="18">
        <v>1003</v>
      </c>
      <c r="X468" s="18">
        <v>0</v>
      </c>
      <c r="Y468" s="18">
        <v>0</v>
      </c>
      <c r="Z468" s="18">
        <v>0</v>
      </c>
      <c r="AA468" s="18">
        <f>SUMIF([1]SA007!$C:$C,'SA007 2025.01-2026.05 '!$D468,[1]SA007!P:P)</f>
        <v>1010</v>
      </c>
      <c r="AB468" s="18">
        <f>SUMIF([1]SA007!$C:$C,'SA007 2025.01-2026.05 '!$D468,[1]SA007!Q:Q)</f>
        <v>1491</v>
      </c>
      <c r="AC468" s="19">
        <f t="shared" si="17"/>
        <v>4928</v>
      </c>
      <c r="AD468" s="19">
        <f t="shared" si="18"/>
        <v>289.88235294117646</v>
      </c>
      <c r="AE468" s="20" t="s">
        <v>48</v>
      </c>
      <c r="AG468" s="21">
        <f>SUMIF([1]SO003!$H:$H,'SA007 2025.01-2026.05 '!$D468,[1]SO003!AF:AF)</f>
        <v>1927.018</v>
      </c>
      <c r="AH468" s="21">
        <f>SUMIF([1]SO003!$H:$H,'SA007 2025.01-2026.05 '!$D468,[1]SO003!AH:AH)</f>
        <v>641.58363999999995</v>
      </c>
      <c r="AI468" s="21">
        <f>SUMIF([1]SO003!$H:$H,'SA007 2025.01-2026.05 '!$D468,[1]SO003!AJ:AJ)</f>
        <v>1285.43436</v>
      </c>
    </row>
    <row r="469" spans="1:35" x14ac:dyDescent="0.55000000000000004">
      <c r="A469" s="2" t="s">
        <v>66</v>
      </c>
      <c r="B469" s="2" t="s">
        <v>54</v>
      </c>
      <c r="C469" s="2" t="s">
        <v>54</v>
      </c>
      <c r="D469" s="2" t="s">
        <v>1007</v>
      </c>
      <c r="E469" s="2" t="s">
        <v>69</v>
      </c>
      <c r="F469" s="2" t="s">
        <v>69</v>
      </c>
      <c r="G469" s="3" t="s">
        <v>57</v>
      </c>
      <c r="H469" s="2" t="s">
        <v>54</v>
      </c>
      <c r="I469" s="17">
        <v>0.8</v>
      </c>
      <c r="J469" s="3">
        <v>63.5</v>
      </c>
      <c r="K469" s="3">
        <v>289.2</v>
      </c>
      <c r="L469" s="18">
        <v>0</v>
      </c>
      <c r="M469" s="18">
        <v>228</v>
      </c>
      <c r="N469" s="18">
        <v>0</v>
      </c>
      <c r="O469" s="18">
        <v>0</v>
      </c>
      <c r="P469" s="18">
        <v>0</v>
      </c>
      <c r="Q469" s="18">
        <v>0</v>
      </c>
      <c r="R469" s="18">
        <v>223</v>
      </c>
      <c r="S469" s="18">
        <v>230</v>
      </c>
      <c r="T469" s="18">
        <v>232</v>
      </c>
      <c r="U469" s="18">
        <v>228</v>
      </c>
      <c r="V469" s="18">
        <v>220</v>
      </c>
      <c r="W469" s="18">
        <v>0</v>
      </c>
      <c r="X469" s="18">
        <v>0</v>
      </c>
      <c r="Y469" s="18">
        <v>0</v>
      </c>
      <c r="Z469" s="18">
        <v>228</v>
      </c>
      <c r="AA469" s="18">
        <f>SUMIF([1]SA007!$C:$C,'SA007 2025.01-2026.05 '!$D469,[1]SA007!P:P)</f>
        <v>57</v>
      </c>
      <c r="AB469" s="18">
        <f>SUMIF([1]SA007!$C:$C,'SA007 2025.01-2026.05 '!$D469,[1]SA007!Q:Q)</f>
        <v>0</v>
      </c>
      <c r="AC469" s="19">
        <f t="shared" si="17"/>
        <v>1646</v>
      </c>
      <c r="AD469" s="19">
        <f t="shared" si="18"/>
        <v>96.82352941176471</v>
      </c>
      <c r="AE469" s="20" t="s">
        <v>1008</v>
      </c>
      <c r="AG469" s="21">
        <f>SUMIF([1]SO003!$H:$H,'SA007 2025.01-2026.05 '!$D469,[1]SO003!AF:AF)</f>
        <v>0</v>
      </c>
      <c r="AH469" s="21">
        <f>SUMIF([1]SO003!$H:$H,'SA007 2025.01-2026.05 '!$D469,[1]SO003!AH:AH)</f>
        <v>0</v>
      </c>
      <c r="AI469" s="21">
        <f>SUMIF([1]SO003!$H:$H,'SA007 2025.01-2026.05 '!$D469,[1]SO003!AJ:AJ)</f>
        <v>0</v>
      </c>
    </row>
    <row r="470" spans="1:35" x14ac:dyDescent="0.55000000000000004">
      <c r="A470" s="2" t="s">
        <v>66</v>
      </c>
      <c r="B470" s="2" t="s">
        <v>54</v>
      </c>
      <c r="C470" s="2" t="s">
        <v>54</v>
      </c>
      <c r="D470" s="2" t="s">
        <v>1009</v>
      </c>
      <c r="E470" s="2" t="s">
        <v>69</v>
      </c>
      <c r="F470" s="2" t="s">
        <v>69</v>
      </c>
      <c r="G470" s="3" t="s">
        <v>57</v>
      </c>
      <c r="H470" s="2" t="s">
        <v>54</v>
      </c>
      <c r="I470" s="17">
        <v>0.8</v>
      </c>
      <c r="J470" s="3">
        <v>459.8</v>
      </c>
      <c r="K470" s="3">
        <v>1181.5999999999999</v>
      </c>
      <c r="L470" s="18">
        <v>0</v>
      </c>
      <c r="M470" s="18">
        <v>1304</v>
      </c>
      <c r="N470" s="18">
        <v>0</v>
      </c>
      <c r="O470" s="18">
        <v>0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8">
        <v>0</v>
      </c>
      <c r="Z470" s="18">
        <v>338</v>
      </c>
      <c r="AA470" s="18">
        <f>SUMIF([1]SA007!$C:$C,'SA007 2025.01-2026.05 '!$D470,[1]SA007!P:P)</f>
        <v>610</v>
      </c>
      <c r="AB470" s="18">
        <f>SUMIF([1]SA007!$C:$C,'SA007 2025.01-2026.05 '!$D470,[1]SA007!Q:Q)</f>
        <v>0</v>
      </c>
      <c r="AC470" s="19">
        <f t="shared" si="17"/>
        <v>2252</v>
      </c>
      <c r="AD470" s="19">
        <f t="shared" si="18"/>
        <v>132.47058823529412</v>
      </c>
      <c r="AE470" s="20" t="s">
        <v>166</v>
      </c>
      <c r="AG470" s="21">
        <f>SUMIF([1]SO003!$H:$H,'SA007 2025.01-2026.05 '!$D470,[1]SO003!AF:AF)</f>
        <v>0</v>
      </c>
      <c r="AH470" s="21">
        <f>SUMIF([1]SO003!$H:$H,'SA007 2025.01-2026.05 '!$D470,[1]SO003!AH:AH)</f>
        <v>0</v>
      </c>
      <c r="AI470" s="21">
        <f>SUMIF([1]SO003!$H:$H,'SA007 2025.01-2026.05 '!$D470,[1]SO003!AJ:AJ)</f>
        <v>0</v>
      </c>
    </row>
    <row r="471" spans="1:35" x14ac:dyDescent="0.55000000000000004">
      <c r="A471" s="2" t="s">
        <v>66</v>
      </c>
      <c r="B471" s="2" t="s">
        <v>67</v>
      </c>
      <c r="C471" s="2" t="s">
        <v>54</v>
      </c>
      <c r="D471" s="2" t="s">
        <v>1010</v>
      </c>
      <c r="E471" s="2" t="s">
        <v>69</v>
      </c>
      <c r="G471" s="3" t="s">
        <v>57</v>
      </c>
      <c r="H471" s="2" t="s">
        <v>54</v>
      </c>
      <c r="I471" s="17">
        <v>0.8</v>
      </c>
      <c r="J471" s="3">
        <v>459.8</v>
      </c>
      <c r="K471" s="3">
        <v>1181.5999999999999</v>
      </c>
      <c r="L471" s="18">
        <v>0</v>
      </c>
      <c r="M471" s="18">
        <v>0</v>
      </c>
      <c r="N471" s="18">
        <v>0</v>
      </c>
      <c r="O471" s="18">
        <v>637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f>SUMIF([1]SA007!$C:$C,'SA007 2025.01-2026.05 '!$D471,[1]SA007!P:P)</f>
        <v>0</v>
      </c>
      <c r="AB471" s="18">
        <f>SUMIF([1]SA007!$C:$C,'SA007 2025.01-2026.05 '!$D471,[1]SA007!Q:Q)</f>
        <v>0</v>
      </c>
      <c r="AC471" s="19">
        <f t="shared" si="17"/>
        <v>637</v>
      </c>
      <c r="AD471" s="19">
        <f t="shared" si="18"/>
        <v>37.470588235294116</v>
      </c>
      <c r="AE471" s="20" t="s">
        <v>116</v>
      </c>
      <c r="AG471" s="21">
        <f>SUMIF([1]SO003!$H:$H,'SA007 2025.01-2026.05 '!$D471,[1]SO003!AF:AF)</f>
        <v>0</v>
      </c>
      <c r="AH471" s="21">
        <f>SUMIF([1]SO003!$H:$H,'SA007 2025.01-2026.05 '!$D471,[1]SO003!AH:AH)</f>
        <v>0</v>
      </c>
      <c r="AI471" s="21">
        <f>SUMIF([1]SO003!$H:$H,'SA007 2025.01-2026.05 '!$D471,[1]SO003!AJ:AJ)</f>
        <v>0</v>
      </c>
    </row>
    <row r="472" spans="1:35" x14ac:dyDescent="0.55000000000000004">
      <c r="A472" s="23" t="s">
        <v>324</v>
      </c>
      <c r="D472" s="2" t="s">
        <v>1011</v>
      </c>
      <c r="E472" s="2" t="s">
        <v>249</v>
      </c>
      <c r="G472" s="3" t="s">
        <v>57</v>
      </c>
      <c r="H472" s="2" t="s">
        <v>218</v>
      </c>
      <c r="I472" s="17">
        <v>1.2</v>
      </c>
      <c r="J472" s="3">
        <v>74.400000000000006</v>
      </c>
      <c r="K472" s="3" t="s">
        <v>326</v>
      </c>
      <c r="L472" s="18">
        <v>0</v>
      </c>
      <c r="M472" s="18">
        <v>0</v>
      </c>
      <c r="N472" s="18">
        <v>0</v>
      </c>
      <c r="O472" s="18">
        <v>0</v>
      </c>
      <c r="P472" s="18">
        <v>0</v>
      </c>
      <c r="Q472" s="18">
        <v>0</v>
      </c>
      <c r="R472" s="18">
        <v>0</v>
      </c>
      <c r="S472" s="18">
        <v>0</v>
      </c>
      <c r="T472" s="18">
        <v>0</v>
      </c>
      <c r="U472" s="18">
        <v>0</v>
      </c>
      <c r="V472" s="18">
        <v>345</v>
      </c>
      <c r="W472" s="18">
        <v>0</v>
      </c>
      <c r="X472" s="18">
        <v>279</v>
      </c>
      <c r="Y472" s="18">
        <v>0</v>
      </c>
      <c r="Z472" s="18">
        <v>422</v>
      </c>
      <c r="AA472" s="18">
        <f>SUMIF([1]SA007!$C:$C,'SA007 2025.01-2026.05 '!$D472,[1]SA007!P:P)</f>
        <v>288</v>
      </c>
      <c r="AB472" s="18">
        <f>SUMIF([1]SA007!$C:$C,'SA007 2025.01-2026.05 '!$D472,[1]SA007!Q:Q)</f>
        <v>355</v>
      </c>
      <c r="AC472" s="19">
        <f t="shared" si="17"/>
        <v>1689</v>
      </c>
      <c r="AD472" s="19">
        <f t="shared" si="18"/>
        <v>99.352941176470594</v>
      </c>
      <c r="AG472" s="21">
        <f>SUMIF([1]SO003!$H:$H,'SA007 2025.01-2026.05 '!$D472,[1]SO003!AF:AF)</f>
        <v>428.0779584</v>
      </c>
      <c r="AH472" s="21">
        <f>SUMIF([1]SO003!$H:$H,'SA007 2025.01-2026.05 '!$D472,[1]SO003!AH:AH)</f>
        <v>285.38530560000004</v>
      </c>
      <c r="AI472" s="21">
        <f>SUMIF([1]SO003!$H:$H,'SA007 2025.01-2026.05 '!$D472,[1]SO003!AJ:AJ)</f>
        <v>142.69265280000002</v>
      </c>
    </row>
    <row r="473" spans="1:35" x14ac:dyDescent="0.55000000000000004">
      <c r="A473" s="23" t="s">
        <v>219</v>
      </c>
      <c r="D473" s="2" t="s">
        <v>1012</v>
      </c>
      <c r="E473" s="2" t="s">
        <v>249</v>
      </c>
      <c r="G473" s="3" t="s">
        <v>57</v>
      </c>
      <c r="H473" s="2" t="s">
        <v>67</v>
      </c>
      <c r="I473" s="17">
        <v>1.2</v>
      </c>
      <c r="J473" s="3">
        <v>74.400000000000006</v>
      </c>
      <c r="K473" s="3" t="s">
        <v>749</v>
      </c>
      <c r="L473" s="18">
        <v>0</v>
      </c>
      <c r="M473" s="18">
        <v>0</v>
      </c>
      <c r="N473" s="18">
        <v>0</v>
      </c>
      <c r="O473" s="18">
        <v>0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541</v>
      </c>
      <c r="W473" s="18">
        <v>0</v>
      </c>
      <c r="X473" s="18">
        <v>146</v>
      </c>
      <c r="Y473" s="18">
        <v>180</v>
      </c>
      <c r="Z473" s="18">
        <v>297</v>
      </c>
      <c r="AA473" s="18">
        <f>SUMIF([1]SA007!$C:$C,'SA007 2025.01-2026.05 '!$D473,[1]SA007!P:P)</f>
        <v>297</v>
      </c>
      <c r="AB473" s="18">
        <f>SUMIF([1]SA007!$C:$C,'SA007 2025.01-2026.05 '!$D473,[1]SA007!Q:Q)</f>
        <v>297</v>
      </c>
      <c r="AC473" s="19">
        <f t="shared" si="17"/>
        <v>1758</v>
      </c>
      <c r="AD473" s="19">
        <f t="shared" si="18"/>
        <v>103.41176470588235</v>
      </c>
      <c r="AG473" s="21">
        <f>SUMIF([1]SO003!$H:$H,'SA007 2025.01-2026.05 '!$D473,[1]SO003!AF:AF)</f>
        <v>397.52098560000007</v>
      </c>
      <c r="AH473" s="21">
        <f>SUMIF([1]SO003!$H:$H,'SA007 2025.01-2026.05 '!$D473,[1]SO003!AH:AH)</f>
        <v>496.90123200000011</v>
      </c>
      <c r="AI473" s="21">
        <f>SUMIF([1]SO003!$H:$H,'SA007 2025.01-2026.05 '!$D473,[1]SO003!AJ:AJ)</f>
        <v>0</v>
      </c>
    </row>
    <row r="474" spans="1:35" x14ac:dyDescent="0.55000000000000004">
      <c r="A474" s="2" t="s">
        <v>247</v>
      </c>
      <c r="B474" s="2" t="s">
        <v>54</v>
      </c>
      <c r="C474" s="2" t="s">
        <v>54</v>
      </c>
      <c r="D474" s="2" t="s">
        <v>1013</v>
      </c>
      <c r="E474" s="2" t="s">
        <v>69</v>
      </c>
      <c r="F474" s="2" t="s">
        <v>69</v>
      </c>
      <c r="G474" s="3" t="s">
        <v>57</v>
      </c>
      <c r="H474" s="2" t="s">
        <v>54</v>
      </c>
      <c r="I474" s="17">
        <v>2</v>
      </c>
      <c r="J474" s="3">
        <v>37.6</v>
      </c>
      <c r="K474" s="3">
        <v>320</v>
      </c>
      <c r="L474" s="18">
        <v>0</v>
      </c>
      <c r="M474" s="18">
        <v>364</v>
      </c>
      <c r="N474" s="18">
        <v>340</v>
      </c>
      <c r="O474" s="18">
        <v>0</v>
      </c>
      <c r="P474" s="18">
        <v>276</v>
      </c>
      <c r="Q474" s="18">
        <v>0</v>
      </c>
      <c r="R474" s="18">
        <v>340</v>
      </c>
      <c r="S474" s="18">
        <v>270</v>
      </c>
      <c r="T474" s="18">
        <v>359</v>
      </c>
      <c r="U474" s="18">
        <v>358</v>
      </c>
      <c r="V474" s="18">
        <v>380</v>
      </c>
      <c r="W474" s="18">
        <v>0</v>
      </c>
      <c r="X474" s="18">
        <v>0</v>
      </c>
      <c r="Y474" s="18">
        <v>0</v>
      </c>
      <c r="Z474" s="18">
        <v>381</v>
      </c>
      <c r="AA474" s="18">
        <f>SUMIF([1]SA007!$C:$C,'SA007 2025.01-2026.05 '!$D474,[1]SA007!P:P)</f>
        <v>194</v>
      </c>
      <c r="AB474" s="18">
        <f>SUMIF([1]SA007!$C:$C,'SA007 2025.01-2026.05 '!$D474,[1]SA007!Q:Q)</f>
        <v>373</v>
      </c>
      <c r="AC474" s="19">
        <f t="shared" si="17"/>
        <v>3635</v>
      </c>
      <c r="AD474" s="19">
        <f t="shared" si="18"/>
        <v>213.8235294117647</v>
      </c>
      <c r="AE474" s="20" t="s">
        <v>1014</v>
      </c>
      <c r="AG474" s="21">
        <f>SUMIF([1]SO003!$H:$H,'SA007 2025.01-2026.05 '!$D474,[1]SO003!AF:AF)</f>
        <v>0</v>
      </c>
      <c r="AH474" s="21">
        <f>SUMIF([1]SO003!$H:$H,'SA007 2025.01-2026.05 '!$D474,[1]SO003!AH:AH)</f>
        <v>0</v>
      </c>
      <c r="AI474" s="21">
        <f>SUMIF([1]SO003!$H:$H,'SA007 2025.01-2026.05 '!$D474,[1]SO003!AJ:AJ)</f>
        <v>0</v>
      </c>
    </row>
    <row r="475" spans="1:35" x14ac:dyDescent="0.55000000000000004">
      <c r="A475" s="33" t="s">
        <v>976</v>
      </c>
      <c r="C475" s="2" t="s">
        <v>54</v>
      </c>
      <c r="D475" s="2" t="s">
        <v>1015</v>
      </c>
      <c r="E475" s="2" t="s">
        <v>240</v>
      </c>
      <c r="G475" s="3" t="s">
        <v>57</v>
      </c>
      <c r="H475" s="2" t="s">
        <v>54</v>
      </c>
      <c r="I475" s="17">
        <v>1.2</v>
      </c>
      <c r="J475" s="3">
        <v>326</v>
      </c>
      <c r="K475" s="3" t="s">
        <v>41</v>
      </c>
      <c r="L475" s="18">
        <v>0</v>
      </c>
      <c r="M475" s="18">
        <v>0</v>
      </c>
      <c r="N475" s="18">
        <v>0</v>
      </c>
      <c r="O475" s="18">
        <v>6693</v>
      </c>
      <c r="P475" s="18">
        <v>0</v>
      </c>
      <c r="Q475" s="18">
        <v>0</v>
      </c>
      <c r="R475" s="18">
        <v>0</v>
      </c>
      <c r="S475" s="18">
        <v>7965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0</v>
      </c>
      <c r="Z475" s="18">
        <v>0</v>
      </c>
      <c r="AA475" s="18">
        <f>SUMIF([1]SA007!$C:$C,'SA007 2025.01-2026.05 '!$D475,[1]SA007!P:P)</f>
        <v>0</v>
      </c>
      <c r="AB475" s="18">
        <f>SUMIF([1]SA007!$C:$C,'SA007 2025.01-2026.05 '!$D475,[1]SA007!Q:Q)</f>
        <v>8977</v>
      </c>
      <c r="AC475" s="19">
        <f t="shared" si="17"/>
        <v>23635</v>
      </c>
      <c r="AD475" s="19">
        <f t="shared" si="18"/>
        <v>1390.2941176470588</v>
      </c>
      <c r="AE475" s="20" t="s">
        <v>1016</v>
      </c>
      <c r="AG475" s="21">
        <f>SUMIF([1]SO003!$H:$H,'SA007 2025.01-2026.05 '!$D475,[1]SO003!AF:AF)</f>
        <v>6000</v>
      </c>
      <c r="AH475" s="21">
        <f>SUMIF([1]SO003!$H:$H,'SA007 2025.01-2026.05 '!$D475,[1]SO003!AH:AH)</f>
        <v>0</v>
      </c>
      <c r="AI475" s="21">
        <f>SUMIF([1]SO003!$H:$H,'SA007 2025.01-2026.05 '!$D475,[1]SO003!AJ:AJ)</f>
        <v>6000</v>
      </c>
    </row>
    <row r="476" spans="1:35" x14ac:dyDescent="0.55000000000000004">
      <c r="A476" s="2" t="s">
        <v>72</v>
      </c>
      <c r="C476" s="2" t="s">
        <v>54</v>
      </c>
      <c r="D476" s="2" t="s">
        <v>1017</v>
      </c>
      <c r="E476" s="2" t="s">
        <v>185</v>
      </c>
      <c r="G476" s="3" t="s">
        <v>57</v>
      </c>
      <c r="H476" s="2" t="s">
        <v>54</v>
      </c>
      <c r="I476" s="17">
        <v>1.5</v>
      </c>
      <c r="J476" s="3">
        <v>344</v>
      </c>
      <c r="K476" s="3">
        <v>1104</v>
      </c>
      <c r="L476" s="18">
        <v>0</v>
      </c>
      <c r="M476" s="18">
        <v>0</v>
      </c>
      <c r="N476" s="18">
        <v>0</v>
      </c>
      <c r="O476" s="18">
        <v>791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  <c r="X476" s="18">
        <v>0</v>
      </c>
      <c r="Y476" s="18">
        <v>0</v>
      </c>
      <c r="Z476" s="18">
        <v>0</v>
      </c>
      <c r="AA476" s="18">
        <f>SUMIF([1]SA007!$C:$C,'SA007 2025.01-2026.05 '!$D476,[1]SA007!P:P)</f>
        <v>0</v>
      </c>
      <c r="AB476" s="18">
        <f>SUMIF([1]SA007!$C:$C,'SA007 2025.01-2026.05 '!$D476,[1]SA007!Q:Q)</f>
        <v>0</v>
      </c>
      <c r="AC476" s="19">
        <f t="shared" si="17"/>
        <v>791</v>
      </c>
      <c r="AD476" s="19">
        <f t="shared" si="18"/>
        <v>46.529411764705884</v>
      </c>
      <c r="AE476" s="20" t="s">
        <v>116</v>
      </c>
      <c r="AG476" s="21">
        <f>SUMIF([1]SO003!$H:$H,'SA007 2025.01-2026.05 '!$D476,[1]SO003!AF:AF)</f>
        <v>0</v>
      </c>
      <c r="AH476" s="21">
        <f>SUMIF([1]SO003!$H:$H,'SA007 2025.01-2026.05 '!$D476,[1]SO003!AH:AH)</f>
        <v>0</v>
      </c>
      <c r="AI476" s="21">
        <f>SUMIF([1]SO003!$H:$H,'SA007 2025.01-2026.05 '!$D476,[1]SO003!AJ:AJ)</f>
        <v>0</v>
      </c>
    </row>
    <row r="477" spans="1:35" x14ac:dyDescent="0.55000000000000004">
      <c r="A477" s="2" t="s">
        <v>178</v>
      </c>
      <c r="C477" s="2" t="s">
        <v>54</v>
      </c>
      <c r="D477" s="2" t="s">
        <v>1018</v>
      </c>
      <c r="E477" s="2" t="s">
        <v>185</v>
      </c>
      <c r="G477" s="3" t="s">
        <v>57</v>
      </c>
      <c r="H477" s="2" t="s">
        <v>54</v>
      </c>
      <c r="I477" s="17">
        <v>1</v>
      </c>
      <c r="J477" s="3">
        <v>295</v>
      </c>
      <c r="K477" s="3">
        <v>1179</v>
      </c>
      <c r="L477" s="18">
        <v>0</v>
      </c>
      <c r="M477" s="18">
        <v>0</v>
      </c>
      <c r="N477" s="18">
        <v>0</v>
      </c>
      <c r="O477" s="18">
        <v>53</v>
      </c>
      <c r="P477" s="18">
        <v>0</v>
      </c>
      <c r="Q477" s="18">
        <v>134</v>
      </c>
      <c r="R477" s="18">
        <v>0</v>
      </c>
      <c r="S477" s="18">
        <v>0</v>
      </c>
      <c r="T477" s="18">
        <v>0</v>
      </c>
      <c r="U477" s="18">
        <v>190</v>
      </c>
      <c r="V477" s="18">
        <v>0</v>
      </c>
      <c r="W477" s="18">
        <v>224</v>
      </c>
      <c r="X477" s="18">
        <v>0</v>
      </c>
      <c r="Y477" s="18">
        <v>0</v>
      </c>
      <c r="Z477" s="18">
        <v>0</v>
      </c>
      <c r="AA477" s="18">
        <f>SUMIF([1]SA007!$C:$C,'SA007 2025.01-2026.05 '!$D477,[1]SA007!P:P)</f>
        <v>0</v>
      </c>
      <c r="AB477" s="18">
        <f>SUMIF([1]SA007!$C:$C,'SA007 2025.01-2026.05 '!$D477,[1]SA007!Q:Q)</f>
        <v>0</v>
      </c>
      <c r="AC477" s="19">
        <f t="shared" si="17"/>
        <v>601</v>
      </c>
      <c r="AD477" s="19">
        <f t="shared" si="18"/>
        <v>35.352941176470587</v>
      </c>
      <c r="AE477" s="20" t="s">
        <v>116</v>
      </c>
      <c r="AG477" s="21">
        <f>SUMIF([1]SO003!$H:$H,'SA007 2025.01-2026.05 '!$D477,[1]SO003!AF:AF)</f>
        <v>218.42153999999999</v>
      </c>
      <c r="AH477" s="21">
        <f>SUMIF([1]SO003!$H:$H,'SA007 2025.01-2026.05 '!$D477,[1]SO003!AH:AH)</f>
        <v>223.88207850000001</v>
      </c>
      <c r="AI477" s="21">
        <f>SUMIF([1]SO003!$H:$H,'SA007 2025.01-2026.05 '!$D477,[1]SO003!AJ:AJ)</f>
        <v>0</v>
      </c>
    </row>
    <row r="478" spans="1:35" x14ac:dyDescent="0.55000000000000004">
      <c r="A478" s="2" t="s">
        <v>164</v>
      </c>
      <c r="B478" s="2" t="s">
        <v>54</v>
      </c>
      <c r="D478" s="2" t="s">
        <v>1019</v>
      </c>
      <c r="E478" s="2" t="s">
        <v>101</v>
      </c>
      <c r="G478" s="3" t="s">
        <v>57</v>
      </c>
      <c r="H478" s="2" t="s">
        <v>54</v>
      </c>
      <c r="I478" s="17">
        <v>0.6</v>
      </c>
      <c r="J478" s="3">
        <v>656.4</v>
      </c>
      <c r="K478" s="3">
        <v>329.2</v>
      </c>
      <c r="L478" s="18">
        <v>0</v>
      </c>
      <c r="M478" s="18">
        <v>0</v>
      </c>
      <c r="N478" s="18">
        <v>0</v>
      </c>
      <c r="O478" s="18">
        <v>0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f>SUMIF([1]SA007!$C:$C,'SA007 2025.01-2026.05 '!$D478,[1]SA007!P:P)</f>
        <v>0</v>
      </c>
      <c r="AB478" s="18">
        <f>SUMIF([1]SA007!$C:$C,'SA007 2025.01-2026.05 '!$D478,[1]SA007!Q:Q)</f>
        <v>0</v>
      </c>
      <c r="AC478" s="19">
        <f t="shared" si="17"/>
        <v>0</v>
      </c>
      <c r="AD478" s="19">
        <f t="shared" si="18"/>
        <v>0</v>
      </c>
      <c r="AE478" s="20" t="s">
        <v>116</v>
      </c>
      <c r="AG478" s="21">
        <f>SUMIF([1]SO003!$H:$H,'SA007 2025.01-2026.05 '!$D478,[1]SO003!AF:AF)</f>
        <v>0</v>
      </c>
      <c r="AH478" s="21">
        <f>SUMIF([1]SO003!$H:$H,'SA007 2025.01-2026.05 '!$D478,[1]SO003!AH:AH)</f>
        <v>0</v>
      </c>
      <c r="AI478" s="21">
        <f>SUMIF([1]SO003!$H:$H,'SA007 2025.01-2026.05 '!$D478,[1]SO003!AJ:AJ)</f>
        <v>0</v>
      </c>
    </row>
    <row r="479" spans="1:35" x14ac:dyDescent="0.55000000000000004">
      <c r="A479" s="2" t="s">
        <v>82</v>
      </c>
      <c r="D479" s="2" t="s">
        <v>1020</v>
      </c>
      <c r="E479" s="2" t="s">
        <v>240</v>
      </c>
      <c r="G479" s="3" t="s">
        <v>39</v>
      </c>
      <c r="H479" s="2" t="s">
        <v>282</v>
      </c>
      <c r="I479" s="17">
        <v>1</v>
      </c>
      <c r="J479" s="3">
        <v>52</v>
      </c>
      <c r="K479" s="3" t="s">
        <v>41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  <c r="V479" s="18">
        <v>152</v>
      </c>
      <c r="W479" s="18">
        <v>0</v>
      </c>
      <c r="X479" s="18">
        <v>0</v>
      </c>
      <c r="Y479" s="18">
        <v>0</v>
      </c>
      <c r="Z479" s="18">
        <v>0</v>
      </c>
      <c r="AA479" s="18">
        <f>SUMIF([1]SA007!$C:$C,'SA007 2025.01-2026.05 '!$D479,[1]SA007!P:P)</f>
        <v>0</v>
      </c>
      <c r="AB479" s="18">
        <f>SUMIF([1]SA007!$C:$C,'SA007 2025.01-2026.05 '!$D479,[1]SA007!Q:Q)</f>
        <v>281</v>
      </c>
      <c r="AC479" s="19">
        <f t="shared" si="17"/>
        <v>433</v>
      </c>
      <c r="AD479" s="19">
        <f t="shared" si="18"/>
        <v>25.470588235294116</v>
      </c>
      <c r="AG479" s="21">
        <f>SUMIF([1]SO003!$H:$H,'SA007 2025.01-2026.05 '!$D479,[1]SO003!AF:AF)</f>
        <v>0</v>
      </c>
      <c r="AH479" s="21">
        <f>SUMIF([1]SO003!$H:$H,'SA007 2025.01-2026.05 '!$D479,[1]SO003!AH:AH)</f>
        <v>0</v>
      </c>
      <c r="AI479" s="21">
        <f>SUMIF([1]SO003!$H:$H,'SA007 2025.01-2026.05 '!$D479,[1]SO003!AJ:AJ)</f>
        <v>0</v>
      </c>
    </row>
    <row r="480" spans="1:35" x14ac:dyDescent="0.55000000000000004">
      <c r="A480" s="2" t="s">
        <v>280</v>
      </c>
      <c r="D480" s="2" t="s">
        <v>1021</v>
      </c>
      <c r="E480" s="2" t="s">
        <v>240</v>
      </c>
      <c r="G480" s="3" t="s">
        <v>39</v>
      </c>
      <c r="H480" s="2" t="s">
        <v>282</v>
      </c>
      <c r="I480" s="17">
        <v>1.5</v>
      </c>
      <c r="J480" s="3">
        <v>167</v>
      </c>
      <c r="K480" s="3" t="s">
        <v>41</v>
      </c>
      <c r="L480" s="18">
        <v>0</v>
      </c>
      <c r="M480" s="18">
        <v>0</v>
      </c>
      <c r="N480" s="18">
        <v>0</v>
      </c>
      <c r="O480" s="18">
        <v>0</v>
      </c>
      <c r="P480" s="18">
        <v>0</v>
      </c>
      <c r="Q480" s="18">
        <v>0</v>
      </c>
      <c r="R480" s="18">
        <v>0</v>
      </c>
      <c r="S480" s="18">
        <v>0</v>
      </c>
      <c r="T480" s="18">
        <v>0</v>
      </c>
      <c r="U480" s="18">
        <v>1932</v>
      </c>
      <c r="V480" s="18">
        <v>0</v>
      </c>
      <c r="W480" s="18">
        <v>0</v>
      </c>
      <c r="X480" s="18">
        <v>0</v>
      </c>
      <c r="Y480" s="18">
        <v>0</v>
      </c>
      <c r="Z480" s="18">
        <v>0</v>
      </c>
      <c r="AA480" s="18">
        <f>SUMIF([1]SA007!$C:$C,'SA007 2025.01-2026.05 '!$D480,[1]SA007!P:P)</f>
        <v>0</v>
      </c>
      <c r="AB480" s="18">
        <f>SUMIF([1]SA007!$C:$C,'SA007 2025.01-2026.05 '!$D480,[1]SA007!Q:Q)</f>
        <v>0</v>
      </c>
      <c r="AC480" s="19">
        <f t="shared" si="17"/>
        <v>1932</v>
      </c>
      <c r="AD480" s="19">
        <f t="shared" si="18"/>
        <v>113.64705882352941</v>
      </c>
      <c r="AG480" s="21">
        <f>SUMIF([1]SO003!$H:$H,'SA007 2025.01-2026.05 '!$D480,[1]SO003!AF:AF)</f>
        <v>0</v>
      </c>
      <c r="AH480" s="21">
        <f>SUMIF([1]SO003!$H:$H,'SA007 2025.01-2026.05 '!$D480,[1]SO003!AH:AH)</f>
        <v>0</v>
      </c>
      <c r="AI480" s="21">
        <f>SUMIF([1]SO003!$H:$H,'SA007 2025.01-2026.05 '!$D480,[1]SO003!AJ:AJ)</f>
        <v>0</v>
      </c>
    </row>
    <row r="481" spans="1:35" x14ac:dyDescent="0.55000000000000004">
      <c r="A481" s="2" t="s">
        <v>381</v>
      </c>
      <c r="D481" s="2" t="s">
        <v>1022</v>
      </c>
      <c r="E481" s="2" t="s">
        <v>240</v>
      </c>
      <c r="G481" s="3" t="s">
        <v>39</v>
      </c>
      <c r="H481" s="2" t="s">
        <v>1023</v>
      </c>
      <c r="I481" s="17">
        <v>2</v>
      </c>
      <c r="J481" s="3">
        <v>150</v>
      </c>
      <c r="K481" s="3" t="s">
        <v>41</v>
      </c>
      <c r="L481" s="18">
        <v>0</v>
      </c>
      <c r="M481" s="18">
        <v>0</v>
      </c>
      <c r="N481" s="18">
        <v>0</v>
      </c>
      <c r="O481" s="18">
        <v>0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1635</v>
      </c>
      <c r="W481" s="18">
        <v>0</v>
      </c>
      <c r="X481" s="18">
        <v>0</v>
      </c>
      <c r="Y481" s="18">
        <v>0</v>
      </c>
      <c r="Z481" s="18">
        <v>0</v>
      </c>
      <c r="AA481" s="18">
        <f>SUMIF([1]SA007!$C:$C,'SA007 2025.01-2026.05 '!$D481,[1]SA007!P:P)</f>
        <v>0</v>
      </c>
      <c r="AB481" s="18">
        <f>SUMIF([1]SA007!$C:$C,'SA007 2025.01-2026.05 '!$D481,[1]SA007!Q:Q)</f>
        <v>0</v>
      </c>
      <c r="AC481" s="19">
        <f t="shared" si="17"/>
        <v>1635</v>
      </c>
      <c r="AD481" s="19">
        <f t="shared" si="18"/>
        <v>96.17647058823529</v>
      </c>
      <c r="AG481" s="21">
        <f>SUMIF([1]SO003!$H:$H,'SA007 2025.01-2026.05 '!$D481,[1]SO003!AF:AF)</f>
        <v>0</v>
      </c>
      <c r="AH481" s="21">
        <f>SUMIF([1]SO003!$H:$H,'SA007 2025.01-2026.05 '!$D481,[1]SO003!AH:AH)</f>
        <v>0</v>
      </c>
      <c r="AI481" s="21">
        <f>SUMIF([1]SO003!$H:$H,'SA007 2025.01-2026.05 '!$D481,[1]SO003!AJ:AJ)</f>
        <v>0</v>
      </c>
    </row>
    <row r="482" spans="1:35" x14ac:dyDescent="0.55000000000000004">
      <c r="A482" s="2" t="s">
        <v>381</v>
      </c>
      <c r="D482" s="2" t="s">
        <v>1024</v>
      </c>
      <c r="E482" s="2" t="s">
        <v>240</v>
      </c>
      <c r="G482" s="3" t="s">
        <v>39</v>
      </c>
      <c r="H482" s="2" t="s">
        <v>1023</v>
      </c>
      <c r="I482" s="17">
        <v>2</v>
      </c>
      <c r="J482" s="3">
        <v>220</v>
      </c>
      <c r="K482" s="3" t="s">
        <v>41</v>
      </c>
      <c r="L482" s="18">
        <v>0</v>
      </c>
      <c r="M482" s="18">
        <v>0</v>
      </c>
      <c r="N482" s="18">
        <v>0</v>
      </c>
      <c r="O482" s="18">
        <v>0</v>
      </c>
      <c r="P482" s="18">
        <v>0</v>
      </c>
      <c r="Q482" s="18">
        <v>0</v>
      </c>
      <c r="R482" s="18">
        <v>0</v>
      </c>
      <c r="S482" s="18">
        <v>0</v>
      </c>
      <c r="T482" s="18">
        <v>0</v>
      </c>
      <c r="U482" s="18">
        <v>0</v>
      </c>
      <c r="V482" s="18">
        <v>1167</v>
      </c>
      <c r="W482" s="18">
        <v>0</v>
      </c>
      <c r="X482" s="18">
        <v>0</v>
      </c>
      <c r="Y482" s="18">
        <v>0</v>
      </c>
      <c r="Z482" s="18">
        <v>0</v>
      </c>
      <c r="AA482" s="18">
        <f>SUMIF([1]SA007!$C:$C,'SA007 2025.01-2026.05 '!$D482,[1]SA007!P:P)</f>
        <v>0</v>
      </c>
      <c r="AB482" s="18">
        <f>SUMIF([1]SA007!$C:$C,'SA007 2025.01-2026.05 '!$D482,[1]SA007!Q:Q)</f>
        <v>0</v>
      </c>
      <c r="AC482" s="19">
        <f t="shared" si="17"/>
        <v>1167</v>
      </c>
      <c r="AD482" s="19">
        <f t="shared" si="18"/>
        <v>68.647058823529406</v>
      </c>
      <c r="AG482" s="21">
        <f>SUMIF([1]SO003!$H:$H,'SA007 2025.01-2026.05 '!$D482,[1]SO003!AF:AF)</f>
        <v>0</v>
      </c>
      <c r="AH482" s="21">
        <f>SUMIF([1]SO003!$H:$H,'SA007 2025.01-2026.05 '!$D482,[1]SO003!AH:AH)</f>
        <v>0</v>
      </c>
      <c r="AI482" s="21">
        <f>SUMIF([1]SO003!$H:$H,'SA007 2025.01-2026.05 '!$D482,[1]SO003!AJ:AJ)</f>
        <v>0</v>
      </c>
    </row>
    <row r="483" spans="1:35" x14ac:dyDescent="0.55000000000000004">
      <c r="A483" s="2" t="s">
        <v>956</v>
      </c>
      <c r="D483" s="22" t="s">
        <v>1025</v>
      </c>
      <c r="E483" s="2" t="s">
        <v>182</v>
      </c>
      <c r="F483" s="2" t="s">
        <v>182</v>
      </c>
      <c r="G483" s="3" t="s">
        <v>57</v>
      </c>
      <c r="H483" s="2" t="s">
        <v>54</v>
      </c>
      <c r="I483" s="17">
        <v>1.5</v>
      </c>
      <c r="J483" s="3">
        <v>140</v>
      </c>
      <c r="K483" s="3" t="s">
        <v>1026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  <c r="Q483" s="21">
        <v>0</v>
      </c>
      <c r="R483" s="21">
        <v>0</v>
      </c>
      <c r="S483" s="21">
        <v>0</v>
      </c>
      <c r="T483" s="21">
        <v>0</v>
      </c>
      <c r="U483" s="21">
        <v>0</v>
      </c>
      <c r="V483" s="21">
        <v>0</v>
      </c>
      <c r="W483" s="21">
        <v>443</v>
      </c>
      <c r="X483" s="18">
        <v>0</v>
      </c>
      <c r="Y483" s="18">
        <v>0</v>
      </c>
      <c r="Z483" s="18">
        <v>0</v>
      </c>
      <c r="AA483" s="18">
        <f>SUMIF([1]SA007!$C:$C,'SA007 2025.01-2026.05 '!$D483,[1]SA007!P:P)</f>
        <v>0</v>
      </c>
      <c r="AB483" s="18">
        <f>SUMIF([1]SA007!$C:$C,'SA007 2025.01-2026.05 '!$D483,[1]SA007!Q:Q)</f>
        <v>0</v>
      </c>
      <c r="AC483" s="19">
        <f t="shared" si="17"/>
        <v>443</v>
      </c>
      <c r="AD483" s="19">
        <f t="shared" si="18"/>
        <v>26.058823529411764</v>
      </c>
      <c r="AG483" s="21">
        <f>SUMIF([1]SO003!$H:$H,'SA007 2025.01-2026.05 '!$D483,[1]SO003!AF:AF)</f>
        <v>0</v>
      </c>
      <c r="AH483" s="21">
        <f>SUMIF([1]SO003!$H:$H,'SA007 2025.01-2026.05 '!$D483,[1]SO003!AH:AH)</f>
        <v>0</v>
      </c>
      <c r="AI483" s="21">
        <f>SUMIF([1]SO003!$H:$H,'SA007 2025.01-2026.05 '!$D483,[1]SO003!AJ:AJ)</f>
        <v>0</v>
      </c>
    </row>
    <row r="484" spans="1:35" x14ac:dyDescent="0.55000000000000004">
      <c r="A484" s="2" t="s">
        <v>579</v>
      </c>
      <c r="D484" s="2" t="s">
        <v>1027</v>
      </c>
      <c r="E484" s="2" t="s">
        <v>46</v>
      </c>
      <c r="G484" s="3" t="s">
        <v>47</v>
      </c>
      <c r="H484" s="2" t="s">
        <v>402</v>
      </c>
      <c r="I484" s="17">
        <v>3.5</v>
      </c>
      <c r="J484" s="3">
        <v>190</v>
      </c>
      <c r="K484" s="3" t="s">
        <v>819</v>
      </c>
      <c r="L484" s="18">
        <v>0</v>
      </c>
      <c r="M484" s="18">
        <v>0</v>
      </c>
      <c r="N484" s="18">
        <v>0</v>
      </c>
      <c r="O484" s="18">
        <v>0</v>
      </c>
      <c r="P484" s="18">
        <v>0</v>
      </c>
      <c r="Q484" s="18">
        <v>0</v>
      </c>
      <c r="R484" s="18">
        <v>0</v>
      </c>
      <c r="S484" s="18">
        <v>335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f>SUMIF([1]SA007!$C:$C,'SA007 2025.01-2026.05 '!$D484,[1]SA007!P:P)</f>
        <v>0</v>
      </c>
      <c r="AB484" s="18">
        <f>SUMIF([1]SA007!$C:$C,'SA007 2025.01-2026.05 '!$D484,[1]SA007!Q:Q)</f>
        <v>0</v>
      </c>
      <c r="AC484" s="19">
        <f t="shared" si="17"/>
        <v>335</v>
      </c>
      <c r="AD484" s="19">
        <f t="shared" si="18"/>
        <v>19.705882352941178</v>
      </c>
      <c r="AG484" s="21">
        <f>SUMIF([1]SO003!$H:$H,'SA007 2025.01-2026.05 '!$D484,[1]SO003!AF:AF)</f>
        <v>0</v>
      </c>
      <c r="AH484" s="21">
        <f>SUMIF([1]SO003!$H:$H,'SA007 2025.01-2026.05 '!$D484,[1]SO003!AH:AH)</f>
        <v>0</v>
      </c>
      <c r="AI484" s="21">
        <f>SUMIF([1]SO003!$H:$H,'SA007 2025.01-2026.05 '!$D484,[1]SO003!AJ:AJ)</f>
        <v>0</v>
      </c>
    </row>
    <row r="485" spans="1:35" x14ac:dyDescent="0.55000000000000004">
      <c r="A485" s="2" t="s">
        <v>460</v>
      </c>
      <c r="D485" s="2" t="s">
        <v>1028</v>
      </c>
      <c r="E485" s="2" t="s">
        <v>182</v>
      </c>
      <c r="G485" s="3" t="s">
        <v>47</v>
      </c>
      <c r="H485" s="2" t="s">
        <v>402</v>
      </c>
      <c r="I485" s="17">
        <v>3.2</v>
      </c>
      <c r="J485" s="3">
        <v>95</v>
      </c>
      <c r="K485" s="3" t="s">
        <v>41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128</v>
      </c>
      <c r="W485" s="18">
        <v>0</v>
      </c>
      <c r="X485" s="18">
        <v>0</v>
      </c>
      <c r="Y485" s="18">
        <v>0</v>
      </c>
      <c r="Z485" s="18">
        <v>0</v>
      </c>
      <c r="AA485" s="18">
        <f>SUMIF([1]SA007!$C:$C,'SA007 2025.01-2026.05 '!$D485,[1]SA007!P:P)</f>
        <v>0</v>
      </c>
      <c r="AB485" s="18">
        <f>SUMIF([1]SA007!$C:$C,'SA007 2025.01-2026.05 '!$D485,[1]SA007!Q:Q)</f>
        <v>0</v>
      </c>
      <c r="AC485" s="19">
        <f t="shared" si="17"/>
        <v>128</v>
      </c>
      <c r="AD485" s="19">
        <f t="shared" si="18"/>
        <v>7.5294117647058822</v>
      </c>
      <c r="AG485" s="21">
        <f>SUMIF([1]SO003!$H:$H,'SA007 2025.01-2026.05 '!$D485,[1]SO003!AF:AF)</f>
        <v>0</v>
      </c>
      <c r="AH485" s="21">
        <f>SUMIF([1]SO003!$H:$H,'SA007 2025.01-2026.05 '!$D485,[1]SO003!AH:AH)</f>
        <v>0</v>
      </c>
      <c r="AI485" s="21">
        <f>SUMIF([1]SO003!$H:$H,'SA007 2025.01-2026.05 '!$D485,[1]SO003!AJ:AJ)</f>
        <v>0</v>
      </c>
    </row>
    <row r="486" spans="1:35" x14ac:dyDescent="0.55000000000000004">
      <c r="A486" s="2" t="s">
        <v>145</v>
      </c>
      <c r="D486" s="2" t="s">
        <v>1029</v>
      </c>
      <c r="E486" s="2" t="s">
        <v>182</v>
      </c>
      <c r="G486" s="3" t="s">
        <v>63</v>
      </c>
      <c r="H486" s="2" t="s">
        <v>61</v>
      </c>
      <c r="I486" s="17">
        <v>0.8</v>
      </c>
      <c r="J486" s="3">
        <v>40</v>
      </c>
      <c r="K486" s="3" t="s">
        <v>41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0</v>
      </c>
      <c r="S486" s="18">
        <v>156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f>SUMIF([1]SA007!$C:$C,'SA007 2025.01-2026.05 '!$D486,[1]SA007!P:P)</f>
        <v>0</v>
      </c>
      <c r="AB486" s="18">
        <f>SUMIF([1]SA007!$C:$C,'SA007 2025.01-2026.05 '!$D486,[1]SA007!Q:Q)</f>
        <v>0</v>
      </c>
      <c r="AC486" s="19">
        <f t="shared" si="17"/>
        <v>156</v>
      </c>
      <c r="AD486" s="19">
        <f t="shared" si="18"/>
        <v>9.1764705882352935</v>
      </c>
      <c r="AG486" s="21">
        <f>SUMIF([1]SO003!$H:$H,'SA007 2025.01-2026.05 '!$D486,[1]SO003!AF:AF)</f>
        <v>0</v>
      </c>
      <c r="AH486" s="21">
        <f>SUMIF([1]SO003!$H:$H,'SA007 2025.01-2026.05 '!$D486,[1]SO003!AH:AH)</f>
        <v>0</v>
      </c>
      <c r="AI486" s="21">
        <f>SUMIF([1]SO003!$H:$H,'SA007 2025.01-2026.05 '!$D486,[1]SO003!AJ:AJ)</f>
        <v>0</v>
      </c>
    </row>
    <row r="487" spans="1:35" x14ac:dyDescent="0.55000000000000004">
      <c r="A487" s="2" t="s">
        <v>1030</v>
      </c>
      <c r="D487" s="22" t="s">
        <v>1031</v>
      </c>
      <c r="E487" s="2" t="s">
        <v>227</v>
      </c>
      <c r="F487" s="3"/>
      <c r="G487" s="3" t="s">
        <v>63</v>
      </c>
      <c r="H487" s="2" t="s">
        <v>682</v>
      </c>
      <c r="I487" s="17">
        <v>0.8</v>
      </c>
      <c r="J487" s="3">
        <v>88</v>
      </c>
      <c r="K487" s="3" t="s">
        <v>315</v>
      </c>
      <c r="L487" s="18">
        <v>0</v>
      </c>
      <c r="M487" s="18">
        <v>0</v>
      </c>
      <c r="N487" s="18">
        <v>0</v>
      </c>
      <c r="O487" s="18">
        <v>0</v>
      </c>
      <c r="P487" s="18">
        <v>0</v>
      </c>
      <c r="Q487" s="18">
        <v>0</v>
      </c>
      <c r="R487" s="18">
        <v>0</v>
      </c>
      <c r="S487" s="18">
        <v>616</v>
      </c>
      <c r="T487" s="18">
        <v>0</v>
      </c>
      <c r="U487" s="18">
        <v>0</v>
      </c>
      <c r="V487" s="18">
        <v>0</v>
      </c>
      <c r="W487" s="18">
        <v>0</v>
      </c>
      <c r="X487" s="18">
        <v>1407</v>
      </c>
      <c r="Y487" s="18">
        <v>0</v>
      </c>
      <c r="Z487" s="18">
        <v>0</v>
      </c>
      <c r="AA487" s="18">
        <f>SUMIF([1]SA007!$C:$C,'SA007 2025.01-2026.05 '!$D487,[1]SA007!P:P)</f>
        <v>0</v>
      </c>
      <c r="AB487" s="18">
        <f>SUMIF([1]SA007!$C:$C,'SA007 2025.01-2026.05 '!$D487,[1]SA007!Q:Q)</f>
        <v>0</v>
      </c>
      <c r="AC487" s="19">
        <f t="shared" si="17"/>
        <v>2023</v>
      </c>
      <c r="AD487" s="19">
        <f t="shared" si="18"/>
        <v>119</v>
      </c>
      <c r="AG487" s="21">
        <f>SUMIF([1]SO003!$H:$H,'SA007 2025.01-2026.05 '!$D487,[1]SO003!AF:AF)</f>
        <v>0</v>
      </c>
      <c r="AH487" s="21">
        <f>SUMIF([1]SO003!$H:$H,'SA007 2025.01-2026.05 '!$D487,[1]SO003!AH:AH)</f>
        <v>0</v>
      </c>
      <c r="AI487" s="21">
        <f>SUMIF([1]SO003!$H:$H,'SA007 2025.01-2026.05 '!$D487,[1]SO003!AJ:AJ)</f>
        <v>0</v>
      </c>
    </row>
    <row r="488" spans="1:35" x14ac:dyDescent="0.55000000000000004">
      <c r="A488" s="2" t="s">
        <v>99</v>
      </c>
      <c r="D488" s="2" t="s">
        <v>1032</v>
      </c>
      <c r="E488" s="2" t="s">
        <v>182</v>
      </c>
      <c r="G488" s="3" t="s">
        <v>63</v>
      </c>
      <c r="H488" s="2" t="s">
        <v>61</v>
      </c>
      <c r="I488" s="17">
        <v>0.5</v>
      </c>
      <c r="J488" s="3">
        <v>60</v>
      </c>
      <c r="K488" s="3" t="s">
        <v>41</v>
      </c>
      <c r="L488" s="18">
        <v>0</v>
      </c>
      <c r="M488" s="18">
        <v>0</v>
      </c>
      <c r="N488" s="18">
        <v>0</v>
      </c>
      <c r="O488" s="18">
        <v>0</v>
      </c>
      <c r="P488" s="18">
        <v>0</v>
      </c>
      <c r="Q488" s="18">
        <v>0</v>
      </c>
      <c r="R488" s="18">
        <v>0</v>
      </c>
      <c r="S488" s="18">
        <v>76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f>SUMIF([1]SA007!$C:$C,'SA007 2025.01-2026.05 '!$D488,[1]SA007!P:P)</f>
        <v>0</v>
      </c>
      <c r="AB488" s="18">
        <f>SUMIF([1]SA007!$C:$C,'SA007 2025.01-2026.05 '!$D488,[1]SA007!Q:Q)</f>
        <v>0</v>
      </c>
      <c r="AC488" s="19">
        <f t="shared" si="17"/>
        <v>76</v>
      </c>
      <c r="AD488" s="19">
        <f t="shared" si="18"/>
        <v>4.4705882352941178</v>
      </c>
      <c r="AG488" s="21">
        <f>SUMIF([1]SO003!$H:$H,'SA007 2025.01-2026.05 '!$D488,[1]SO003!AF:AF)</f>
        <v>0</v>
      </c>
      <c r="AH488" s="21">
        <f>SUMIF([1]SO003!$H:$H,'SA007 2025.01-2026.05 '!$D488,[1]SO003!AH:AH)</f>
        <v>0</v>
      </c>
      <c r="AI488" s="21">
        <f>SUMIF([1]SO003!$H:$H,'SA007 2025.01-2026.05 '!$D488,[1]SO003!AJ:AJ)</f>
        <v>0</v>
      </c>
    </row>
    <row r="489" spans="1:35" x14ac:dyDescent="0.55000000000000004">
      <c r="A489" s="2" t="s">
        <v>433</v>
      </c>
      <c r="D489" s="2" t="s">
        <v>1033</v>
      </c>
      <c r="E489" s="2" t="s">
        <v>182</v>
      </c>
      <c r="G489" s="3" t="s">
        <v>47</v>
      </c>
      <c r="H489" s="2" t="s">
        <v>402</v>
      </c>
      <c r="I489" s="17">
        <v>2.6</v>
      </c>
      <c r="J489" s="3">
        <v>139</v>
      </c>
      <c r="K489" s="3" t="s">
        <v>819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135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f>SUMIF([1]SA007!$C:$C,'SA007 2025.01-2026.05 '!$D489,[1]SA007!P:P)</f>
        <v>0</v>
      </c>
      <c r="AB489" s="18">
        <f>SUMIF([1]SA007!$C:$C,'SA007 2025.01-2026.05 '!$D489,[1]SA007!Q:Q)</f>
        <v>0</v>
      </c>
      <c r="AC489" s="19">
        <f t="shared" si="17"/>
        <v>135</v>
      </c>
      <c r="AD489" s="19">
        <f t="shared" si="18"/>
        <v>7.9411764705882355</v>
      </c>
      <c r="AG489" s="21">
        <f>SUMIF([1]SO003!$H:$H,'SA007 2025.01-2026.05 '!$D489,[1]SO003!AF:AF)</f>
        <v>0</v>
      </c>
      <c r="AH489" s="21">
        <f>SUMIF([1]SO003!$H:$H,'SA007 2025.01-2026.05 '!$D489,[1]SO003!AH:AH)</f>
        <v>0</v>
      </c>
      <c r="AI489" s="21">
        <f>SUMIF([1]SO003!$H:$H,'SA007 2025.01-2026.05 '!$D489,[1]SO003!AJ:AJ)</f>
        <v>0</v>
      </c>
    </row>
    <row r="490" spans="1:35" x14ac:dyDescent="0.55000000000000004">
      <c r="A490" s="2" t="s">
        <v>433</v>
      </c>
      <c r="D490" s="2" t="s">
        <v>1034</v>
      </c>
      <c r="E490" s="2" t="s">
        <v>182</v>
      </c>
      <c r="G490" s="3" t="s">
        <v>47</v>
      </c>
      <c r="H490" s="2" t="s">
        <v>402</v>
      </c>
      <c r="I490" s="17">
        <v>2.6</v>
      </c>
      <c r="J490" s="3">
        <v>139</v>
      </c>
      <c r="K490" s="3" t="s">
        <v>819</v>
      </c>
      <c r="L490" s="18">
        <v>0</v>
      </c>
      <c r="M490" s="18">
        <v>0</v>
      </c>
      <c r="N490" s="18">
        <v>0</v>
      </c>
      <c r="O490" s="18">
        <v>0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136</v>
      </c>
      <c r="W490" s="18">
        <v>0</v>
      </c>
      <c r="X490" s="18">
        <v>377</v>
      </c>
      <c r="Y490" s="18">
        <v>0</v>
      </c>
      <c r="Z490" s="18">
        <v>423</v>
      </c>
      <c r="AA490" s="18">
        <f>SUMIF([1]SA007!$C:$C,'SA007 2025.01-2026.05 '!$D490,[1]SA007!P:P)</f>
        <v>0</v>
      </c>
      <c r="AB490" s="18">
        <f>SUMIF([1]SA007!$C:$C,'SA007 2025.01-2026.05 '!$D490,[1]SA007!Q:Q)</f>
        <v>0</v>
      </c>
      <c r="AC490" s="19">
        <f t="shared" si="17"/>
        <v>936</v>
      </c>
      <c r="AD490" s="19">
        <f t="shared" si="18"/>
        <v>55.058823529411768</v>
      </c>
      <c r="AG490" s="21">
        <f>SUMIF([1]SO003!$H:$H,'SA007 2025.01-2026.05 '!$D490,[1]SO003!AF:AF)</f>
        <v>0</v>
      </c>
      <c r="AH490" s="21">
        <f>SUMIF([1]SO003!$H:$H,'SA007 2025.01-2026.05 '!$D490,[1]SO003!AH:AH)</f>
        <v>0</v>
      </c>
      <c r="AI490" s="21">
        <f>SUMIF([1]SO003!$H:$H,'SA007 2025.01-2026.05 '!$D490,[1]SO003!AJ:AJ)</f>
        <v>0</v>
      </c>
    </row>
    <row r="491" spans="1:35" x14ac:dyDescent="0.55000000000000004">
      <c r="A491" s="2" t="s">
        <v>1030</v>
      </c>
      <c r="B491" s="2" t="s">
        <v>199</v>
      </c>
      <c r="C491" s="2" t="s">
        <v>199</v>
      </c>
      <c r="D491" s="2" t="s">
        <v>1035</v>
      </c>
      <c r="E491" s="2" t="s">
        <v>129</v>
      </c>
      <c r="F491" s="2" t="s">
        <v>129</v>
      </c>
      <c r="G491" s="3" t="s">
        <v>63</v>
      </c>
      <c r="H491" s="2" t="s">
        <v>199</v>
      </c>
      <c r="I491" s="17">
        <v>0.8</v>
      </c>
      <c r="J491" s="3">
        <v>55</v>
      </c>
      <c r="K491" s="3" t="s">
        <v>41</v>
      </c>
      <c r="L491" s="18">
        <v>1005</v>
      </c>
      <c r="M491" s="18">
        <v>0</v>
      </c>
      <c r="N491" s="18">
        <v>0</v>
      </c>
      <c r="O491" s="18">
        <v>855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f>SUMIF([1]SA007!$C:$C,'SA007 2025.01-2026.05 '!$D491,[1]SA007!P:P)</f>
        <v>0</v>
      </c>
      <c r="AB491" s="18">
        <f>SUMIF([1]SA007!$C:$C,'SA007 2025.01-2026.05 '!$D491,[1]SA007!Q:Q)</f>
        <v>0</v>
      </c>
      <c r="AC491" s="19">
        <f t="shared" si="17"/>
        <v>1860</v>
      </c>
      <c r="AD491" s="19">
        <f t="shared" si="18"/>
        <v>109.41176470588235</v>
      </c>
      <c r="AE491" s="20" t="s">
        <v>1036</v>
      </c>
      <c r="AG491" s="21">
        <f>SUMIF([1]SO003!$H:$H,'SA007 2025.01-2026.05 '!$D491,[1]SO003!AF:AF)</f>
        <v>0</v>
      </c>
      <c r="AH491" s="21">
        <f>SUMIF([1]SO003!$H:$H,'SA007 2025.01-2026.05 '!$D491,[1]SO003!AH:AH)</f>
        <v>0</v>
      </c>
      <c r="AI491" s="21">
        <f>SUMIF([1]SO003!$H:$H,'SA007 2025.01-2026.05 '!$D491,[1]SO003!AJ:AJ)</f>
        <v>0</v>
      </c>
    </row>
    <row r="492" spans="1:35" x14ac:dyDescent="0.55000000000000004">
      <c r="A492" s="2" t="s">
        <v>460</v>
      </c>
      <c r="D492" s="2" t="s">
        <v>1037</v>
      </c>
      <c r="E492" s="2" t="s">
        <v>182</v>
      </c>
      <c r="G492" s="3" t="s">
        <v>47</v>
      </c>
      <c r="H492" s="2" t="s">
        <v>402</v>
      </c>
      <c r="I492" s="17">
        <v>3.2</v>
      </c>
      <c r="J492" s="3">
        <v>95</v>
      </c>
      <c r="K492" s="3" t="s">
        <v>41</v>
      </c>
      <c r="L492" s="18">
        <v>0</v>
      </c>
      <c r="M492" s="18">
        <v>0</v>
      </c>
      <c r="N492" s="18">
        <v>0</v>
      </c>
      <c r="O492" s="18">
        <v>0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123</v>
      </c>
      <c r="V492" s="18">
        <v>0</v>
      </c>
      <c r="W492" s="18">
        <v>0</v>
      </c>
      <c r="X492" s="18">
        <v>358</v>
      </c>
      <c r="Y492" s="18">
        <v>0</v>
      </c>
      <c r="Z492" s="18">
        <v>0</v>
      </c>
      <c r="AA492" s="18">
        <f>SUMIF([1]SA007!$C:$C,'SA007 2025.01-2026.05 '!$D492,[1]SA007!P:P)</f>
        <v>0</v>
      </c>
      <c r="AB492" s="18">
        <f>SUMIF([1]SA007!$C:$C,'SA007 2025.01-2026.05 '!$D492,[1]SA007!Q:Q)</f>
        <v>0</v>
      </c>
      <c r="AC492" s="19">
        <f t="shared" si="17"/>
        <v>481</v>
      </c>
      <c r="AD492" s="19">
        <f t="shared" si="18"/>
        <v>28.294117647058822</v>
      </c>
      <c r="AG492" s="21">
        <f>SUMIF([1]SO003!$H:$H,'SA007 2025.01-2026.05 '!$D492,[1]SO003!AF:AF)</f>
        <v>0</v>
      </c>
      <c r="AH492" s="21">
        <f>SUMIF([1]SO003!$H:$H,'SA007 2025.01-2026.05 '!$D492,[1]SO003!AH:AH)</f>
        <v>0</v>
      </c>
      <c r="AI492" s="21">
        <f>SUMIF([1]SO003!$H:$H,'SA007 2025.01-2026.05 '!$D492,[1]SO003!AJ:AJ)</f>
        <v>0</v>
      </c>
    </row>
    <row r="493" spans="1:35" x14ac:dyDescent="0.55000000000000004">
      <c r="A493" s="2" t="s">
        <v>1030</v>
      </c>
      <c r="D493" s="2" t="s">
        <v>1038</v>
      </c>
      <c r="E493" s="2" t="s">
        <v>185</v>
      </c>
      <c r="G493" s="3" t="s">
        <v>63</v>
      </c>
      <c r="H493" s="2" t="s">
        <v>199</v>
      </c>
      <c r="I493" s="17">
        <v>0.8</v>
      </c>
      <c r="J493" s="3">
        <v>300</v>
      </c>
      <c r="K493" s="3" t="s">
        <v>1039</v>
      </c>
      <c r="L493" s="18">
        <v>0</v>
      </c>
      <c r="M493" s="18">
        <v>0</v>
      </c>
      <c r="N493" s="18">
        <v>0</v>
      </c>
      <c r="O493" s="18">
        <v>0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  <c r="V493" s="18">
        <v>486</v>
      </c>
      <c r="W493" s="18">
        <v>0</v>
      </c>
      <c r="X493" s="18">
        <v>0</v>
      </c>
      <c r="Y493" s="18">
        <v>0</v>
      </c>
      <c r="Z493" s="18">
        <v>0</v>
      </c>
      <c r="AA493" s="18">
        <f>SUMIF([1]SA007!$C:$C,'SA007 2025.01-2026.05 '!$D493,[1]SA007!P:P)</f>
        <v>0</v>
      </c>
      <c r="AB493" s="18">
        <f>SUMIF([1]SA007!$C:$C,'SA007 2025.01-2026.05 '!$D493,[1]SA007!Q:Q)</f>
        <v>0</v>
      </c>
      <c r="AC493" s="19">
        <f t="shared" si="17"/>
        <v>486</v>
      </c>
      <c r="AD493" s="19">
        <f t="shared" si="18"/>
        <v>28.588235294117649</v>
      </c>
      <c r="AG493" s="21">
        <f>SUMIF([1]SO003!$H:$H,'SA007 2025.01-2026.05 '!$D493,[1]SO003!AF:AF)</f>
        <v>0</v>
      </c>
      <c r="AH493" s="21">
        <f>SUMIF([1]SO003!$H:$H,'SA007 2025.01-2026.05 '!$D493,[1]SO003!AH:AH)</f>
        <v>0</v>
      </c>
      <c r="AI493" s="21">
        <f>SUMIF([1]SO003!$H:$H,'SA007 2025.01-2026.05 '!$D493,[1]SO003!AJ:AJ)</f>
        <v>0</v>
      </c>
    </row>
    <row r="494" spans="1:35" x14ac:dyDescent="0.55000000000000004">
      <c r="A494" s="2" t="s">
        <v>198</v>
      </c>
      <c r="D494" s="2" t="s">
        <v>1040</v>
      </c>
      <c r="E494" s="2" t="s">
        <v>182</v>
      </c>
      <c r="G494" s="3" t="s">
        <v>63</v>
      </c>
      <c r="H494" s="2" t="s">
        <v>786</v>
      </c>
      <c r="I494" s="17">
        <v>1</v>
      </c>
      <c r="J494" s="3">
        <v>73</v>
      </c>
      <c r="K494" s="3" t="s">
        <v>41</v>
      </c>
      <c r="L494" s="18">
        <v>0</v>
      </c>
      <c r="M494" s="18">
        <v>0</v>
      </c>
      <c r="N494" s="18">
        <v>0</v>
      </c>
      <c r="O494" s="18">
        <v>0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110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f>SUMIF([1]SA007!$C:$C,'SA007 2025.01-2026.05 '!$D494,[1]SA007!P:P)</f>
        <v>0</v>
      </c>
      <c r="AB494" s="18">
        <f>SUMIF([1]SA007!$C:$C,'SA007 2025.01-2026.05 '!$D494,[1]SA007!Q:Q)</f>
        <v>0</v>
      </c>
      <c r="AC494" s="19">
        <f t="shared" si="17"/>
        <v>110</v>
      </c>
      <c r="AD494" s="19">
        <f t="shared" si="18"/>
        <v>6.4705882352941178</v>
      </c>
      <c r="AG494" s="21">
        <f>SUMIF([1]SO003!$H:$H,'SA007 2025.01-2026.05 '!$D494,[1]SO003!AF:AF)</f>
        <v>0</v>
      </c>
      <c r="AH494" s="21">
        <f>SUMIF([1]SO003!$H:$H,'SA007 2025.01-2026.05 '!$D494,[1]SO003!AH:AH)</f>
        <v>0</v>
      </c>
      <c r="AI494" s="21">
        <f>SUMIF([1]SO003!$H:$H,'SA007 2025.01-2026.05 '!$D494,[1]SO003!AJ:AJ)</f>
        <v>0</v>
      </c>
    </row>
    <row r="495" spans="1:35" x14ac:dyDescent="0.55000000000000004">
      <c r="A495" s="2" t="s">
        <v>794</v>
      </c>
      <c r="B495" s="2" t="s">
        <v>67</v>
      </c>
      <c r="C495" s="2" t="s">
        <v>67</v>
      </c>
      <c r="D495" s="2" t="s">
        <v>1041</v>
      </c>
      <c r="E495" s="2" t="s">
        <v>249</v>
      </c>
      <c r="F495" s="2" t="s">
        <v>249</v>
      </c>
      <c r="G495" s="3" t="s">
        <v>57</v>
      </c>
      <c r="H495" s="2" t="s">
        <v>67</v>
      </c>
      <c r="I495" s="17">
        <v>1.6</v>
      </c>
      <c r="J495" s="3">
        <v>43.8</v>
      </c>
      <c r="K495" s="3">
        <v>830</v>
      </c>
      <c r="L495" s="18">
        <v>0</v>
      </c>
      <c r="M495" s="18">
        <v>0</v>
      </c>
      <c r="N495" s="18">
        <v>183</v>
      </c>
      <c r="O495" s="18">
        <v>0</v>
      </c>
      <c r="P495" s="18">
        <v>0</v>
      </c>
      <c r="Q495" s="18">
        <v>0</v>
      </c>
      <c r="R495" s="18">
        <v>0</v>
      </c>
      <c r="S495" s="18">
        <v>0</v>
      </c>
      <c r="T495" s="18">
        <v>260</v>
      </c>
      <c r="U495" s="18">
        <v>220</v>
      </c>
      <c r="V495" s="18">
        <v>0</v>
      </c>
      <c r="W495" s="18">
        <v>0</v>
      </c>
      <c r="X495" s="18">
        <v>0</v>
      </c>
      <c r="Y495" s="18">
        <v>0</v>
      </c>
      <c r="Z495" s="18">
        <v>0</v>
      </c>
      <c r="AA495" s="18">
        <f>SUMIF([1]SA007!$C:$C,'SA007 2025.01-2026.05 '!$D495,[1]SA007!P:P)</f>
        <v>349</v>
      </c>
      <c r="AB495" s="18">
        <f>SUMIF([1]SA007!$C:$C,'SA007 2025.01-2026.05 '!$D495,[1]SA007!Q:Q)</f>
        <v>0</v>
      </c>
      <c r="AC495" s="19">
        <f t="shared" si="17"/>
        <v>1012</v>
      </c>
      <c r="AD495" s="19">
        <f t="shared" si="18"/>
        <v>59.529411764705884</v>
      </c>
      <c r="AE495" s="20" t="s">
        <v>821</v>
      </c>
      <c r="AG495" s="21">
        <f>SUMIF([1]SO003!$H:$H,'SA007 2025.01-2026.05 '!$D495,[1]SO003!AF:AF)</f>
        <v>365.28499200000005</v>
      </c>
      <c r="AH495" s="21">
        <f>SUMIF([1]SO003!$H:$H,'SA007 2025.01-2026.05 '!$D495,[1]SO003!AH:AH)</f>
        <v>365.28499200000005</v>
      </c>
      <c r="AI495" s="21">
        <f>SUMIF([1]SO003!$H:$H,'SA007 2025.01-2026.05 '!$D495,[1]SO003!AJ:AJ)</f>
        <v>0</v>
      </c>
    </row>
    <row r="496" spans="1:35" x14ac:dyDescent="0.55000000000000004">
      <c r="A496" s="2" t="s">
        <v>794</v>
      </c>
      <c r="B496" s="2" t="s">
        <v>67</v>
      </c>
      <c r="C496" s="2" t="s">
        <v>67</v>
      </c>
      <c r="D496" s="2" t="s">
        <v>1042</v>
      </c>
      <c r="E496" s="2" t="s">
        <v>249</v>
      </c>
      <c r="F496" s="2" t="s">
        <v>249</v>
      </c>
      <c r="G496" s="3" t="s">
        <v>57</v>
      </c>
      <c r="H496" s="2" t="s">
        <v>67</v>
      </c>
      <c r="I496" s="17">
        <v>1.6</v>
      </c>
      <c r="J496" s="3">
        <v>43.8</v>
      </c>
      <c r="K496" s="3">
        <v>602</v>
      </c>
      <c r="L496" s="18">
        <v>63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196</v>
      </c>
      <c r="U496" s="18">
        <v>0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f>SUMIF([1]SA007!$C:$C,'SA007 2025.01-2026.05 '!$D496,[1]SA007!P:P)</f>
        <v>0</v>
      </c>
      <c r="AB496" s="18">
        <f>SUMIF([1]SA007!$C:$C,'SA007 2025.01-2026.05 '!$D496,[1]SA007!Q:Q)</f>
        <v>0</v>
      </c>
      <c r="AC496" s="19">
        <f t="shared" si="17"/>
        <v>259</v>
      </c>
      <c r="AD496" s="19">
        <f t="shared" si="18"/>
        <v>15.235294117647058</v>
      </c>
      <c r="AE496" s="20" t="s">
        <v>821</v>
      </c>
      <c r="AG496" s="21">
        <f>SUMIF([1]SO003!$H:$H,'SA007 2025.01-2026.05 '!$D496,[1]SO003!AF:AF)</f>
        <v>66.235411200000001</v>
      </c>
      <c r="AH496" s="21">
        <f>SUMIF([1]SO003!$H:$H,'SA007 2025.01-2026.05 '!$D496,[1]SO003!AH:AH)</f>
        <v>66.235411200000001</v>
      </c>
      <c r="AI496" s="21">
        <f>SUMIF([1]SO003!$H:$H,'SA007 2025.01-2026.05 '!$D496,[1]SO003!AJ:AJ)</f>
        <v>0</v>
      </c>
    </row>
    <row r="497" spans="1:35" x14ac:dyDescent="0.55000000000000004">
      <c r="A497" s="2" t="s">
        <v>794</v>
      </c>
      <c r="D497" s="22" t="s">
        <v>1043</v>
      </c>
      <c r="E497" s="2" t="s">
        <v>249</v>
      </c>
      <c r="F497" s="3"/>
      <c r="G497" s="3" t="s">
        <v>57</v>
      </c>
      <c r="H497" s="2" t="s">
        <v>67</v>
      </c>
      <c r="I497" s="17">
        <v>1.6</v>
      </c>
      <c r="J497" s="3">
        <v>43.8</v>
      </c>
      <c r="K497" s="3" t="s">
        <v>1044</v>
      </c>
      <c r="L497" s="18">
        <v>0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176</v>
      </c>
      <c r="X497" s="18">
        <v>0</v>
      </c>
      <c r="Y497" s="18">
        <v>0</v>
      </c>
      <c r="Z497" s="18">
        <v>0</v>
      </c>
      <c r="AA497" s="18">
        <f>SUMIF([1]SA007!$C:$C,'SA007 2025.01-2026.05 '!$D497,[1]SA007!P:P)</f>
        <v>430</v>
      </c>
      <c r="AB497" s="18">
        <f>SUMIF([1]SA007!$C:$C,'SA007 2025.01-2026.05 '!$D497,[1]SA007!Q:Q)</f>
        <v>0</v>
      </c>
      <c r="AC497" s="19">
        <f t="shared" si="17"/>
        <v>606</v>
      </c>
      <c r="AD497" s="19">
        <f t="shared" si="18"/>
        <v>35.647058823529413</v>
      </c>
      <c r="AG497" s="21">
        <f>SUMIF([1]SO003!$H:$H,'SA007 2025.01-2026.05 '!$D497,[1]SO003!AF:AF)</f>
        <v>0</v>
      </c>
      <c r="AH497" s="21">
        <f>SUMIF([1]SO003!$H:$H,'SA007 2025.01-2026.05 '!$D497,[1]SO003!AH:AH)</f>
        <v>0</v>
      </c>
      <c r="AI497" s="21">
        <f>SUMIF([1]SO003!$H:$H,'SA007 2025.01-2026.05 '!$D497,[1]SO003!AJ:AJ)</f>
        <v>0</v>
      </c>
    </row>
    <row r="498" spans="1:35" x14ac:dyDescent="0.55000000000000004">
      <c r="A498" s="2" t="s">
        <v>794</v>
      </c>
      <c r="D498" s="22" t="s">
        <v>1045</v>
      </c>
      <c r="E498" s="2" t="s">
        <v>249</v>
      </c>
      <c r="G498" s="3" t="s">
        <v>57</v>
      </c>
      <c r="H498" s="22" t="s">
        <v>67</v>
      </c>
      <c r="I498" s="17">
        <v>1.6</v>
      </c>
      <c r="J498" s="3">
        <v>43.8</v>
      </c>
      <c r="K498" s="3" t="s">
        <v>1046</v>
      </c>
      <c r="L498" s="18">
        <v>0</v>
      </c>
      <c r="M498" s="18">
        <v>0</v>
      </c>
      <c r="N498" s="18">
        <v>0</v>
      </c>
      <c r="O498" s="18">
        <v>0</v>
      </c>
      <c r="P498" s="18">
        <v>0</v>
      </c>
      <c r="Q498" s="18">
        <v>0</v>
      </c>
      <c r="R498" s="18">
        <v>0</v>
      </c>
      <c r="S498" s="18">
        <v>0</v>
      </c>
      <c r="T498" s="18">
        <v>129</v>
      </c>
      <c r="U498" s="18">
        <v>0</v>
      </c>
      <c r="V498" s="18">
        <v>0</v>
      </c>
      <c r="W498" s="18">
        <v>0</v>
      </c>
      <c r="X498" s="18">
        <v>0</v>
      </c>
      <c r="Y498" s="18">
        <v>0</v>
      </c>
      <c r="Z498" s="18">
        <v>0</v>
      </c>
      <c r="AA498" s="18">
        <f>SUMIF([1]SA007!$C:$C,'SA007 2025.01-2026.05 '!$D498,[1]SA007!P:P)</f>
        <v>0</v>
      </c>
      <c r="AB498" s="18">
        <f>SUMIF([1]SA007!$C:$C,'SA007 2025.01-2026.05 '!$D498,[1]SA007!Q:Q)</f>
        <v>0</v>
      </c>
      <c r="AC498" s="19">
        <f t="shared" si="17"/>
        <v>129</v>
      </c>
      <c r="AD498" s="19">
        <f t="shared" si="18"/>
        <v>7.5882352941176467</v>
      </c>
      <c r="AG498" s="21">
        <f>SUMIF([1]SO003!$H:$H,'SA007 2025.01-2026.05 '!$D498,[1]SO003!AF:AF)</f>
        <v>0</v>
      </c>
      <c r="AH498" s="21">
        <f>SUMIF([1]SO003!$H:$H,'SA007 2025.01-2026.05 '!$D498,[1]SO003!AH:AH)</f>
        <v>0</v>
      </c>
      <c r="AI498" s="21">
        <f>SUMIF([1]SO003!$H:$H,'SA007 2025.01-2026.05 '!$D498,[1]SO003!AJ:AJ)</f>
        <v>0</v>
      </c>
    </row>
    <row r="499" spans="1:35" x14ac:dyDescent="0.55000000000000004">
      <c r="A499" s="2" t="s">
        <v>794</v>
      </c>
      <c r="D499" s="2" t="s">
        <v>1047</v>
      </c>
      <c r="E499" s="2" t="s">
        <v>370</v>
      </c>
      <c r="G499" s="3" t="s">
        <v>57</v>
      </c>
      <c r="H499" s="2" t="s">
        <v>67</v>
      </c>
      <c r="I499" s="17">
        <v>1.6</v>
      </c>
      <c r="J499" s="3">
        <v>1120</v>
      </c>
      <c r="K499" s="3" t="s">
        <v>992</v>
      </c>
      <c r="L499" s="18">
        <v>0</v>
      </c>
      <c r="M499" s="18">
        <v>0</v>
      </c>
      <c r="N499" s="18">
        <v>0</v>
      </c>
      <c r="O499" s="18">
        <v>258</v>
      </c>
      <c r="P499" s="18">
        <v>0</v>
      </c>
      <c r="Q499" s="18">
        <v>0</v>
      </c>
      <c r="R499" s="18">
        <v>0</v>
      </c>
      <c r="S499" s="18">
        <v>0</v>
      </c>
      <c r="T499" s="18">
        <v>0</v>
      </c>
      <c r="U499" s="18">
        <v>82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f>SUMIF([1]SA007!$C:$C,'SA007 2025.01-2026.05 '!$D499,[1]SA007!P:P)</f>
        <v>0</v>
      </c>
      <c r="AB499" s="18">
        <f>SUMIF([1]SA007!$C:$C,'SA007 2025.01-2026.05 '!$D499,[1]SA007!Q:Q)</f>
        <v>0</v>
      </c>
      <c r="AC499" s="19">
        <f t="shared" si="17"/>
        <v>340</v>
      </c>
      <c r="AD499" s="19">
        <f t="shared" si="18"/>
        <v>20</v>
      </c>
      <c r="AG499" s="21">
        <f>SUMIF([1]SO003!$H:$H,'SA007 2025.01-2026.05 '!$D499,[1]SO003!AF:AF)</f>
        <v>0</v>
      </c>
      <c r="AH499" s="21">
        <f>SUMIF([1]SO003!$H:$H,'SA007 2025.01-2026.05 '!$D499,[1]SO003!AH:AH)</f>
        <v>0</v>
      </c>
      <c r="AI499" s="21">
        <f>SUMIF([1]SO003!$H:$H,'SA007 2025.01-2026.05 '!$D499,[1]SO003!AJ:AJ)</f>
        <v>0</v>
      </c>
    </row>
    <row r="500" spans="1:35" x14ac:dyDescent="0.55000000000000004">
      <c r="A500" s="2" t="s">
        <v>794</v>
      </c>
      <c r="D500" s="2" t="s">
        <v>1048</v>
      </c>
      <c r="E500" s="2" t="s">
        <v>249</v>
      </c>
      <c r="G500" s="3" t="s">
        <v>57</v>
      </c>
      <c r="H500" s="2" t="s">
        <v>67</v>
      </c>
      <c r="I500" s="17">
        <v>1.6</v>
      </c>
      <c r="J500" s="3">
        <v>43.8</v>
      </c>
      <c r="K500" s="3" t="s">
        <v>1049</v>
      </c>
      <c r="L500" s="18">
        <v>0</v>
      </c>
      <c r="M500" s="18">
        <v>0</v>
      </c>
      <c r="N500" s="18">
        <v>0</v>
      </c>
      <c r="O500" s="18">
        <v>0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 s="18">
        <v>0</v>
      </c>
      <c r="X500" s="18">
        <v>0</v>
      </c>
      <c r="Y500" s="18">
        <v>0</v>
      </c>
      <c r="Z500" s="18">
        <v>0</v>
      </c>
      <c r="AA500" s="18">
        <f>SUMIF([1]SA007!$C:$C,'SA007 2025.01-2026.05 '!$D500,[1]SA007!P:P)</f>
        <v>0</v>
      </c>
      <c r="AB500" s="18">
        <f>SUMIF([1]SA007!$C:$C,'SA007 2025.01-2026.05 '!$D500,[1]SA007!Q:Q)</f>
        <v>0</v>
      </c>
      <c r="AC500" s="19">
        <f t="shared" si="17"/>
        <v>0</v>
      </c>
      <c r="AD500" s="19">
        <f t="shared" si="18"/>
        <v>0</v>
      </c>
      <c r="AG500" s="21">
        <f>SUMIF([1]SO003!$H:$H,'SA007 2025.01-2026.05 '!$D500,[1]SO003!AF:AF)</f>
        <v>0</v>
      </c>
      <c r="AH500" s="21">
        <f>SUMIF([1]SO003!$H:$H,'SA007 2025.01-2026.05 '!$D500,[1]SO003!AH:AH)</f>
        <v>0</v>
      </c>
      <c r="AI500" s="21">
        <f>SUMIF([1]SO003!$H:$H,'SA007 2025.01-2026.05 '!$D500,[1]SO003!AJ:AJ)</f>
        <v>0</v>
      </c>
    </row>
    <row r="501" spans="1:35" x14ac:dyDescent="0.55000000000000004">
      <c r="A501" s="2" t="s">
        <v>460</v>
      </c>
      <c r="D501" s="22">
        <v>77004578</v>
      </c>
      <c r="E501" s="2" t="s">
        <v>555</v>
      </c>
      <c r="F501" s="2" t="s">
        <v>556</v>
      </c>
      <c r="G501" s="3" t="s">
        <v>47</v>
      </c>
      <c r="H501" s="2" t="s">
        <v>321</v>
      </c>
      <c r="I501" s="17">
        <v>3.2</v>
      </c>
      <c r="J501" s="3">
        <v>78</v>
      </c>
      <c r="K501" s="3">
        <v>1219</v>
      </c>
      <c r="L501" s="18">
        <v>0</v>
      </c>
      <c r="M501" s="18">
        <v>0</v>
      </c>
      <c r="N501" s="18">
        <v>0</v>
      </c>
      <c r="O501" s="18">
        <v>106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49</v>
      </c>
      <c r="X501" s="18">
        <v>0</v>
      </c>
      <c r="Y501" s="18">
        <v>0</v>
      </c>
      <c r="Z501" s="18">
        <v>0</v>
      </c>
      <c r="AA501" s="18">
        <f>SUMIF([1]SA007!$C:$C,'SA007 2025.01-2026.05 '!$D501,[1]SA007!P:P)</f>
        <v>0</v>
      </c>
      <c r="AB501" s="18">
        <f>SUMIF([1]SA007!$C:$C,'SA007 2025.01-2026.05 '!$D501,[1]SA007!Q:Q)</f>
        <v>0</v>
      </c>
      <c r="AC501" s="19">
        <f t="shared" si="17"/>
        <v>155</v>
      </c>
      <c r="AD501" s="19">
        <f t="shared" si="18"/>
        <v>9.117647058823529</v>
      </c>
      <c r="AG501" s="21">
        <f>SUMIF([1]SO003!$H:$H,'SA007 2025.01-2026.05 '!$D501,[1]SO003!AF:AF)</f>
        <v>0</v>
      </c>
      <c r="AH501" s="21">
        <f>SUMIF([1]SO003!$H:$H,'SA007 2025.01-2026.05 '!$D501,[1]SO003!AH:AH)</f>
        <v>0</v>
      </c>
      <c r="AI501" s="21">
        <f>SUMIF([1]SO003!$H:$H,'SA007 2025.01-2026.05 '!$D501,[1]SO003!AJ:AJ)</f>
        <v>0</v>
      </c>
    </row>
    <row r="502" spans="1:35" x14ac:dyDescent="0.55000000000000004">
      <c r="A502" s="2" t="s">
        <v>794</v>
      </c>
      <c r="D502" s="2" t="s">
        <v>1050</v>
      </c>
      <c r="E502" s="2" t="s">
        <v>249</v>
      </c>
      <c r="G502" s="3" t="s">
        <v>57</v>
      </c>
      <c r="H502" s="2" t="s">
        <v>67</v>
      </c>
      <c r="I502" s="17">
        <v>1.6</v>
      </c>
      <c r="J502" s="3">
        <v>43.8</v>
      </c>
      <c r="K502" s="3" t="s">
        <v>1044</v>
      </c>
      <c r="L502" s="18">
        <v>0</v>
      </c>
      <c r="M502" s="18">
        <v>0</v>
      </c>
      <c r="N502" s="18">
        <v>0</v>
      </c>
      <c r="O502" s="18">
        <v>0</v>
      </c>
      <c r="P502" s="18">
        <v>0</v>
      </c>
      <c r="Q502" s="18">
        <v>0</v>
      </c>
      <c r="R502" s="18">
        <v>0</v>
      </c>
      <c r="S502" s="18">
        <v>0</v>
      </c>
      <c r="T502" s="18">
        <v>0</v>
      </c>
      <c r="U502" s="18">
        <v>0</v>
      </c>
      <c r="V502" s="18">
        <v>0</v>
      </c>
      <c r="W502" s="18">
        <v>0</v>
      </c>
      <c r="X502" s="18">
        <v>0</v>
      </c>
      <c r="Y502" s="18">
        <v>0</v>
      </c>
      <c r="Z502" s="18">
        <v>0</v>
      </c>
      <c r="AA502" s="18">
        <f>SUMIF([1]SA007!$C:$C,'SA007 2025.01-2026.05 '!$D502,[1]SA007!P:P)</f>
        <v>0</v>
      </c>
      <c r="AB502" s="18">
        <f>SUMIF([1]SA007!$C:$C,'SA007 2025.01-2026.05 '!$D502,[1]SA007!Q:Q)</f>
        <v>0</v>
      </c>
      <c r="AC502" s="19">
        <f t="shared" si="17"/>
        <v>0</v>
      </c>
      <c r="AD502" s="19">
        <f t="shared" si="18"/>
        <v>0</v>
      </c>
      <c r="AG502" s="21">
        <f>SUMIF([1]SO003!$H:$H,'SA007 2025.01-2026.05 '!$D502,[1]SO003!AF:AF)</f>
        <v>0</v>
      </c>
      <c r="AH502" s="21">
        <f>SUMIF([1]SO003!$H:$H,'SA007 2025.01-2026.05 '!$D502,[1]SO003!AH:AH)</f>
        <v>0</v>
      </c>
      <c r="AI502" s="21">
        <f>SUMIF([1]SO003!$H:$H,'SA007 2025.01-2026.05 '!$D502,[1]SO003!AJ:AJ)</f>
        <v>0</v>
      </c>
    </row>
    <row r="503" spans="1:35" x14ac:dyDescent="0.55000000000000004">
      <c r="A503" s="2" t="s">
        <v>460</v>
      </c>
      <c r="D503" s="22" t="s">
        <v>1051</v>
      </c>
      <c r="E503" s="2" t="s">
        <v>116</v>
      </c>
      <c r="F503" s="2" t="s">
        <v>116</v>
      </c>
      <c r="G503" s="3" t="s">
        <v>47</v>
      </c>
      <c r="H503" s="2" t="s">
        <v>321</v>
      </c>
      <c r="I503" s="17">
        <v>3.2</v>
      </c>
      <c r="J503" s="3">
        <v>78</v>
      </c>
      <c r="K503" s="3">
        <v>1219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8">
        <v>0</v>
      </c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f>SUMIF([1]SA007!$C:$C,'SA007 2025.01-2026.05 '!$D503,[1]SA007!P:P)</f>
        <v>0</v>
      </c>
      <c r="AB503" s="18">
        <f>SUMIF([1]SA007!$C:$C,'SA007 2025.01-2026.05 '!$D503,[1]SA007!Q:Q)</f>
        <v>0</v>
      </c>
      <c r="AC503" s="19">
        <f t="shared" si="17"/>
        <v>0</v>
      </c>
      <c r="AD503" s="19">
        <f t="shared" si="18"/>
        <v>0</v>
      </c>
      <c r="AG503" s="21">
        <f>SUMIF([1]SO003!$H:$H,'SA007 2025.01-2026.05 '!$D503,[1]SO003!AF:AF)</f>
        <v>0</v>
      </c>
      <c r="AH503" s="21">
        <f>SUMIF([1]SO003!$H:$H,'SA007 2025.01-2026.05 '!$D503,[1]SO003!AH:AH)</f>
        <v>0</v>
      </c>
      <c r="AI503" s="21">
        <f>SUMIF([1]SO003!$H:$H,'SA007 2025.01-2026.05 '!$D503,[1]SO003!AJ:AJ)</f>
        <v>0</v>
      </c>
    </row>
    <row r="504" spans="1:35" x14ac:dyDescent="0.55000000000000004">
      <c r="A504" s="2" t="s">
        <v>794</v>
      </c>
      <c r="D504" s="2" t="s">
        <v>1052</v>
      </c>
      <c r="E504" s="2" t="s">
        <v>249</v>
      </c>
      <c r="G504" s="3" t="s">
        <v>57</v>
      </c>
      <c r="H504" s="2" t="s">
        <v>67</v>
      </c>
      <c r="I504" s="17">
        <v>1.6</v>
      </c>
      <c r="J504" s="3">
        <v>43.8</v>
      </c>
      <c r="K504" s="3" t="s">
        <v>1053</v>
      </c>
      <c r="L504" s="18">
        <v>0</v>
      </c>
      <c r="M504" s="18">
        <v>0</v>
      </c>
      <c r="N504" s="18">
        <v>0</v>
      </c>
      <c r="O504" s="18">
        <v>0</v>
      </c>
      <c r="P504" s="18">
        <v>0</v>
      </c>
      <c r="Q504" s="18">
        <v>0</v>
      </c>
      <c r="R504" s="18">
        <v>0</v>
      </c>
      <c r="S504" s="18">
        <v>0</v>
      </c>
      <c r="T504" s="18">
        <v>0</v>
      </c>
      <c r="U504" s="18">
        <v>0</v>
      </c>
      <c r="V504" s="18">
        <v>0</v>
      </c>
      <c r="W504" s="18">
        <v>0</v>
      </c>
      <c r="X504" s="18">
        <v>0</v>
      </c>
      <c r="Y504" s="18">
        <v>0</v>
      </c>
      <c r="Z504" s="18">
        <v>0</v>
      </c>
      <c r="AA504" s="18">
        <f>SUMIF([1]SA007!$C:$C,'SA007 2025.01-2026.05 '!$D504,[1]SA007!P:P)</f>
        <v>0</v>
      </c>
      <c r="AB504" s="18">
        <f>SUMIF([1]SA007!$C:$C,'SA007 2025.01-2026.05 '!$D504,[1]SA007!Q:Q)</f>
        <v>0</v>
      </c>
      <c r="AC504" s="19">
        <f t="shared" si="17"/>
        <v>0</v>
      </c>
      <c r="AD504" s="19">
        <f t="shared" si="18"/>
        <v>0</v>
      </c>
      <c r="AG504" s="21">
        <f>SUMIF([1]SO003!$H:$H,'SA007 2025.01-2026.05 '!$D504,[1]SO003!AF:AF)</f>
        <v>0</v>
      </c>
      <c r="AH504" s="21">
        <f>SUMIF([1]SO003!$H:$H,'SA007 2025.01-2026.05 '!$D504,[1]SO003!AH:AH)</f>
        <v>0</v>
      </c>
      <c r="AI504" s="21">
        <f>SUMIF([1]SO003!$H:$H,'SA007 2025.01-2026.05 '!$D504,[1]SO003!AJ:AJ)</f>
        <v>0</v>
      </c>
    </row>
    <row r="505" spans="1:35" x14ac:dyDescent="0.55000000000000004">
      <c r="A505" s="2" t="s">
        <v>794</v>
      </c>
      <c r="D505" s="2" t="s">
        <v>1054</v>
      </c>
      <c r="E505" s="2" t="s">
        <v>249</v>
      </c>
      <c r="G505" s="3" t="s">
        <v>57</v>
      </c>
      <c r="H505" s="2" t="s">
        <v>67</v>
      </c>
      <c r="I505" s="17">
        <v>1.6</v>
      </c>
      <c r="J505" s="3">
        <v>43.8</v>
      </c>
      <c r="K505" s="3" t="s">
        <v>1055</v>
      </c>
      <c r="L505" s="18">
        <v>0</v>
      </c>
      <c r="M505" s="18">
        <v>0</v>
      </c>
      <c r="N505" s="18">
        <v>0</v>
      </c>
      <c r="O505" s="18">
        <v>0</v>
      </c>
      <c r="P505" s="18">
        <v>0</v>
      </c>
      <c r="Q505" s="18">
        <v>0</v>
      </c>
      <c r="R505" s="18">
        <v>0</v>
      </c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f>SUMIF([1]SA007!$C:$C,'SA007 2025.01-2026.05 '!$D505,[1]SA007!P:P)</f>
        <v>0</v>
      </c>
      <c r="AB505" s="18">
        <f>SUMIF([1]SA007!$C:$C,'SA007 2025.01-2026.05 '!$D505,[1]SA007!Q:Q)</f>
        <v>0</v>
      </c>
      <c r="AC505" s="19">
        <f t="shared" si="17"/>
        <v>0</v>
      </c>
      <c r="AD505" s="19">
        <f t="shared" si="18"/>
        <v>0</v>
      </c>
      <c r="AG505" s="21">
        <f>SUMIF([1]SO003!$H:$H,'SA007 2025.01-2026.05 '!$D505,[1]SO003!AF:AF)</f>
        <v>0</v>
      </c>
      <c r="AH505" s="21">
        <f>SUMIF([1]SO003!$H:$H,'SA007 2025.01-2026.05 '!$D505,[1]SO003!AH:AH)</f>
        <v>0</v>
      </c>
      <c r="AI505" s="21">
        <f>SUMIF([1]SO003!$H:$H,'SA007 2025.01-2026.05 '!$D505,[1]SO003!AJ:AJ)</f>
        <v>0</v>
      </c>
    </row>
    <row r="506" spans="1:35" x14ac:dyDescent="0.55000000000000004">
      <c r="A506" s="2" t="s">
        <v>794</v>
      </c>
      <c r="D506" s="2" t="s">
        <v>1056</v>
      </c>
      <c r="E506" s="2" t="s">
        <v>249</v>
      </c>
      <c r="G506" s="3" t="s">
        <v>57</v>
      </c>
      <c r="H506" s="2" t="s">
        <v>67</v>
      </c>
      <c r="I506" s="17">
        <v>1.6</v>
      </c>
      <c r="J506" s="3">
        <v>43.8</v>
      </c>
      <c r="K506" s="3" t="s">
        <v>1057</v>
      </c>
      <c r="L506" s="18">
        <v>0</v>
      </c>
      <c r="M506" s="18">
        <v>0</v>
      </c>
      <c r="N506" s="18">
        <v>0</v>
      </c>
      <c r="O506" s="18">
        <v>0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f>SUMIF([1]SA007!$C:$C,'SA007 2025.01-2026.05 '!$D506,[1]SA007!P:P)</f>
        <v>0</v>
      </c>
      <c r="AB506" s="18">
        <f>SUMIF([1]SA007!$C:$C,'SA007 2025.01-2026.05 '!$D506,[1]SA007!Q:Q)</f>
        <v>0</v>
      </c>
      <c r="AC506" s="19">
        <f t="shared" si="17"/>
        <v>0</v>
      </c>
      <c r="AD506" s="19">
        <f t="shared" si="18"/>
        <v>0</v>
      </c>
      <c r="AG506" s="21">
        <f>SUMIF([1]SO003!$H:$H,'SA007 2025.01-2026.05 '!$D506,[1]SO003!AF:AF)</f>
        <v>0</v>
      </c>
      <c r="AH506" s="21">
        <f>SUMIF([1]SO003!$H:$H,'SA007 2025.01-2026.05 '!$D506,[1]SO003!AH:AH)</f>
        <v>0</v>
      </c>
      <c r="AI506" s="21">
        <f>SUMIF([1]SO003!$H:$H,'SA007 2025.01-2026.05 '!$D506,[1]SO003!AJ:AJ)</f>
        <v>0</v>
      </c>
    </row>
    <row r="507" spans="1:35" x14ac:dyDescent="0.55000000000000004">
      <c r="A507" s="2" t="s">
        <v>206</v>
      </c>
      <c r="D507" s="22" t="s">
        <v>1058</v>
      </c>
      <c r="E507" s="2" t="s">
        <v>116</v>
      </c>
      <c r="F507" s="2" t="s">
        <v>116</v>
      </c>
      <c r="G507" s="3" t="s">
        <v>63</v>
      </c>
      <c r="H507" s="2" t="s">
        <v>310</v>
      </c>
      <c r="I507" s="17">
        <v>1</v>
      </c>
      <c r="J507" s="3">
        <v>55</v>
      </c>
      <c r="K507" s="3">
        <v>1219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8">
        <v>0</v>
      </c>
      <c r="Z507" s="18">
        <v>0</v>
      </c>
      <c r="AA507" s="18">
        <f>SUMIF([1]SA007!$C:$C,'SA007 2025.01-2026.05 '!$D507,[1]SA007!P:P)</f>
        <v>0</v>
      </c>
      <c r="AB507" s="18">
        <f>SUMIF([1]SA007!$C:$C,'SA007 2025.01-2026.05 '!$D507,[1]SA007!Q:Q)</f>
        <v>0</v>
      </c>
      <c r="AC507" s="19">
        <f t="shared" si="17"/>
        <v>0</v>
      </c>
      <c r="AD507" s="19">
        <f t="shared" si="18"/>
        <v>0</v>
      </c>
      <c r="AG507" s="21">
        <f>SUMIF([1]SO003!$H:$H,'SA007 2025.01-2026.05 '!$D507,[1]SO003!AF:AF)</f>
        <v>0</v>
      </c>
      <c r="AH507" s="21">
        <f>SUMIF([1]SO003!$H:$H,'SA007 2025.01-2026.05 '!$D507,[1]SO003!AH:AH)</f>
        <v>0</v>
      </c>
      <c r="AI507" s="21">
        <f>SUMIF([1]SO003!$H:$H,'SA007 2025.01-2026.05 '!$D507,[1]SO003!AJ:AJ)</f>
        <v>0</v>
      </c>
    </row>
    <row r="508" spans="1:35" x14ac:dyDescent="0.55000000000000004">
      <c r="A508" s="2" t="s">
        <v>794</v>
      </c>
      <c r="D508" s="2" t="s">
        <v>1059</v>
      </c>
      <c r="E508" s="2" t="s">
        <v>249</v>
      </c>
      <c r="G508" s="3" t="s">
        <v>57</v>
      </c>
      <c r="H508" s="2" t="s">
        <v>67</v>
      </c>
      <c r="I508" s="17">
        <v>1.6</v>
      </c>
      <c r="J508" s="3">
        <v>43.8</v>
      </c>
      <c r="K508" s="3" t="s">
        <v>1055</v>
      </c>
      <c r="L508" s="18">
        <v>0</v>
      </c>
      <c r="M508" s="18">
        <v>0</v>
      </c>
      <c r="N508" s="18">
        <v>0</v>
      </c>
      <c r="O508" s="18">
        <v>0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88</v>
      </c>
      <c r="X508" s="18">
        <v>0</v>
      </c>
      <c r="Y508" s="18">
        <v>0</v>
      </c>
      <c r="Z508" s="18">
        <v>0</v>
      </c>
      <c r="AA508" s="18">
        <f>SUMIF([1]SA007!$C:$C,'SA007 2025.01-2026.05 '!$D508,[1]SA007!P:P)</f>
        <v>0</v>
      </c>
      <c r="AB508" s="18">
        <f>SUMIF([1]SA007!$C:$C,'SA007 2025.01-2026.05 '!$D508,[1]SA007!Q:Q)</f>
        <v>0</v>
      </c>
      <c r="AC508" s="19">
        <f t="shared" si="17"/>
        <v>88</v>
      </c>
      <c r="AD508" s="19">
        <f t="shared" si="18"/>
        <v>5.1764705882352944</v>
      </c>
      <c r="AG508" s="21">
        <f>SUMIF([1]SO003!$H:$H,'SA007 2025.01-2026.05 '!$D508,[1]SO003!AF:AF)</f>
        <v>0</v>
      </c>
      <c r="AH508" s="21">
        <f>SUMIF([1]SO003!$H:$H,'SA007 2025.01-2026.05 '!$D508,[1]SO003!AH:AH)</f>
        <v>0</v>
      </c>
      <c r="AI508" s="21">
        <f>SUMIF([1]SO003!$H:$H,'SA007 2025.01-2026.05 '!$D508,[1]SO003!AJ:AJ)</f>
        <v>0</v>
      </c>
    </row>
    <row r="509" spans="1:35" x14ac:dyDescent="0.55000000000000004">
      <c r="A509" s="2" t="s">
        <v>794</v>
      </c>
      <c r="D509" s="2" t="s">
        <v>1060</v>
      </c>
      <c r="E509" s="2" t="s">
        <v>249</v>
      </c>
      <c r="G509" s="3" t="s">
        <v>57</v>
      </c>
      <c r="H509" s="2" t="s">
        <v>67</v>
      </c>
      <c r="I509" s="17">
        <v>1.6</v>
      </c>
      <c r="J509" s="3">
        <v>43.8</v>
      </c>
      <c r="K509" s="3" t="s">
        <v>1057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v>0</v>
      </c>
      <c r="S509" s="18">
        <v>0</v>
      </c>
      <c r="T509" s="18">
        <v>0</v>
      </c>
      <c r="U509" s="18">
        <v>0</v>
      </c>
      <c r="V509" s="18">
        <v>0</v>
      </c>
      <c r="W509" s="18">
        <v>24</v>
      </c>
      <c r="X509" s="18">
        <v>0</v>
      </c>
      <c r="Y509" s="18">
        <v>0</v>
      </c>
      <c r="Z509" s="18">
        <v>0</v>
      </c>
      <c r="AA509" s="18">
        <f>SUMIF([1]SA007!$C:$C,'SA007 2025.01-2026.05 '!$D509,[1]SA007!P:P)</f>
        <v>0</v>
      </c>
      <c r="AB509" s="18">
        <f>SUMIF([1]SA007!$C:$C,'SA007 2025.01-2026.05 '!$D509,[1]SA007!Q:Q)</f>
        <v>0</v>
      </c>
      <c r="AC509" s="19">
        <f t="shared" si="17"/>
        <v>24</v>
      </c>
      <c r="AD509" s="19">
        <f t="shared" si="18"/>
        <v>1.411764705882353</v>
      </c>
      <c r="AG509" s="21">
        <f>SUMIF([1]SO003!$H:$H,'SA007 2025.01-2026.05 '!$D509,[1]SO003!AF:AF)</f>
        <v>0</v>
      </c>
      <c r="AH509" s="21">
        <f>SUMIF([1]SO003!$H:$H,'SA007 2025.01-2026.05 '!$D509,[1]SO003!AH:AH)</f>
        <v>0</v>
      </c>
      <c r="AI509" s="21">
        <f>SUMIF([1]SO003!$H:$H,'SA007 2025.01-2026.05 '!$D509,[1]SO003!AJ:AJ)</f>
        <v>0</v>
      </c>
    </row>
    <row r="510" spans="1:35" x14ac:dyDescent="0.55000000000000004">
      <c r="A510" s="2" t="s">
        <v>389</v>
      </c>
      <c r="D510" s="22" t="s">
        <v>1061</v>
      </c>
      <c r="E510" s="2" t="s">
        <v>116</v>
      </c>
      <c r="F510" s="2" t="s">
        <v>116</v>
      </c>
      <c r="G510" s="3" t="s">
        <v>47</v>
      </c>
      <c r="H510" s="2" t="s">
        <v>321</v>
      </c>
      <c r="I510" s="17">
        <v>2</v>
      </c>
      <c r="J510" s="3">
        <v>178</v>
      </c>
      <c r="K510" s="3">
        <v>1219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f>SUMIF([1]SA007!$C:$C,'SA007 2025.01-2026.05 '!$D510,[1]SA007!P:P)</f>
        <v>0</v>
      </c>
      <c r="AB510" s="18">
        <f>SUMIF([1]SA007!$C:$C,'SA007 2025.01-2026.05 '!$D510,[1]SA007!Q:Q)</f>
        <v>0</v>
      </c>
      <c r="AC510" s="19">
        <f t="shared" si="17"/>
        <v>0</v>
      </c>
      <c r="AD510" s="19">
        <f t="shared" si="18"/>
        <v>0</v>
      </c>
      <c r="AG510" s="21">
        <f>SUMIF([1]SO003!$H:$H,'SA007 2025.01-2026.05 '!$D510,[1]SO003!AF:AF)</f>
        <v>0</v>
      </c>
      <c r="AH510" s="21">
        <f>SUMIF([1]SO003!$H:$H,'SA007 2025.01-2026.05 '!$D510,[1]SO003!AH:AH)</f>
        <v>0</v>
      </c>
      <c r="AI510" s="21">
        <f>SUMIF([1]SO003!$H:$H,'SA007 2025.01-2026.05 '!$D510,[1]SO003!AJ:AJ)</f>
        <v>0</v>
      </c>
    </row>
    <row r="511" spans="1:35" x14ac:dyDescent="0.55000000000000004">
      <c r="A511" s="2" t="s">
        <v>475</v>
      </c>
      <c r="D511" s="22" t="s">
        <v>1062</v>
      </c>
      <c r="E511" s="2" t="s">
        <v>116</v>
      </c>
      <c r="F511" s="2" t="s">
        <v>116</v>
      </c>
      <c r="G511" s="3" t="s">
        <v>47</v>
      </c>
      <c r="H511" s="2" t="s">
        <v>321</v>
      </c>
      <c r="I511" s="17">
        <v>4</v>
      </c>
      <c r="J511" s="3">
        <v>55</v>
      </c>
      <c r="K511" s="3">
        <v>1219</v>
      </c>
      <c r="L511" s="18">
        <v>0</v>
      </c>
      <c r="M511" s="18">
        <v>0</v>
      </c>
      <c r="N511" s="18">
        <v>0</v>
      </c>
      <c r="O511" s="18">
        <v>0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0</v>
      </c>
      <c r="AA511" s="18">
        <f>SUMIF([1]SA007!$C:$C,'SA007 2025.01-2026.05 '!$D511,[1]SA007!P:P)</f>
        <v>0</v>
      </c>
      <c r="AB511" s="18">
        <f>SUMIF([1]SA007!$C:$C,'SA007 2025.01-2026.05 '!$D511,[1]SA007!Q:Q)</f>
        <v>0</v>
      </c>
      <c r="AC511" s="19">
        <f t="shared" si="17"/>
        <v>0</v>
      </c>
      <c r="AD511" s="19">
        <f t="shared" si="18"/>
        <v>0</v>
      </c>
      <c r="AG511" s="21">
        <f>SUMIF([1]SO003!$H:$H,'SA007 2025.01-2026.05 '!$D511,[1]SO003!AF:AF)</f>
        <v>0</v>
      </c>
      <c r="AH511" s="21">
        <f>SUMIF([1]SO003!$H:$H,'SA007 2025.01-2026.05 '!$D511,[1]SO003!AH:AH)</f>
        <v>0</v>
      </c>
      <c r="AI511" s="21">
        <f>SUMIF([1]SO003!$H:$H,'SA007 2025.01-2026.05 '!$D511,[1]SO003!AJ:AJ)</f>
        <v>0</v>
      </c>
    </row>
    <row r="512" spans="1:35" x14ac:dyDescent="0.55000000000000004">
      <c r="A512" s="2" t="s">
        <v>389</v>
      </c>
      <c r="D512" s="22" t="s">
        <v>1063</v>
      </c>
      <c r="E512" s="2" t="s">
        <v>116</v>
      </c>
      <c r="F512" s="2" t="s">
        <v>116</v>
      </c>
      <c r="G512" s="3" t="s">
        <v>47</v>
      </c>
      <c r="H512" s="2" t="s">
        <v>321</v>
      </c>
      <c r="I512" s="17">
        <v>2</v>
      </c>
      <c r="J512" s="3">
        <v>60</v>
      </c>
      <c r="K512" s="3">
        <v>1219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8">
        <v>0</v>
      </c>
      <c r="Z512" s="18">
        <v>0</v>
      </c>
      <c r="AA512" s="18">
        <f>SUMIF([1]SA007!$C:$C,'SA007 2025.01-2026.05 '!$D512,[1]SA007!P:P)</f>
        <v>0</v>
      </c>
      <c r="AB512" s="18">
        <f>SUMIF([1]SA007!$C:$C,'SA007 2025.01-2026.05 '!$D512,[1]SA007!Q:Q)</f>
        <v>0</v>
      </c>
      <c r="AC512" s="19">
        <f t="shared" si="17"/>
        <v>0</v>
      </c>
      <c r="AD512" s="19">
        <f t="shared" si="18"/>
        <v>0</v>
      </c>
      <c r="AG512" s="21">
        <f>SUMIF([1]SO003!$H:$H,'SA007 2025.01-2026.05 '!$D512,[1]SO003!AF:AF)</f>
        <v>0</v>
      </c>
      <c r="AH512" s="21">
        <f>SUMIF([1]SO003!$H:$H,'SA007 2025.01-2026.05 '!$D512,[1]SO003!AH:AH)</f>
        <v>0</v>
      </c>
      <c r="AI512" s="21">
        <f>SUMIF([1]SO003!$H:$H,'SA007 2025.01-2026.05 '!$D512,[1]SO003!AJ:AJ)</f>
        <v>0</v>
      </c>
    </row>
    <row r="513" spans="1:35" x14ac:dyDescent="0.55000000000000004">
      <c r="A513" s="2" t="s">
        <v>794</v>
      </c>
      <c r="B513" s="2" t="s">
        <v>67</v>
      </c>
      <c r="C513" s="2" t="s">
        <v>67</v>
      </c>
      <c r="D513" s="2" t="s">
        <v>1064</v>
      </c>
      <c r="E513" s="2" t="s">
        <v>185</v>
      </c>
      <c r="F513" s="2" t="s">
        <v>185</v>
      </c>
      <c r="G513" s="3" t="s">
        <v>57</v>
      </c>
      <c r="H513" s="2" t="s">
        <v>783</v>
      </c>
      <c r="I513" s="17">
        <v>1.6</v>
      </c>
      <c r="J513" s="3">
        <v>200</v>
      </c>
      <c r="K513" s="3">
        <v>1166</v>
      </c>
      <c r="L513" s="18">
        <v>0</v>
      </c>
      <c r="M513" s="18">
        <v>1556</v>
      </c>
      <c r="N513" s="18">
        <v>2196</v>
      </c>
      <c r="O513" s="18">
        <v>1008</v>
      </c>
      <c r="P513" s="18">
        <v>0</v>
      </c>
      <c r="Q513" s="18">
        <v>1814</v>
      </c>
      <c r="R513" s="18">
        <v>1765</v>
      </c>
      <c r="S513" s="18">
        <v>1143</v>
      </c>
      <c r="T513" s="18">
        <v>0</v>
      </c>
      <c r="U513" s="18">
        <v>1420</v>
      </c>
      <c r="V513" s="18">
        <v>2870</v>
      </c>
      <c r="W513" s="18">
        <v>3190</v>
      </c>
      <c r="X513" s="18">
        <v>0</v>
      </c>
      <c r="Y513" s="18">
        <v>1172</v>
      </c>
      <c r="Z513" s="18">
        <v>1741</v>
      </c>
      <c r="AA513" s="18">
        <f>SUMIF([1]SA007!$C:$C,'SA007 2025.01-2026.05 '!$D513,[1]SA007!P:P)</f>
        <v>2831</v>
      </c>
      <c r="AB513" s="18">
        <f>SUMIF([1]SA007!$C:$C,'SA007 2025.01-2026.05 '!$D513,[1]SA007!Q:Q)</f>
        <v>0</v>
      </c>
      <c r="AC513" s="19">
        <f t="shared" si="17"/>
        <v>22706</v>
      </c>
      <c r="AD513" s="19">
        <f t="shared" si="18"/>
        <v>1335.6470588235295</v>
      </c>
      <c r="AE513" s="20" t="s">
        <v>1065</v>
      </c>
      <c r="AG513" s="21">
        <f>SUMIF([1]SO003!$H:$H,'SA007 2025.01-2026.05 '!$D513,[1]SO003!AF:AF)</f>
        <v>1464.4960000000001</v>
      </c>
      <c r="AH513" s="21">
        <f>SUMIF([1]SO003!$H:$H,'SA007 2025.01-2026.05 '!$D513,[1]SO003!AH:AH)</f>
        <v>1464.4960000000001</v>
      </c>
      <c r="AI513" s="21">
        <f>SUMIF([1]SO003!$H:$H,'SA007 2025.01-2026.05 '!$D513,[1]SO003!AJ:AJ)</f>
        <v>0</v>
      </c>
    </row>
    <row r="514" spans="1:35" x14ac:dyDescent="0.55000000000000004">
      <c r="A514" s="2" t="s">
        <v>794</v>
      </c>
      <c r="C514" s="2" t="s">
        <v>54</v>
      </c>
      <c r="D514" s="2" t="s">
        <v>1066</v>
      </c>
      <c r="E514" s="2" t="s">
        <v>240</v>
      </c>
      <c r="G514" s="3" t="s">
        <v>57</v>
      </c>
      <c r="H514" s="2" t="s">
        <v>54</v>
      </c>
      <c r="I514" s="17">
        <v>1.6</v>
      </c>
      <c r="J514" s="3">
        <v>170</v>
      </c>
      <c r="K514" s="3" t="s">
        <v>41</v>
      </c>
      <c r="L514" s="18">
        <v>0</v>
      </c>
      <c r="M514" s="18">
        <v>0</v>
      </c>
      <c r="N514" s="18">
        <v>0</v>
      </c>
      <c r="O514" s="18">
        <v>674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652</v>
      </c>
      <c r="Z514" s="18">
        <v>0</v>
      </c>
      <c r="AA514" s="18">
        <f>SUMIF([1]SA007!$C:$C,'SA007 2025.01-2026.05 '!$D514,[1]SA007!P:P)</f>
        <v>0</v>
      </c>
      <c r="AB514" s="18">
        <f>SUMIF([1]SA007!$C:$C,'SA007 2025.01-2026.05 '!$D514,[1]SA007!Q:Q)</f>
        <v>0</v>
      </c>
      <c r="AC514" s="19">
        <f t="shared" si="17"/>
        <v>1326</v>
      </c>
      <c r="AD514" s="19">
        <f t="shared" si="18"/>
        <v>78</v>
      </c>
      <c r="AE514" s="20" t="s">
        <v>1067</v>
      </c>
      <c r="AG514" s="21">
        <f>SUMIF([1]SO003!$H:$H,'SA007 2025.01-2026.05 '!$D514,[1]SO003!AF:AF)</f>
        <v>0</v>
      </c>
      <c r="AH514" s="21">
        <f>SUMIF([1]SO003!$H:$H,'SA007 2025.01-2026.05 '!$D514,[1]SO003!AH:AH)</f>
        <v>0</v>
      </c>
      <c r="AI514" s="21">
        <f>SUMIF([1]SO003!$H:$H,'SA007 2025.01-2026.05 '!$D514,[1]SO003!AJ:AJ)</f>
        <v>0</v>
      </c>
    </row>
    <row r="515" spans="1:35" x14ac:dyDescent="0.55000000000000004">
      <c r="A515" s="2" t="s">
        <v>794</v>
      </c>
      <c r="B515" s="2" t="s">
        <v>54</v>
      </c>
      <c r="C515" s="2" t="s">
        <v>54</v>
      </c>
      <c r="D515" s="2" t="s">
        <v>1068</v>
      </c>
      <c r="E515" s="2" t="s">
        <v>240</v>
      </c>
      <c r="F515" s="2" t="s">
        <v>240</v>
      </c>
      <c r="G515" s="3" t="s">
        <v>57</v>
      </c>
      <c r="H515" s="2" t="s">
        <v>54</v>
      </c>
      <c r="I515" s="17">
        <v>1.6</v>
      </c>
      <c r="J515" s="3">
        <v>160</v>
      </c>
      <c r="K515" s="3" t="s">
        <v>41</v>
      </c>
      <c r="L515" s="18">
        <v>1517.5</v>
      </c>
      <c r="M515" s="18">
        <v>3215.5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0</v>
      </c>
      <c r="T515" s="18">
        <v>1840</v>
      </c>
      <c r="U515" s="18">
        <v>0</v>
      </c>
      <c r="V515" s="18">
        <v>2207</v>
      </c>
      <c r="W515" s="18">
        <v>0</v>
      </c>
      <c r="X515" s="18">
        <v>0</v>
      </c>
      <c r="Y515" s="18">
        <v>0</v>
      </c>
      <c r="Z515" s="18">
        <v>0</v>
      </c>
      <c r="AA515" s="18">
        <f>SUMIF([1]SA007!$C:$C,'SA007 2025.01-2026.05 '!$D515,[1]SA007!P:P)</f>
        <v>0</v>
      </c>
      <c r="AB515" s="18">
        <f>SUMIF([1]SA007!$C:$C,'SA007 2025.01-2026.05 '!$D515,[1]SA007!Q:Q)</f>
        <v>2348</v>
      </c>
      <c r="AC515" s="19">
        <f t="shared" si="17"/>
        <v>11128</v>
      </c>
      <c r="AD515" s="19">
        <f t="shared" si="18"/>
        <v>654.58823529411768</v>
      </c>
      <c r="AE515" s="20" t="s">
        <v>1069</v>
      </c>
      <c r="AG515" s="21">
        <f>SUMIF([1]SO003!$H:$H,'SA007 2025.01-2026.05 '!$D515,[1]SO003!AF:AF)</f>
        <v>0</v>
      </c>
      <c r="AH515" s="21">
        <f>SUMIF([1]SO003!$H:$H,'SA007 2025.01-2026.05 '!$D515,[1]SO003!AH:AH)</f>
        <v>0</v>
      </c>
      <c r="AI515" s="21">
        <f>SUMIF([1]SO003!$H:$H,'SA007 2025.01-2026.05 '!$D515,[1]SO003!AJ:AJ)</f>
        <v>0</v>
      </c>
    </row>
    <row r="516" spans="1:35" x14ac:dyDescent="0.55000000000000004">
      <c r="A516" s="2" t="s">
        <v>794</v>
      </c>
      <c r="B516" s="2" t="s">
        <v>54</v>
      </c>
      <c r="C516" s="2" t="s">
        <v>54</v>
      </c>
      <c r="D516" s="2" t="s">
        <v>1070</v>
      </c>
      <c r="E516" s="2" t="s">
        <v>240</v>
      </c>
      <c r="F516" s="2" t="s">
        <v>240</v>
      </c>
      <c r="G516" s="3" t="s">
        <v>57</v>
      </c>
      <c r="H516" s="2" t="s">
        <v>54</v>
      </c>
      <c r="I516" s="17">
        <v>1.6</v>
      </c>
      <c r="J516" s="3">
        <v>205</v>
      </c>
      <c r="K516" s="3" t="s">
        <v>41</v>
      </c>
      <c r="L516" s="18">
        <v>0</v>
      </c>
      <c r="M516" s="18">
        <v>572</v>
      </c>
      <c r="N516" s="18">
        <v>478</v>
      </c>
      <c r="O516" s="18">
        <v>0</v>
      </c>
      <c r="P516" s="18">
        <v>0</v>
      </c>
      <c r="Q516" s="18">
        <v>0</v>
      </c>
      <c r="R516" s="18">
        <v>0</v>
      </c>
      <c r="S516" s="18">
        <v>0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8">
        <v>0</v>
      </c>
      <c r="Z516" s="18">
        <v>0</v>
      </c>
      <c r="AA516" s="18">
        <f>SUMIF([1]SA007!$C:$C,'SA007 2025.01-2026.05 '!$D516,[1]SA007!P:P)</f>
        <v>0</v>
      </c>
      <c r="AB516" s="18">
        <f>SUMIF([1]SA007!$C:$C,'SA007 2025.01-2026.05 '!$D516,[1]SA007!Q:Q)</f>
        <v>0</v>
      </c>
      <c r="AC516" s="19">
        <f t="shared" si="17"/>
        <v>1050</v>
      </c>
      <c r="AD516" s="19">
        <f t="shared" si="18"/>
        <v>61.764705882352942</v>
      </c>
      <c r="AE516" s="20" t="s">
        <v>712</v>
      </c>
      <c r="AG516" s="21">
        <f>SUMIF([1]SO003!$H:$H,'SA007 2025.01-2026.05 '!$D516,[1]SO003!AF:AF)</f>
        <v>0</v>
      </c>
      <c r="AH516" s="21">
        <f>SUMIF([1]SO003!$H:$H,'SA007 2025.01-2026.05 '!$D516,[1]SO003!AH:AH)</f>
        <v>0</v>
      </c>
      <c r="AI516" s="21">
        <f>SUMIF([1]SO003!$H:$H,'SA007 2025.01-2026.05 '!$D516,[1]SO003!AJ:AJ)</f>
        <v>0</v>
      </c>
    </row>
    <row r="517" spans="1:35" x14ac:dyDescent="0.55000000000000004">
      <c r="A517" s="2" t="s">
        <v>794</v>
      </c>
      <c r="B517" s="2" t="s">
        <v>54</v>
      </c>
      <c r="C517" s="2" t="s">
        <v>54</v>
      </c>
      <c r="D517" s="2" t="s">
        <v>1071</v>
      </c>
      <c r="E517" s="2" t="s">
        <v>240</v>
      </c>
      <c r="F517" s="2" t="s">
        <v>240</v>
      </c>
      <c r="G517" s="3" t="s">
        <v>57</v>
      </c>
      <c r="H517" s="2" t="s">
        <v>54</v>
      </c>
      <c r="I517" s="17">
        <v>1.6</v>
      </c>
      <c r="J517" s="3">
        <v>355</v>
      </c>
      <c r="K517" s="3" t="s">
        <v>41</v>
      </c>
      <c r="L517" s="18">
        <v>0</v>
      </c>
      <c r="M517" s="18">
        <v>5153</v>
      </c>
      <c r="N517" s="18">
        <v>5257</v>
      </c>
      <c r="O517" s="18">
        <v>0</v>
      </c>
      <c r="P517" s="18">
        <v>0</v>
      </c>
      <c r="Q517" s="18">
        <v>0</v>
      </c>
      <c r="R517" s="18">
        <v>0</v>
      </c>
      <c r="S517" s="18">
        <v>7120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f>SUMIF([1]SA007!$C:$C,'SA007 2025.01-2026.05 '!$D517,[1]SA007!P:P)</f>
        <v>0</v>
      </c>
      <c r="AB517" s="18">
        <f>SUMIF([1]SA007!$C:$C,'SA007 2025.01-2026.05 '!$D517,[1]SA007!Q:Q)</f>
        <v>0</v>
      </c>
      <c r="AC517" s="19">
        <f t="shared" si="17"/>
        <v>17530</v>
      </c>
      <c r="AD517" s="19">
        <f t="shared" si="18"/>
        <v>1031.1764705882354</v>
      </c>
      <c r="AE517" s="20" t="s">
        <v>1072</v>
      </c>
      <c r="AG517" s="21">
        <f>SUMIF([1]SO003!$H:$H,'SA007 2025.01-2026.05 '!$D517,[1]SO003!AF:AF)</f>
        <v>0</v>
      </c>
      <c r="AH517" s="21">
        <f>SUMIF([1]SO003!$H:$H,'SA007 2025.01-2026.05 '!$D517,[1]SO003!AH:AH)</f>
        <v>0</v>
      </c>
      <c r="AI517" s="21">
        <f>SUMIF([1]SO003!$H:$H,'SA007 2025.01-2026.05 '!$D517,[1]SO003!AJ:AJ)</f>
        <v>0</v>
      </c>
    </row>
    <row r="518" spans="1:35" x14ac:dyDescent="0.55000000000000004">
      <c r="A518" s="2" t="s">
        <v>794</v>
      </c>
      <c r="B518" s="2" t="s">
        <v>54</v>
      </c>
      <c r="C518" s="2" t="s">
        <v>54</v>
      </c>
      <c r="D518" s="2" t="s">
        <v>1073</v>
      </c>
      <c r="E518" s="2" t="s">
        <v>240</v>
      </c>
      <c r="F518" s="2" t="s">
        <v>240</v>
      </c>
      <c r="G518" s="3" t="s">
        <v>57</v>
      </c>
      <c r="H518" s="2" t="s">
        <v>54</v>
      </c>
      <c r="I518" s="17">
        <v>1.6</v>
      </c>
      <c r="J518" s="3">
        <v>87</v>
      </c>
      <c r="K518" s="3" t="s">
        <v>41</v>
      </c>
      <c r="L518" s="18">
        <v>0</v>
      </c>
      <c r="M518" s="18">
        <v>260</v>
      </c>
      <c r="N518" s="18">
        <v>0</v>
      </c>
      <c r="O518" s="18">
        <v>0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f>SUMIF([1]SA007!$C:$C,'SA007 2025.01-2026.05 '!$D518,[1]SA007!P:P)</f>
        <v>0</v>
      </c>
      <c r="AB518" s="18">
        <f>SUMIF([1]SA007!$C:$C,'SA007 2025.01-2026.05 '!$D518,[1]SA007!Q:Q)</f>
        <v>0</v>
      </c>
      <c r="AC518" s="19">
        <f t="shared" ref="AC518:AC581" si="19">SUM(L518:AB518)</f>
        <v>260</v>
      </c>
      <c r="AD518" s="19">
        <f t="shared" ref="AD518:AD581" si="20">AVERAGE(L518:AB518)</f>
        <v>15.294117647058824</v>
      </c>
      <c r="AE518" s="20" t="s">
        <v>1074</v>
      </c>
      <c r="AG518" s="21">
        <f>SUMIF([1]SO003!$H:$H,'SA007 2025.01-2026.05 '!$D518,[1]SO003!AF:AF)</f>
        <v>0</v>
      </c>
      <c r="AH518" s="21">
        <f>SUMIF([1]SO003!$H:$H,'SA007 2025.01-2026.05 '!$D518,[1]SO003!AH:AH)</f>
        <v>0</v>
      </c>
      <c r="AI518" s="21">
        <f>SUMIF([1]SO003!$H:$H,'SA007 2025.01-2026.05 '!$D518,[1]SO003!AJ:AJ)</f>
        <v>0</v>
      </c>
    </row>
    <row r="519" spans="1:35" x14ac:dyDescent="0.55000000000000004">
      <c r="A519" s="2" t="s">
        <v>507</v>
      </c>
      <c r="D519" s="22">
        <v>77005478</v>
      </c>
      <c r="E519" s="2" t="s">
        <v>116</v>
      </c>
      <c r="F519" s="2" t="s">
        <v>116</v>
      </c>
      <c r="G519" s="3" t="s">
        <v>47</v>
      </c>
      <c r="H519" s="2" t="s">
        <v>321</v>
      </c>
      <c r="I519" s="17">
        <v>6</v>
      </c>
      <c r="J519" s="3">
        <v>62</v>
      </c>
      <c r="K519" s="3">
        <v>1219</v>
      </c>
      <c r="L519" s="18">
        <v>0</v>
      </c>
      <c r="M519" s="18">
        <v>0</v>
      </c>
      <c r="N519" s="18">
        <v>0</v>
      </c>
      <c r="O519" s="18">
        <v>0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0</v>
      </c>
      <c r="Y519" s="18">
        <v>0</v>
      </c>
      <c r="Z519" s="18">
        <v>0</v>
      </c>
      <c r="AA519" s="18">
        <f>SUMIF([1]SA007!$C:$C,'SA007 2025.01-2026.05 '!$D519,[1]SA007!P:P)</f>
        <v>0</v>
      </c>
      <c r="AB519" s="18">
        <f>SUMIF([1]SA007!$C:$C,'SA007 2025.01-2026.05 '!$D519,[1]SA007!Q:Q)</f>
        <v>0</v>
      </c>
      <c r="AC519" s="19">
        <f t="shared" si="19"/>
        <v>0</v>
      </c>
      <c r="AD519" s="19">
        <f t="shared" si="20"/>
        <v>0</v>
      </c>
      <c r="AG519" s="21">
        <f>SUMIF([1]SO003!$H:$H,'SA007 2025.01-2026.05 '!$D519,[1]SO003!AF:AF)</f>
        <v>0</v>
      </c>
      <c r="AH519" s="21">
        <f>SUMIF([1]SO003!$H:$H,'SA007 2025.01-2026.05 '!$D519,[1]SO003!AH:AH)</f>
        <v>0</v>
      </c>
      <c r="AI519" s="21">
        <f>SUMIF([1]SO003!$H:$H,'SA007 2025.01-2026.05 '!$D519,[1]SO003!AJ:AJ)</f>
        <v>0</v>
      </c>
    </row>
    <row r="520" spans="1:35" x14ac:dyDescent="0.55000000000000004">
      <c r="A520" s="2" t="s">
        <v>794</v>
      </c>
      <c r="B520" s="2" t="s">
        <v>54</v>
      </c>
      <c r="C520" s="2" t="s">
        <v>54</v>
      </c>
      <c r="D520" s="2" t="s">
        <v>1075</v>
      </c>
      <c r="E520" s="2" t="s">
        <v>240</v>
      </c>
      <c r="F520" s="2" t="s">
        <v>240</v>
      </c>
      <c r="G520" s="3" t="s">
        <v>57</v>
      </c>
      <c r="H520" s="2" t="s">
        <v>54</v>
      </c>
      <c r="I520" s="17">
        <v>1.6</v>
      </c>
      <c r="J520" s="3">
        <v>98</v>
      </c>
      <c r="K520" s="3" t="s">
        <v>41</v>
      </c>
      <c r="L520" s="18">
        <v>0</v>
      </c>
      <c r="M520" s="18">
        <v>562.5</v>
      </c>
      <c r="N520" s="18">
        <v>0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18">
        <v>0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f>SUMIF([1]SA007!$C:$C,'SA007 2025.01-2026.05 '!$D520,[1]SA007!P:P)</f>
        <v>0</v>
      </c>
      <c r="AB520" s="18">
        <f>SUMIF([1]SA007!$C:$C,'SA007 2025.01-2026.05 '!$D520,[1]SA007!Q:Q)</f>
        <v>0</v>
      </c>
      <c r="AC520" s="19">
        <f t="shared" si="19"/>
        <v>562.5</v>
      </c>
      <c r="AD520" s="19">
        <f t="shared" si="20"/>
        <v>33.088235294117645</v>
      </c>
      <c r="AE520" s="20" t="s">
        <v>1076</v>
      </c>
      <c r="AG520" s="21">
        <f>SUMIF([1]SO003!$H:$H,'SA007 2025.01-2026.05 '!$D520,[1]SO003!AF:AF)</f>
        <v>0</v>
      </c>
      <c r="AH520" s="21">
        <f>SUMIF([1]SO003!$H:$H,'SA007 2025.01-2026.05 '!$D520,[1]SO003!AH:AH)</f>
        <v>0</v>
      </c>
      <c r="AI520" s="21">
        <f>SUMIF([1]SO003!$H:$H,'SA007 2025.01-2026.05 '!$D520,[1]SO003!AJ:AJ)</f>
        <v>0</v>
      </c>
    </row>
    <row r="521" spans="1:35" x14ac:dyDescent="0.55000000000000004">
      <c r="A521" s="2" t="s">
        <v>419</v>
      </c>
      <c r="D521" s="22">
        <v>77004107</v>
      </c>
      <c r="E521" s="2" t="s">
        <v>116</v>
      </c>
      <c r="F521" s="2" t="s">
        <v>116</v>
      </c>
      <c r="G521" s="3" t="s">
        <v>63</v>
      </c>
      <c r="H521" s="2" t="s">
        <v>61</v>
      </c>
      <c r="I521" s="17">
        <v>2.2999999999999998</v>
      </c>
      <c r="J521" s="3">
        <v>110</v>
      </c>
      <c r="K521" s="3">
        <v>1219</v>
      </c>
      <c r="L521" s="18">
        <v>0</v>
      </c>
      <c r="M521" s="18">
        <v>0</v>
      </c>
      <c r="N521" s="18">
        <v>0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f>SUMIF([1]SA007!$C:$C,'SA007 2025.01-2026.05 '!$D521,[1]SA007!P:P)</f>
        <v>0</v>
      </c>
      <c r="AB521" s="18">
        <f>SUMIF([1]SA007!$C:$C,'SA007 2025.01-2026.05 '!$D521,[1]SA007!Q:Q)</f>
        <v>0</v>
      </c>
      <c r="AC521" s="19">
        <f t="shared" si="19"/>
        <v>0</v>
      </c>
      <c r="AD521" s="19">
        <f t="shared" si="20"/>
        <v>0</v>
      </c>
      <c r="AG521" s="21">
        <f>SUMIF([1]SO003!$H:$H,'SA007 2025.01-2026.05 '!$D521,[1]SO003!AF:AF)</f>
        <v>0</v>
      </c>
      <c r="AH521" s="21">
        <f>SUMIF([1]SO003!$H:$H,'SA007 2025.01-2026.05 '!$D521,[1]SO003!AH:AH)</f>
        <v>0</v>
      </c>
      <c r="AI521" s="21">
        <f>SUMIF([1]SO003!$H:$H,'SA007 2025.01-2026.05 '!$D521,[1]SO003!AJ:AJ)</f>
        <v>0</v>
      </c>
    </row>
    <row r="522" spans="1:35" x14ac:dyDescent="0.55000000000000004">
      <c r="A522" s="2" t="s">
        <v>460</v>
      </c>
      <c r="D522" s="22">
        <v>77004195</v>
      </c>
      <c r="E522" s="2" t="s">
        <v>116</v>
      </c>
      <c r="F522" s="2" t="s">
        <v>116</v>
      </c>
      <c r="G522" s="3" t="s">
        <v>47</v>
      </c>
      <c r="H522" s="2" t="s">
        <v>213</v>
      </c>
      <c r="I522" s="17">
        <v>3.2</v>
      </c>
      <c r="J522" s="3">
        <v>92</v>
      </c>
      <c r="K522" s="3">
        <v>1219</v>
      </c>
      <c r="L522" s="18">
        <v>0</v>
      </c>
      <c r="M522" s="18">
        <v>0</v>
      </c>
      <c r="N522" s="18">
        <v>0</v>
      </c>
      <c r="O522" s="18">
        <v>0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8">
        <v>0</v>
      </c>
      <c r="Z522" s="18">
        <v>0</v>
      </c>
      <c r="AA522" s="18">
        <f>SUMIF([1]SA007!$C:$C,'SA007 2025.01-2026.05 '!$D522,[1]SA007!P:P)</f>
        <v>0</v>
      </c>
      <c r="AB522" s="18">
        <f>SUMIF([1]SA007!$C:$C,'SA007 2025.01-2026.05 '!$D522,[1]SA007!Q:Q)</f>
        <v>0</v>
      </c>
      <c r="AC522" s="19">
        <f t="shared" si="19"/>
        <v>0</v>
      </c>
      <c r="AD522" s="19">
        <f t="shared" si="20"/>
        <v>0</v>
      </c>
      <c r="AG522" s="21">
        <f>SUMIF([1]SO003!$H:$H,'SA007 2025.01-2026.05 '!$D522,[1]SO003!AF:AF)</f>
        <v>0</v>
      </c>
      <c r="AH522" s="21">
        <f>SUMIF([1]SO003!$H:$H,'SA007 2025.01-2026.05 '!$D522,[1]SO003!AH:AH)</f>
        <v>0</v>
      </c>
      <c r="AI522" s="21">
        <f>SUMIF([1]SO003!$H:$H,'SA007 2025.01-2026.05 '!$D522,[1]SO003!AJ:AJ)</f>
        <v>0</v>
      </c>
    </row>
    <row r="523" spans="1:35" x14ac:dyDescent="0.55000000000000004">
      <c r="A523" s="2" t="s">
        <v>419</v>
      </c>
      <c r="D523" s="22">
        <v>77004103</v>
      </c>
      <c r="E523" s="2" t="s">
        <v>116</v>
      </c>
      <c r="F523" s="2" t="s">
        <v>116</v>
      </c>
      <c r="G523" s="3" t="s">
        <v>63</v>
      </c>
      <c r="H523" s="2" t="s">
        <v>61</v>
      </c>
      <c r="I523" s="17">
        <v>2.2999999999999998</v>
      </c>
      <c r="J523" s="3">
        <v>52</v>
      </c>
      <c r="K523" s="3">
        <v>1219</v>
      </c>
      <c r="L523" s="18">
        <v>0</v>
      </c>
      <c r="M523" s="18">
        <v>0</v>
      </c>
      <c r="N523" s="18">
        <v>0</v>
      </c>
      <c r="O523" s="18">
        <v>0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f>SUMIF([1]SA007!$C:$C,'SA007 2025.01-2026.05 '!$D523,[1]SA007!P:P)</f>
        <v>0</v>
      </c>
      <c r="AB523" s="18">
        <f>SUMIF([1]SA007!$C:$C,'SA007 2025.01-2026.05 '!$D523,[1]SA007!Q:Q)</f>
        <v>0</v>
      </c>
      <c r="AC523" s="19">
        <f t="shared" si="19"/>
        <v>0</v>
      </c>
      <c r="AD523" s="19">
        <f t="shared" si="20"/>
        <v>0</v>
      </c>
      <c r="AG523" s="21">
        <f>SUMIF([1]SO003!$H:$H,'SA007 2025.01-2026.05 '!$D523,[1]SO003!AF:AF)</f>
        <v>0</v>
      </c>
      <c r="AH523" s="21">
        <f>SUMIF([1]SO003!$H:$H,'SA007 2025.01-2026.05 '!$D523,[1]SO003!AH:AH)</f>
        <v>0</v>
      </c>
      <c r="AI523" s="21">
        <f>SUMIF([1]SO003!$H:$H,'SA007 2025.01-2026.05 '!$D523,[1]SO003!AJ:AJ)</f>
        <v>0</v>
      </c>
    </row>
    <row r="524" spans="1:35" x14ac:dyDescent="0.55000000000000004">
      <c r="A524" s="2" t="s">
        <v>1077</v>
      </c>
      <c r="D524" s="22">
        <v>77004199</v>
      </c>
      <c r="E524" s="2" t="s">
        <v>116</v>
      </c>
      <c r="F524" s="2" t="s">
        <v>116</v>
      </c>
      <c r="G524" s="3" t="s">
        <v>47</v>
      </c>
      <c r="H524" s="2" t="s">
        <v>213</v>
      </c>
      <c r="I524" s="17">
        <v>3.6</v>
      </c>
      <c r="J524" s="3">
        <v>144</v>
      </c>
      <c r="K524" s="3">
        <v>1219</v>
      </c>
      <c r="L524" s="18">
        <v>0</v>
      </c>
      <c r="M524" s="18">
        <v>0</v>
      </c>
      <c r="N524" s="18">
        <v>0</v>
      </c>
      <c r="O524" s="18">
        <v>0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f>SUMIF([1]SA007!$C:$C,'SA007 2025.01-2026.05 '!$D524,[1]SA007!P:P)</f>
        <v>0</v>
      </c>
      <c r="AB524" s="18">
        <f>SUMIF([1]SA007!$C:$C,'SA007 2025.01-2026.05 '!$D524,[1]SA007!Q:Q)</f>
        <v>0</v>
      </c>
      <c r="AC524" s="19">
        <f t="shared" si="19"/>
        <v>0</v>
      </c>
      <c r="AD524" s="19">
        <f t="shared" si="20"/>
        <v>0</v>
      </c>
      <c r="AG524" s="21">
        <f>SUMIF([1]SO003!$H:$H,'SA007 2025.01-2026.05 '!$D524,[1]SO003!AF:AF)</f>
        <v>0</v>
      </c>
      <c r="AH524" s="21">
        <f>SUMIF([1]SO003!$H:$H,'SA007 2025.01-2026.05 '!$D524,[1]SO003!AH:AH)</f>
        <v>0</v>
      </c>
      <c r="AI524" s="21">
        <f>SUMIF([1]SO003!$H:$H,'SA007 2025.01-2026.05 '!$D524,[1]SO003!AJ:AJ)</f>
        <v>0</v>
      </c>
    </row>
    <row r="525" spans="1:35" x14ac:dyDescent="0.55000000000000004">
      <c r="A525" s="2" t="s">
        <v>460</v>
      </c>
      <c r="D525" s="22">
        <v>77004198</v>
      </c>
      <c r="E525" s="2" t="s">
        <v>116</v>
      </c>
      <c r="F525" s="2" t="s">
        <v>116</v>
      </c>
      <c r="G525" s="3" t="s">
        <v>47</v>
      </c>
      <c r="H525" s="2" t="s">
        <v>213</v>
      </c>
      <c r="I525" s="17">
        <v>3.2</v>
      </c>
      <c r="J525" s="3">
        <v>134</v>
      </c>
      <c r="K525" s="3">
        <v>1219</v>
      </c>
      <c r="L525" s="18">
        <v>0</v>
      </c>
      <c r="M525" s="18">
        <v>0</v>
      </c>
      <c r="N525" s="18">
        <v>0</v>
      </c>
      <c r="O525" s="18">
        <v>0</v>
      </c>
      <c r="P525" s="18">
        <v>0</v>
      </c>
      <c r="Q525" s="18">
        <v>0</v>
      </c>
      <c r="R525" s="18">
        <v>0</v>
      </c>
      <c r="S525" s="18">
        <v>0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8">
        <v>0</v>
      </c>
      <c r="Z525" s="18">
        <v>0</v>
      </c>
      <c r="AA525" s="18">
        <f>SUMIF([1]SA007!$C:$C,'SA007 2025.01-2026.05 '!$D525,[1]SA007!P:P)</f>
        <v>0</v>
      </c>
      <c r="AB525" s="18">
        <f>SUMIF([1]SA007!$C:$C,'SA007 2025.01-2026.05 '!$D525,[1]SA007!Q:Q)</f>
        <v>0</v>
      </c>
      <c r="AC525" s="19">
        <f t="shared" si="19"/>
        <v>0</v>
      </c>
      <c r="AD525" s="19">
        <f t="shared" si="20"/>
        <v>0</v>
      </c>
      <c r="AG525" s="21">
        <f>SUMIF([1]SO003!$H:$H,'SA007 2025.01-2026.05 '!$D525,[1]SO003!AF:AF)</f>
        <v>0</v>
      </c>
      <c r="AH525" s="21">
        <f>SUMIF([1]SO003!$H:$H,'SA007 2025.01-2026.05 '!$D525,[1]SO003!AH:AH)</f>
        <v>0</v>
      </c>
      <c r="AI525" s="21">
        <f>SUMIF([1]SO003!$H:$H,'SA007 2025.01-2026.05 '!$D525,[1]SO003!AJ:AJ)</f>
        <v>0</v>
      </c>
    </row>
    <row r="526" spans="1:35" x14ac:dyDescent="0.55000000000000004">
      <c r="A526" s="2" t="s">
        <v>507</v>
      </c>
      <c r="D526" s="22">
        <v>77004674</v>
      </c>
      <c r="E526" s="2" t="s">
        <v>116</v>
      </c>
      <c r="F526" s="2" t="s">
        <v>116</v>
      </c>
      <c r="G526" s="3" t="s">
        <v>47</v>
      </c>
      <c r="H526" s="2" t="s">
        <v>213</v>
      </c>
      <c r="I526" s="17">
        <v>6</v>
      </c>
      <c r="J526" s="3">
        <v>114</v>
      </c>
      <c r="K526" s="3">
        <v>1219</v>
      </c>
      <c r="L526" s="18">
        <v>0</v>
      </c>
      <c r="M526" s="18">
        <v>0</v>
      </c>
      <c r="N526" s="18">
        <v>0</v>
      </c>
      <c r="O526" s="18">
        <v>0</v>
      </c>
      <c r="P526" s="18">
        <v>0</v>
      </c>
      <c r="Q526" s="18">
        <v>0</v>
      </c>
      <c r="R526" s="18">
        <v>0</v>
      </c>
      <c r="S526" s="18">
        <v>0</v>
      </c>
      <c r="T526" s="18">
        <v>0</v>
      </c>
      <c r="U526" s="18">
        <v>0</v>
      </c>
      <c r="V526" s="18">
        <v>0</v>
      </c>
      <c r="W526" s="18">
        <v>0</v>
      </c>
      <c r="X526" s="18">
        <v>0</v>
      </c>
      <c r="Y526" s="18">
        <v>0</v>
      </c>
      <c r="Z526" s="18">
        <v>0</v>
      </c>
      <c r="AA526" s="18">
        <f>SUMIF([1]SA007!$C:$C,'SA007 2025.01-2026.05 '!$D526,[1]SA007!P:P)</f>
        <v>0</v>
      </c>
      <c r="AB526" s="18">
        <f>SUMIF([1]SA007!$C:$C,'SA007 2025.01-2026.05 '!$D526,[1]SA007!Q:Q)</f>
        <v>0</v>
      </c>
      <c r="AC526" s="19">
        <f t="shared" si="19"/>
        <v>0</v>
      </c>
      <c r="AD526" s="19">
        <f t="shared" si="20"/>
        <v>0</v>
      </c>
      <c r="AG526" s="21">
        <f>SUMIF([1]SO003!$H:$H,'SA007 2025.01-2026.05 '!$D526,[1]SO003!AF:AF)</f>
        <v>0</v>
      </c>
      <c r="AH526" s="21">
        <f>SUMIF([1]SO003!$H:$H,'SA007 2025.01-2026.05 '!$D526,[1]SO003!AH:AH)</f>
        <v>0</v>
      </c>
      <c r="AI526" s="21">
        <f>SUMIF([1]SO003!$H:$H,'SA007 2025.01-2026.05 '!$D526,[1]SO003!AJ:AJ)</f>
        <v>0</v>
      </c>
    </row>
    <row r="527" spans="1:35" x14ac:dyDescent="0.55000000000000004">
      <c r="A527" s="2" t="s">
        <v>361</v>
      </c>
      <c r="D527" s="22">
        <v>77004651</v>
      </c>
      <c r="E527" s="2" t="s">
        <v>116</v>
      </c>
      <c r="F527" s="2" t="s">
        <v>116</v>
      </c>
      <c r="G527" s="3" t="s">
        <v>47</v>
      </c>
      <c r="H527" s="2" t="s">
        <v>213</v>
      </c>
      <c r="I527" s="17">
        <v>4.5</v>
      </c>
      <c r="J527" s="3">
        <v>52</v>
      </c>
      <c r="K527" s="3">
        <v>1219</v>
      </c>
      <c r="L527" s="18">
        <v>0</v>
      </c>
      <c r="M527" s="18">
        <v>0</v>
      </c>
      <c r="N527" s="18">
        <v>0</v>
      </c>
      <c r="O527" s="18">
        <v>0</v>
      </c>
      <c r="P527" s="18">
        <v>0</v>
      </c>
      <c r="Q527" s="18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0</v>
      </c>
      <c r="Y527" s="18">
        <v>0</v>
      </c>
      <c r="Z527" s="18">
        <v>0</v>
      </c>
      <c r="AA527" s="18">
        <f>SUMIF([1]SA007!$C:$C,'SA007 2025.01-2026.05 '!$D527,[1]SA007!P:P)</f>
        <v>0</v>
      </c>
      <c r="AB527" s="18">
        <f>SUMIF([1]SA007!$C:$C,'SA007 2025.01-2026.05 '!$D527,[1]SA007!Q:Q)</f>
        <v>0</v>
      </c>
      <c r="AC527" s="19">
        <f t="shared" si="19"/>
        <v>0</v>
      </c>
      <c r="AD527" s="19">
        <f t="shared" si="20"/>
        <v>0</v>
      </c>
      <c r="AG527" s="21">
        <f>SUMIF([1]SO003!$H:$H,'SA007 2025.01-2026.05 '!$D527,[1]SO003!AF:AF)</f>
        <v>0</v>
      </c>
      <c r="AH527" s="21">
        <f>SUMIF([1]SO003!$H:$H,'SA007 2025.01-2026.05 '!$D527,[1]SO003!AH:AH)</f>
        <v>0</v>
      </c>
      <c r="AI527" s="21">
        <f>SUMIF([1]SO003!$H:$H,'SA007 2025.01-2026.05 '!$D527,[1]SO003!AJ:AJ)</f>
        <v>0</v>
      </c>
    </row>
    <row r="528" spans="1:35" x14ac:dyDescent="0.55000000000000004">
      <c r="A528" s="2" t="s">
        <v>361</v>
      </c>
      <c r="D528" s="22">
        <v>77004652</v>
      </c>
      <c r="E528" s="2" t="s">
        <v>116</v>
      </c>
      <c r="F528" s="2" t="s">
        <v>116</v>
      </c>
      <c r="G528" s="3" t="s">
        <v>47</v>
      </c>
      <c r="H528" s="2" t="s">
        <v>213</v>
      </c>
      <c r="I528" s="17">
        <v>4.5</v>
      </c>
      <c r="J528" s="3">
        <v>49</v>
      </c>
      <c r="K528" s="3">
        <v>1219</v>
      </c>
      <c r="L528" s="18">
        <v>0</v>
      </c>
      <c r="M528" s="18">
        <v>0</v>
      </c>
      <c r="N528" s="18">
        <v>0</v>
      </c>
      <c r="O528" s="18">
        <v>0</v>
      </c>
      <c r="P528" s="18">
        <v>0</v>
      </c>
      <c r="Q528" s="18">
        <v>0</v>
      </c>
      <c r="R528" s="18">
        <v>0</v>
      </c>
      <c r="S528" s="18">
        <v>0</v>
      </c>
      <c r="T528" s="18">
        <v>0</v>
      </c>
      <c r="U528" s="18">
        <v>0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8">
        <f>SUMIF([1]SA007!$C:$C,'SA007 2025.01-2026.05 '!$D528,[1]SA007!P:P)</f>
        <v>0</v>
      </c>
      <c r="AB528" s="18">
        <f>SUMIF([1]SA007!$C:$C,'SA007 2025.01-2026.05 '!$D528,[1]SA007!Q:Q)</f>
        <v>0</v>
      </c>
      <c r="AC528" s="19">
        <f t="shared" si="19"/>
        <v>0</v>
      </c>
      <c r="AD528" s="19">
        <f t="shared" si="20"/>
        <v>0</v>
      </c>
      <c r="AG528" s="21">
        <f>SUMIF([1]SO003!$H:$H,'SA007 2025.01-2026.05 '!$D528,[1]SO003!AF:AF)</f>
        <v>0</v>
      </c>
      <c r="AH528" s="21">
        <f>SUMIF([1]SO003!$H:$H,'SA007 2025.01-2026.05 '!$D528,[1]SO003!AH:AH)</f>
        <v>0</v>
      </c>
      <c r="AI528" s="21">
        <f>SUMIF([1]SO003!$H:$H,'SA007 2025.01-2026.05 '!$D528,[1]SO003!AJ:AJ)</f>
        <v>0</v>
      </c>
    </row>
    <row r="529" spans="1:35" x14ac:dyDescent="0.55000000000000004">
      <c r="A529" s="2" t="s">
        <v>361</v>
      </c>
      <c r="D529" s="22">
        <v>77004653</v>
      </c>
      <c r="E529" s="2" t="s">
        <v>116</v>
      </c>
      <c r="F529" s="2" t="s">
        <v>116</v>
      </c>
      <c r="G529" s="3" t="s">
        <v>47</v>
      </c>
      <c r="H529" s="2" t="s">
        <v>213</v>
      </c>
      <c r="I529" s="17">
        <v>4.5</v>
      </c>
      <c r="J529" s="3">
        <v>46</v>
      </c>
      <c r="K529" s="3">
        <v>1219</v>
      </c>
      <c r="L529" s="18">
        <v>0</v>
      </c>
      <c r="M529" s="18">
        <v>0</v>
      </c>
      <c r="N529" s="18">
        <v>0</v>
      </c>
      <c r="O529" s="18">
        <v>0</v>
      </c>
      <c r="P529" s="18">
        <v>0</v>
      </c>
      <c r="Q529" s="18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f>SUMIF([1]SA007!$C:$C,'SA007 2025.01-2026.05 '!$D529,[1]SA007!P:P)</f>
        <v>0</v>
      </c>
      <c r="AB529" s="18">
        <f>SUMIF([1]SA007!$C:$C,'SA007 2025.01-2026.05 '!$D529,[1]SA007!Q:Q)</f>
        <v>0</v>
      </c>
      <c r="AC529" s="19">
        <f t="shared" si="19"/>
        <v>0</v>
      </c>
      <c r="AD529" s="19">
        <f t="shared" si="20"/>
        <v>0</v>
      </c>
      <c r="AG529" s="21">
        <f>SUMIF([1]SO003!$H:$H,'SA007 2025.01-2026.05 '!$D529,[1]SO003!AF:AF)</f>
        <v>0</v>
      </c>
      <c r="AH529" s="21">
        <f>SUMIF([1]SO003!$H:$H,'SA007 2025.01-2026.05 '!$D529,[1]SO003!AH:AH)</f>
        <v>0</v>
      </c>
      <c r="AI529" s="21">
        <f>SUMIF([1]SO003!$H:$H,'SA007 2025.01-2026.05 '!$D529,[1]SO003!AJ:AJ)</f>
        <v>0</v>
      </c>
    </row>
    <row r="530" spans="1:35" x14ac:dyDescent="0.55000000000000004">
      <c r="A530" s="2" t="s">
        <v>433</v>
      </c>
      <c r="D530" s="22">
        <v>77004654</v>
      </c>
      <c r="E530" s="2" t="s">
        <v>116</v>
      </c>
      <c r="F530" s="2" t="s">
        <v>116</v>
      </c>
      <c r="G530" s="3" t="s">
        <v>47</v>
      </c>
      <c r="H530" s="2" t="s">
        <v>213</v>
      </c>
      <c r="I530" s="17">
        <v>2.6</v>
      </c>
      <c r="J530" s="3">
        <v>57</v>
      </c>
      <c r="K530" s="3">
        <v>1219</v>
      </c>
      <c r="L530" s="18">
        <v>0</v>
      </c>
      <c r="M530" s="18">
        <v>0</v>
      </c>
      <c r="N530" s="18">
        <v>0</v>
      </c>
      <c r="O530" s="18">
        <v>0</v>
      </c>
      <c r="P530" s="18">
        <v>0</v>
      </c>
      <c r="Q530" s="18">
        <v>0</v>
      </c>
      <c r="R530" s="18">
        <v>0</v>
      </c>
      <c r="S530" s="18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f>SUMIF([1]SA007!$C:$C,'SA007 2025.01-2026.05 '!$D530,[1]SA007!P:P)</f>
        <v>0</v>
      </c>
      <c r="AB530" s="18">
        <f>SUMIF([1]SA007!$C:$C,'SA007 2025.01-2026.05 '!$D530,[1]SA007!Q:Q)</f>
        <v>0</v>
      </c>
      <c r="AC530" s="19">
        <f t="shared" si="19"/>
        <v>0</v>
      </c>
      <c r="AD530" s="19">
        <f t="shared" si="20"/>
        <v>0</v>
      </c>
      <c r="AG530" s="21">
        <f>SUMIF([1]SO003!$H:$H,'SA007 2025.01-2026.05 '!$D530,[1]SO003!AF:AF)</f>
        <v>0</v>
      </c>
      <c r="AH530" s="21">
        <f>SUMIF([1]SO003!$H:$H,'SA007 2025.01-2026.05 '!$D530,[1]SO003!AH:AH)</f>
        <v>0</v>
      </c>
      <c r="AI530" s="21">
        <f>SUMIF([1]SO003!$H:$H,'SA007 2025.01-2026.05 '!$D530,[1]SO003!AJ:AJ)</f>
        <v>0</v>
      </c>
    </row>
    <row r="531" spans="1:35" x14ac:dyDescent="0.55000000000000004">
      <c r="A531" s="2" t="s">
        <v>475</v>
      </c>
      <c r="D531" s="22">
        <v>77004655</v>
      </c>
      <c r="E531" s="2" t="s">
        <v>116</v>
      </c>
      <c r="F531" s="2" t="s">
        <v>116</v>
      </c>
      <c r="G531" s="3" t="s">
        <v>47</v>
      </c>
      <c r="H531" s="2" t="s">
        <v>213</v>
      </c>
      <c r="I531" s="17">
        <v>4</v>
      </c>
      <c r="J531" s="3">
        <v>109</v>
      </c>
      <c r="K531" s="3">
        <v>1219</v>
      </c>
      <c r="L531" s="18">
        <v>0</v>
      </c>
      <c r="M531" s="18">
        <v>0</v>
      </c>
      <c r="N531" s="18">
        <v>0</v>
      </c>
      <c r="O531" s="18">
        <v>0</v>
      </c>
      <c r="P531" s="18">
        <v>0</v>
      </c>
      <c r="Q531" s="18">
        <v>0</v>
      </c>
      <c r="R531" s="18">
        <v>0</v>
      </c>
      <c r="S531" s="18">
        <v>0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f>SUMIF([1]SA007!$C:$C,'SA007 2025.01-2026.05 '!$D531,[1]SA007!P:P)</f>
        <v>0</v>
      </c>
      <c r="AB531" s="18">
        <f>SUMIF([1]SA007!$C:$C,'SA007 2025.01-2026.05 '!$D531,[1]SA007!Q:Q)</f>
        <v>0</v>
      </c>
      <c r="AC531" s="19">
        <f t="shared" si="19"/>
        <v>0</v>
      </c>
      <c r="AD531" s="19">
        <f t="shared" si="20"/>
        <v>0</v>
      </c>
      <c r="AG531" s="21">
        <f>SUMIF([1]SO003!$H:$H,'SA007 2025.01-2026.05 '!$D531,[1]SO003!AF:AF)</f>
        <v>0</v>
      </c>
      <c r="AH531" s="21">
        <f>SUMIF([1]SO003!$H:$H,'SA007 2025.01-2026.05 '!$D531,[1]SO003!AH:AH)</f>
        <v>0</v>
      </c>
      <c r="AI531" s="21">
        <f>SUMIF([1]SO003!$H:$H,'SA007 2025.01-2026.05 '!$D531,[1]SO003!AJ:AJ)</f>
        <v>0</v>
      </c>
    </row>
    <row r="532" spans="1:35" x14ac:dyDescent="0.55000000000000004">
      <c r="A532" s="2" t="s">
        <v>475</v>
      </c>
      <c r="D532" s="22">
        <v>77004394</v>
      </c>
      <c r="E532" s="2" t="s">
        <v>116</v>
      </c>
      <c r="F532" s="2" t="s">
        <v>116</v>
      </c>
      <c r="G532" s="3" t="s">
        <v>47</v>
      </c>
      <c r="H532" s="2" t="s">
        <v>213</v>
      </c>
      <c r="I532" s="17">
        <v>4</v>
      </c>
      <c r="J532" s="3">
        <v>78</v>
      </c>
      <c r="K532" s="3">
        <v>1219</v>
      </c>
      <c r="L532" s="18">
        <v>0</v>
      </c>
      <c r="M532" s="18">
        <v>0</v>
      </c>
      <c r="N532" s="18">
        <v>0</v>
      </c>
      <c r="O532" s="18">
        <v>0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f>SUMIF([1]SA007!$C:$C,'SA007 2025.01-2026.05 '!$D532,[1]SA007!P:P)</f>
        <v>0</v>
      </c>
      <c r="AB532" s="18">
        <f>SUMIF([1]SA007!$C:$C,'SA007 2025.01-2026.05 '!$D532,[1]SA007!Q:Q)</f>
        <v>0</v>
      </c>
      <c r="AC532" s="19">
        <f t="shared" si="19"/>
        <v>0</v>
      </c>
      <c r="AD532" s="19">
        <f t="shared" si="20"/>
        <v>0</v>
      </c>
      <c r="AG532" s="21">
        <f>SUMIF([1]SO003!$H:$H,'SA007 2025.01-2026.05 '!$D532,[1]SO003!AF:AF)</f>
        <v>0</v>
      </c>
      <c r="AH532" s="21">
        <f>SUMIF([1]SO003!$H:$H,'SA007 2025.01-2026.05 '!$D532,[1]SO003!AH:AH)</f>
        <v>0</v>
      </c>
      <c r="AI532" s="21">
        <f>SUMIF([1]SO003!$H:$H,'SA007 2025.01-2026.05 '!$D532,[1]SO003!AJ:AJ)</f>
        <v>0</v>
      </c>
    </row>
    <row r="533" spans="1:35" x14ac:dyDescent="0.55000000000000004">
      <c r="A533" s="2" t="s">
        <v>467</v>
      </c>
      <c r="D533" s="22">
        <v>77004620</v>
      </c>
      <c r="E533" s="2" t="s">
        <v>116</v>
      </c>
      <c r="F533" s="2" t="s">
        <v>116</v>
      </c>
      <c r="G533" s="3" t="s">
        <v>47</v>
      </c>
      <c r="H533" s="2" t="s">
        <v>469</v>
      </c>
      <c r="I533" s="17">
        <v>4</v>
      </c>
      <c r="J533" s="3">
        <v>92</v>
      </c>
      <c r="K533" s="3">
        <v>1219</v>
      </c>
      <c r="L533" s="18">
        <v>0</v>
      </c>
      <c r="M533" s="18">
        <v>0</v>
      </c>
      <c r="N533" s="18">
        <v>0</v>
      </c>
      <c r="O533" s="18">
        <v>0</v>
      </c>
      <c r="P533" s="18">
        <v>0</v>
      </c>
      <c r="Q533" s="18">
        <v>0</v>
      </c>
      <c r="R533" s="18">
        <v>0</v>
      </c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8">
        <v>0</v>
      </c>
      <c r="Z533" s="18">
        <v>0</v>
      </c>
      <c r="AA533" s="18">
        <f>SUMIF([1]SA007!$C:$C,'SA007 2025.01-2026.05 '!$D533,[1]SA007!P:P)</f>
        <v>0</v>
      </c>
      <c r="AB533" s="18">
        <f>SUMIF([1]SA007!$C:$C,'SA007 2025.01-2026.05 '!$D533,[1]SA007!Q:Q)</f>
        <v>0</v>
      </c>
      <c r="AC533" s="19">
        <f t="shared" si="19"/>
        <v>0</v>
      </c>
      <c r="AD533" s="19">
        <f t="shared" si="20"/>
        <v>0</v>
      </c>
      <c r="AG533" s="21">
        <f>SUMIF([1]SO003!$H:$H,'SA007 2025.01-2026.05 '!$D533,[1]SO003!AF:AF)</f>
        <v>0</v>
      </c>
      <c r="AH533" s="21">
        <f>SUMIF([1]SO003!$H:$H,'SA007 2025.01-2026.05 '!$D533,[1]SO003!AH:AH)</f>
        <v>0</v>
      </c>
      <c r="AI533" s="21">
        <f>SUMIF([1]SO003!$H:$H,'SA007 2025.01-2026.05 '!$D533,[1]SO003!AJ:AJ)</f>
        <v>0</v>
      </c>
    </row>
    <row r="534" spans="1:35" x14ac:dyDescent="0.55000000000000004">
      <c r="A534" s="2" t="s">
        <v>1078</v>
      </c>
      <c r="B534" s="2" t="s">
        <v>284</v>
      </c>
      <c r="C534" s="2" t="s">
        <v>284</v>
      </c>
      <c r="D534" s="2" t="s">
        <v>1079</v>
      </c>
      <c r="E534" s="2" t="s">
        <v>101</v>
      </c>
      <c r="F534" s="2" t="s">
        <v>101</v>
      </c>
      <c r="G534" s="3" t="s">
        <v>57</v>
      </c>
      <c r="H534" s="2" t="s">
        <v>284</v>
      </c>
      <c r="I534" s="17">
        <v>1.6</v>
      </c>
      <c r="J534" s="3">
        <v>73</v>
      </c>
      <c r="K534" s="3">
        <v>1420</v>
      </c>
      <c r="L534" s="18">
        <v>2521</v>
      </c>
      <c r="M534" s="18">
        <v>1624</v>
      </c>
      <c r="N534" s="18">
        <v>3659</v>
      </c>
      <c r="O534" s="18">
        <v>2907</v>
      </c>
      <c r="P534" s="18">
        <v>2550</v>
      </c>
      <c r="Q534" s="18">
        <v>4714</v>
      </c>
      <c r="R534" s="18">
        <v>4585</v>
      </c>
      <c r="S534" s="18">
        <v>3002</v>
      </c>
      <c r="T534" s="18">
        <v>4097</v>
      </c>
      <c r="U534" s="18">
        <v>4113</v>
      </c>
      <c r="V534" s="18">
        <v>1554</v>
      </c>
      <c r="W534" s="18">
        <v>3596</v>
      </c>
      <c r="X534" s="18">
        <v>2646</v>
      </c>
      <c r="Y534" s="18">
        <v>1440</v>
      </c>
      <c r="Z534" s="18">
        <v>3639</v>
      </c>
      <c r="AA534" s="18">
        <f>SUMIF([1]SA007!$C:$C,'SA007 2025.01-2026.05 '!$D534,[1]SA007!P:P)</f>
        <v>3078</v>
      </c>
      <c r="AB534" s="18">
        <f>SUMIF([1]SA007!$C:$C,'SA007 2025.01-2026.05 '!$D534,[1]SA007!Q:Q)</f>
        <v>2290</v>
      </c>
      <c r="AC534" s="19">
        <f t="shared" si="19"/>
        <v>52015</v>
      </c>
      <c r="AD534" s="19">
        <f t="shared" si="20"/>
        <v>3059.705882352941</v>
      </c>
      <c r="AE534" s="20" t="s">
        <v>166</v>
      </c>
      <c r="AG534" s="21">
        <f>SUMIF([1]SO003!$H:$H,'SA007 2025.01-2026.05 '!$D534,[1]SO003!AF:AF)</f>
        <v>2083.1513600000003</v>
      </c>
      <c r="AH534" s="21">
        <f>SUMIF([1]SO003!$H:$H,'SA007 2025.01-2026.05 '!$D534,[1]SO003!AH:AH)</f>
        <v>2083.1513600000003</v>
      </c>
      <c r="AI534" s="21">
        <f>SUMIF([1]SO003!$H:$H,'SA007 2025.01-2026.05 '!$D534,[1]SO003!AJ:AJ)</f>
        <v>0</v>
      </c>
    </row>
    <row r="535" spans="1:35" x14ac:dyDescent="0.55000000000000004">
      <c r="A535" s="2" t="s">
        <v>507</v>
      </c>
      <c r="D535" s="22">
        <v>77004210</v>
      </c>
      <c r="E535" s="2" t="s">
        <v>116</v>
      </c>
      <c r="F535" s="2" t="s">
        <v>116</v>
      </c>
      <c r="G535" s="3" t="s">
        <v>47</v>
      </c>
      <c r="H535" s="2" t="s">
        <v>213</v>
      </c>
      <c r="I535" s="17">
        <v>6</v>
      </c>
      <c r="J535" s="3">
        <v>222</v>
      </c>
      <c r="K535" s="3">
        <v>1219</v>
      </c>
      <c r="L535" s="18">
        <v>0</v>
      </c>
      <c r="M535" s="18">
        <v>0</v>
      </c>
      <c r="N535" s="18">
        <v>0</v>
      </c>
      <c r="O535" s="18">
        <v>0</v>
      </c>
      <c r="P535" s="18">
        <v>0</v>
      </c>
      <c r="Q535" s="18">
        <v>0</v>
      </c>
      <c r="R535" s="18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0</v>
      </c>
      <c r="Y535" s="18">
        <v>0</v>
      </c>
      <c r="Z535" s="18">
        <v>0</v>
      </c>
      <c r="AA535" s="18">
        <f>SUMIF([1]SA007!$C:$C,'SA007 2025.01-2026.05 '!$D535,[1]SA007!P:P)</f>
        <v>0</v>
      </c>
      <c r="AB535" s="18">
        <f>SUMIF([1]SA007!$C:$C,'SA007 2025.01-2026.05 '!$D535,[1]SA007!Q:Q)</f>
        <v>0</v>
      </c>
      <c r="AC535" s="19">
        <f t="shared" si="19"/>
        <v>0</v>
      </c>
      <c r="AD535" s="19">
        <f t="shared" si="20"/>
        <v>0</v>
      </c>
      <c r="AG535" s="21">
        <f>SUMIF([1]SO003!$H:$H,'SA007 2025.01-2026.05 '!$D535,[1]SO003!AF:AF)</f>
        <v>0</v>
      </c>
      <c r="AH535" s="21">
        <f>SUMIF([1]SO003!$H:$H,'SA007 2025.01-2026.05 '!$D535,[1]SO003!AH:AH)</f>
        <v>0</v>
      </c>
      <c r="AI535" s="21">
        <f>SUMIF([1]SO003!$H:$H,'SA007 2025.01-2026.05 '!$D535,[1]SO003!AJ:AJ)</f>
        <v>0</v>
      </c>
    </row>
    <row r="536" spans="1:35" x14ac:dyDescent="0.55000000000000004">
      <c r="A536" s="2" t="s">
        <v>361</v>
      </c>
      <c r="D536" s="22">
        <v>77004658</v>
      </c>
      <c r="E536" s="2" t="s">
        <v>116</v>
      </c>
      <c r="F536" s="2" t="s">
        <v>116</v>
      </c>
      <c r="G536" s="3" t="s">
        <v>47</v>
      </c>
      <c r="H536" s="2" t="s">
        <v>213</v>
      </c>
      <c r="I536" s="17">
        <v>4.5</v>
      </c>
      <c r="J536" s="3">
        <v>76</v>
      </c>
      <c r="K536" s="3">
        <v>1219</v>
      </c>
      <c r="L536" s="18">
        <v>0</v>
      </c>
      <c r="M536" s="18">
        <v>0</v>
      </c>
      <c r="N536" s="18">
        <v>0</v>
      </c>
      <c r="O536" s="18">
        <v>0</v>
      </c>
      <c r="P536" s="18">
        <v>0</v>
      </c>
      <c r="Q536" s="18">
        <v>0</v>
      </c>
      <c r="R536" s="18">
        <v>0</v>
      </c>
      <c r="S536" s="18">
        <v>0</v>
      </c>
      <c r="T536" s="18">
        <v>0</v>
      </c>
      <c r="U536" s="18">
        <v>0</v>
      </c>
      <c r="V536" s="18">
        <v>0</v>
      </c>
      <c r="W536" s="18">
        <v>0</v>
      </c>
      <c r="X536" s="18">
        <v>0</v>
      </c>
      <c r="Y536" s="18">
        <v>0</v>
      </c>
      <c r="Z536" s="18">
        <v>0</v>
      </c>
      <c r="AA536" s="18">
        <f>SUMIF([1]SA007!$C:$C,'SA007 2025.01-2026.05 '!$D536,[1]SA007!P:P)</f>
        <v>0</v>
      </c>
      <c r="AB536" s="18">
        <f>SUMIF([1]SA007!$C:$C,'SA007 2025.01-2026.05 '!$D536,[1]SA007!Q:Q)</f>
        <v>0</v>
      </c>
      <c r="AC536" s="19">
        <f t="shared" si="19"/>
        <v>0</v>
      </c>
      <c r="AD536" s="19">
        <f t="shared" si="20"/>
        <v>0</v>
      </c>
      <c r="AG536" s="21">
        <f>SUMIF([1]SO003!$H:$H,'SA007 2025.01-2026.05 '!$D536,[1]SO003!AF:AF)</f>
        <v>0</v>
      </c>
      <c r="AH536" s="21">
        <f>SUMIF([1]SO003!$H:$H,'SA007 2025.01-2026.05 '!$D536,[1]SO003!AH:AH)</f>
        <v>0</v>
      </c>
      <c r="AI536" s="21">
        <f>SUMIF([1]SO003!$H:$H,'SA007 2025.01-2026.05 '!$D536,[1]SO003!AJ:AJ)</f>
        <v>0</v>
      </c>
    </row>
    <row r="537" spans="1:35" x14ac:dyDescent="0.55000000000000004">
      <c r="A537" s="2" t="s">
        <v>361</v>
      </c>
      <c r="D537" s="22">
        <v>77004574</v>
      </c>
      <c r="E537" s="2" t="s">
        <v>116</v>
      </c>
      <c r="F537" s="2" t="s">
        <v>116</v>
      </c>
      <c r="G537" s="3" t="s">
        <v>47</v>
      </c>
      <c r="H537" s="2" t="s">
        <v>213</v>
      </c>
      <c r="I537" s="17">
        <v>4.5</v>
      </c>
      <c r="J537" s="3">
        <v>60</v>
      </c>
      <c r="K537" s="3">
        <v>1219</v>
      </c>
      <c r="L537" s="18">
        <v>0</v>
      </c>
      <c r="M537" s="18">
        <v>0</v>
      </c>
      <c r="N537" s="18">
        <v>0</v>
      </c>
      <c r="O537" s="18">
        <v>0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8">
        <v>0</v>
      </c>
      <c r="Y537" s="18">
        <v>0</v>
      </c>
      <c r="Z537" s="18">
        <v>0</v>
      </c>
      <c r="AA537" s="18">
        <f>SUMIF([1]SA007!$C:$C,'SA007 2025.01-2026.05 '!$D537,[1]SA007!P:P)</f>
        <v>0</v>
      </c>
      <c r="AB537" s="18">
        <f>SUMIF([1]SA007!$C:$C,'SA007 2025.01-2026.05 '!$D537,[1]SA007!Q:Q)</f>
        <v>0</v>
      </c>
      <c r="AC537" s="19">
        <f t="shared" si="19"/>
        <v>0</v>
      </c>
      <c r="AD537" s="19">
        <f t="shared" si="20"/>
        <v>0</v>
      </c>
      <c r="AG537" s="21">
        <f>SUMIF([1]SO003!$H:$H,'SA007 2025.01-2026.05 '!$D537,[1]SO003!AF:AF)</f>
        <v>0</v>
      </c>
      <c r="AH537" s="21">
        <f>SUMIF([1]SO003!$H:$H,'SA007 2025.01-2026.05 '!$D537,[1]SO003!AH:AH)</f>
        <v>0</v>
      </c>
      <c r="AI537" s="21">
        <f>SUMIF([1]SO003!$H:$H,'SA007 2025.01-2026.05 '!$D537,[1]SO003!AJ:AJ)</f>
        <v>0</v>
      </c>
    </row>
    <row r="538" spans="1:35" x14ac:dyDescent="0.55000000000000004">
      <c r="A538" s="2" t="s">
        <v>1080</v>
      </c>
      <c r="D538" s="22" t="s">
        <v>1081</v>
      </c>
      <c r="E538" s="2" t="s">
        <v>116</v>
      </c>
      <c r="F538" s="2" t="s">
        <v>116</v>
      </c>
      <c r="G538" s="3" t="s">
        <v>47</v>
      </c>
      <c r="H538" s="2" t="s">
        <v>321</v>
      </c>
      <c r="I538" s="17">
        <v>2.9</v>
      </c>
      <c r="J538" s="3">
        <v>155</v>
      </c>
      <c r="K538" s="3">
        <v>1219</v>
      </c>
      <c r="L538" s="18">
        <v>0</v>
      </c>
      <c r="M538" s="18">
        <v>0</v>
      </c>
      <c r="N538" s="18">
        <v>0</v>
      </c>
      <c r="O538" s="18">
        <v>0</v>
      </c>
      <c r="P538" s="18">
        <v>0</v>
      </c>
      <c r="Q538" s="18">
        <v>0</v>
      </c>
      <c r="R538" s="18">
        <v>0</v>
      </c>
      <c r="S538" s="18">
        <v>0</v>
      </c>
      <c r="T538" s="18">
        <v>0</v>
      </c>
      <c r="U538" s="18">
        <v>0</v>
      </c>
      <c r="V538" s="18">
        <v>0</v>
      </c>
      <c r="W538" s="18">
        <v>0</v>
      </c>
      <c r="X538" s="18">
        <v>0</v>
      </c>
      <c r="Y538" s="18">
        <v>0</v>
      </c>
      <c r="Z538" s="18">
        <v>0</v>
      </c>
      <c r="AA538" s="18">
        <f>SUMIF([1]SA007!$C:$C,'SA007 2025.01-2026.05 '!$D538,[1]SA007!P:P)</f>
        <v>0</v>
      </c>
      <c r="AB538" s="18">
        <f>SUMIF([1]SA007!$C:$C,'SA007 2025.01-2026.05 '!$D538,[1]SA007!Q:Q)</f>
        <v>0</v>
      </c>
      <c r="AC538" s="19">
        <f t="shared" si="19"/>
        <v>0</v>
      </c>
      <c r="AD538" s="19">
        <f t="shared" si="20"/>
        <v>0</v>
      </c>
      <c r="AG538" s="21">
        <f>SUMIF([1]SO003!$H:$H,'SA007 2025.01-2026.05 '!$D538,[1]SO003!AF:AF)</f>
        <v>0</v>
      </c>
      <c r="AH538" s="21">
        <f>SUMIF([1]SO003!$H:$H,'SA007 2025.01-2026.05 '!$D538,[1]SO003!AH:AH)</f>
        <v>0</v>
      </c>
      <c r="AI538" s="21">
        <f>SUMIF([1]SO003!$H:$H,'SA007 2025.01-2026.05 '!$D538,[1]SO003!AJ:AJ)</f>
        <v>0</v>
      </c>
    </row>
    <row r="539" spans="1:35" x14ac:dyDescent="0.55000000000000004">
      <c r="A539" s="2" t="s">
        <v>460</v>
      </c>
      <c r="D539" s="22">
        <v>77004554</v>
      </c>
      <c r="E539" s="2" t="s">
        <v>116</v>
      </c>
      <c r="F539" s="2" t="s">
        <v>116</v>
      </c>
      <c r="G539" s="3" t="s">
        <v>47</v>
      </c>
      <c r="H539" s="2" t="s">
        <v>213</v>
      </c>
      <c r="I539" s="17">
        <v>3.2</v>
      </c>
      <c r="J539" s="3">
        <v>55</v>
      </c>
      <c r="K539" s="3">
        <v>1219</v>
      </c>
      <c r="L539" s="18">
        <v>0</v>
      </c>
      <c r="M539" s="18">
        <v>0</v>
      </c>
      <c r="N539" s="18">
        <v>0</v>
      </c>
      <c r="O539" s="18">
        <v>0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8">
        <v>0</v>
      </c>
      <c r="Z539" s="18">
        <v>0</v>
      </c>
      <c r="AA539" s="18">
        <f>SUMIF([1]SA007!$C:$C,'SA007 2025.01-2026.05 '!$D539,[1]SA007!P:P)</f>
        <v>0</v>
      </c>
      <c r="AB539" s="18">
        <f>SUMIF([1]SA007!$C:$C,'SA007 2025.01-2026.05 '!$D539,[1]SA007!Q:Q)</f>
        <v>0</v>
      </c>
      <c r="AC539" s="19">
        <f t="shared" si="19"/>
        <v>0</v>
      </c>
      <c r="AD539" s="19">
        <f t="shared" si="20"/>
        <v>0</v>
      </c>
      <c r="AG539" s="21">
        <f>SUMIF([1]SO003!$H:$H,'SA007 2025.01-2026.05 '!$D539,[1]SO003!AF:AF)</f>
        <v>0</v>
      </c>
      <c r="AH539" s="21">
        <f>SUMIF([1]SO003!$H:$H,'SA007 2025.01-2026.05 '!$D539,[1]SO003!AH:AH)</f>
        <v>0</v>
      </c>
      <c r="AI539" s="21">
        <f>SUMIF([1]SO003!$H:$H,'SA007 2025.01-2026.05 '!$D539,[1]SO003!AJ:AJ)</f>
        <v>0</v>
      </c>
    </row>
    <row r="540" spans="1:35" x14ac:dyDescent="0.55000000000000004">
      <c r="A540" s="2" t="s">
        <v>507</v>
      </c>
      <c r="D540" s="22">
        <v>77003769</v>
      </c>
      <c r="E540" s="2" t="s">
        <v>116</v>
      </c>
      <c r="F540" s="2" t="s">
        <v>116</v>
      </c>
      <c r="G540" s="3" t="s">
        <v>47</v>
      </c>
      <c r="H540" s="2" t="s">
        <v>213</v>
      </c>
      <c r="I540" s="17">
        <v>6</v>
      </c>
      <c r="J540" s="3">
        <v>161</v>
      </c>
      <c r="K540" s="3">
        <v>1219</v>
      </c>
      <c r="L540" s="18">
        <v>0</v>
      </c>
      <c r="M540" s="18">
        <v>0</v>
      </c>
      <c r="N540" s="18">
        <v>0</v>
      </c>
      <c r="O540" s="18">
        <v>0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0</v>
      </c>
      <c r="Y540" s="18">
        <v>0</v>
      </c>
      <c r="Z540" s="18">
        <v>0</v>
      </c>
      <c r="AA540" s="18">
        <f>SUMIF([1]SA007!$C:$C,'SA007 2025.01-2026.05 '!$D540,[1]SA007!P:P)</f>
        <v>0</v>
      </c>
      <c r="AB540" s="18">
        <f>SUMIF([1]SA007!$C:$C,'SA007 2025.01-2026.05 '!$D540,[1]SA007!Q:Q)</f>
        <v>0</v>
      </c>
      <c r="AC540" s="19">
        <f t="shared" si="19"/>
        <v>0</v>
      </c>
      <c r="AD540" s="19">
        <f t="shared" si="20"/>
        <v>0</v>
      </c>
      <c r="AG540" s="21">
        <f>SUMIF([1]SO003!$H:$H,'SA007 2025.01-2026.05 '!$D540,[1]SO003!AF:AF)</f>
        <v>0</v>
      </c>
      <c r="AH540" s="21">
        <f>SUMIF([1]SO003!$H:$H,'SA007 2025.01-2026.05 '!$D540,[1]SO003!AH:AH)</f>
        <v>0</v>
      </c>
      <c r="AI540" s="21">
        <f>SUMIF([1]SO003!$H:$H,'SA007 2025.01-2026.05 '!$D540,[1]SO003!AJ:AJ)</f>
        <v>0</v>
      </c>
    </row>
    <row r="541" spans="1:35" x14ac:dyDescent="0.55000000000000004">
      <c r="A541" s="2" t="s">
        <v>361</v>
      </c>
      <c r="D541" s="22">
        <v>77004670</v>
      </c>
      <c r="E541" s="2" t="s">
        <v>116</v>
      </c>
      <c r="F541" s="2" t="s">
        <v>116</v>
      </c>
      <c r="G541" s="3" t="s">
        <v>47</v>
      </c>
      <c r="H541" s="2" t="s">
        <v>213</v>
      </c>
      <c r="I541" s="17">
        <v>4.5</v>
      </c>
      <c r="J541" s="3">
        <v>240</v>
      </c>
      <c r="K541" s="3">
        <v>1219</v>
      </c>
      <c r="L541" s="18">
        <v>0</v>
      </c>
      <c r="M541" s="18">
        <v>0</v>
      </c>
      <c r="N541" s="18">
        <v>0</v>
      </c>
      <c r="O541" s="18">
        <v>0</v>
      </c>
      <c r="P541" s="18">
        <v>0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8">
        <v>0</v>
      </c>
      <c r="Z541" s="18">
        <v>0</v>
      </c>
      <c r="AA541" s="18">
        <f>SUMIF([1]SA007!$C:$C,'SA007 2025.01-2026.05 '!$D541,[1]SA007!P:P)</f>
        <v>0</v>
      </c>
      <c r="AB541" s="18">
        <f>SUMIF([1]SA007!$C:$C,'SA007 2025.01-2026.05 '!$D541,[1]SA007!Q:Q)</f>
        <v>0</v>
      </c>
      <c r="AC541" s="19">
        <f t="shared" si="19"/>
        <v>0</v>
      </c>
      <c r="AD541" s="19">
        <f t="shared" si="20"/>
        <v>0</v>
      </c>
      <c r="AG541" s="21">
        <f>SUMIF([1]SO003!$H:$H,'SA007 2025.01-2026.05 '!$D541,[1]SO003!AF:AF)</f>
        <v>0</v>
      </c>
      <c r="AH541" s="21">
        <f>SUMIF([1]SO003!$H:$H,'SA007 2025.01-2026.05 '!$D541,[1]SO003!AH:AH)</f>
        <v>0</v>
      </c>
      <c r="AI541" s="21">
        <f>SUMIF([1]SO003!$H:$H,'SA007 2025.01-2026.05 '!$D541,[1]SO003!AJ:AJ)</f>
        <v>0</v>
      </c>
    </row>
    <row r="542" spans="1:35" x14ac:dyDescent="0.55000000000000004">
      <c r="A542" s="2" t="s">
        <v>361</v>
      </c>
      <c r="D542" s="22">
        <v>77004200</v>
      </c>
      <c r="E542" s="2" t="s">
        <v>116</v>
      </c>
      <c r="F542" s="2" t="s">
        <v>116</v>
      </c>
      <c r="G542" s="3" t="s">
        <v>47</v>
      </c>
      <c r="H542" s="2" t="s">
        <v>213</v>
      </c>
      <c r="I542" s="17">
        <v>4.5</v>
      </c>
      <c r="J542" s="3">
        <v>55</v>
      </c>
      <c r="K542" s="3">
        <v>1219</v>
      </c>
      <c r="L542" s="18">
        <v>0</v>
      </c>
      <c r="M542" s="18">
        <v>0</v>
      </c>
      <c r="N542" s="18">
        <v>0</v>
      </c>
      <c r="O542" s="18">
        <v>0</v>
      </c>
      <c r="P542" s="18">
        <v>0</v>
      </c>
      <c r="Q542" s="18">
        <v>0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f>SUMIF([1]SA007!$C:$C,'SA007 2025.01-2026.05 '!$D542,[1]SA007!P:P)</f>
        <v>0</v>
      </c>
      <c r="AB542" s="18">
        <f>SUMIF([1]SA007!$C:$C,'SA007 2025.01-2026.05 '!$D542,[1]SA007!Q:Q)</f>
        <v>0</v>
      </c>
      <c r="AC542" s="19">
        <f t="shared" si="19"/>
        <v>0</v>
      </c>
      <c r="AD542" s="19">
        <f t="shared" si="20"/>
        <v>0</v>
      </c>
      <c r="AG542" s="21">
        <f>SUMIF([1]SO003!$H:$H,'SA007 2025.01-2026.05 '!$D542,[1]SO003!AF:AF)</f>
        <v>0</v>
      </c>
      <c r="AH542" s="21">
        <f>SUMIF([1]SO003!$H:$H,'SA007 2025.01-2026.05 '!$D542,[1]SO003!AH:AH)</f>
        <v>0</v>
      </c>
      <c r="AI542" s="21">
        <f>SUMIF([1]SO003!$H:$H,'SA007 2025.01-2026.05 '!$D542,[1]SO003!AJ:AJ)</f>
        <v>0</v>
      </c>
    </row>
    <row r="543" spans="1:35" x14ac:dyDescent="0.55000000000000004">
      <c r="A543" s="2" t="s">
        <v>1078</v>
      </c>
      <c r="B543" s="2" t="s">
        <v>284</v>
      </c>
      <c r="C543" s="2" t="s">
        <v>284</v>
      </c>
      <c r="D543" s="2" t="s">
        <v>1082</v>
      </c>
      <c r="E543" s="2" t="s">
        <v>101</v>
      </c>
      <c r="F543" s="2" t="s">
        <v>101</v>
      </c>
      <c r="G543" s="3" t="s">
        <v>57</v>
      </c>
      <c r="H543" s="2" t="s">
        <v>284</v>
      </c>
      <c r="I543" s="17">
        <v>1.6</v>
      </c>
      <c r="J543" s="3">
        <v>120</v>
      </c>
      <c r="K543" s="3">
        <v>700</v>
      </c>
      <c r="L543" s="18">
        <v>5609</v>
      </c>
      <c r="M543" s="18">
        <v>3174</v>
      </c>
      <c r="N543" s="18">
        <v>7220</v>
      </c>
      <c r="O543" s="18">
        <v>3033</v>
      </c>
      <c r="P543" s="18">
        <v>3229</v>
      </c>
      <c r="Q543" s="18">
        <v>6170</v>
      </c>
      <c r="R543" s="18">
        <v>7441</v>
      </c>
      <c r="S543" s="18">
        <v>3175</v>
      </c>
      <c r="T543" s="18">
        <v>5921</v>
      </c>
      <c r="U543" s="18">
        <v>6259</v>
      </c>
      <c r="V543" s="18">
        <v>2904</v>
      </c>
      <c r="W543" s="18">
        <v>3144</v>
      </c>
      <c r="X543" s="18">
        <v>2260</v>
      </c>
      <c r="Y543" s="18">
        <v>2716</v>
      </c>
      <c r="Z543" s="18">
        <v>6422</v>
      </c>
      <c r="AA543" s="18">
        <f>SUMIF([1]SA007!$C:$C,'SA007 2025.01-2026.05 '!$D543,[1]SA007!P:P)</f>
        <v>2131</v>
      </c>
      <c r="AB543" s="18">
        <f>SUMIF([1]SA007!$C:$C,'SA007 2025.01-2026.05 '!$D543,[1]SA007!Q:Q)</f>
        <v>0</v>
      </c>
      <c r="AC543" s="19">
        <f t="shared" si="19"/>
        <v>70808</v>
      </c>
      <c r="AD543" s="19">
        <f t="shared" si="20"/>
        <v>4165.1764705882351</v>
      </c>
      <c r="AE543" s="20" t="s">
        <v>166</v>
      </c>
      <c r="AG543" s="21">
        <f>SUMIF([1]SO003!$H:$H,'SA007 2025.01-2026.05 '!$D543,[1]SO003!AF:AF)</f>
        <v>0</v>
      </c>
      <c r="AH543" s="21">
        <f>SUMIF([1]SO003!$H:$H,'SA007 2025.01-2026.05 '!$D543,[1]SO003!AH:AH)</f>
        <v>0</v>
      </c>
      <c r="AI543" s="21">
        <f>SUMIF([1]SO003!$H:$H,'SA007 2025.01-2026.05 '!$D543,[1]SO003!AJ:AJ)</f>
        <v>0</v>
      </c>
    </row>
    <row r="544" spans="1:35" x14ac:dyDescent="0.55000000000000004">
      <c r="A544" s="2" t="s">
        <v>794</v>
      </c>
      <c r="C544" s="2" t="s">
        <v>284</v>
      </c>
      <c r="D544" s="2" t="s">
        <v>1083</v>
      </c>
      <c r="E544" s="2" t="s">
        <v>101</v>
      </c>
      <c r="G544" s="3" t="s">
        <v>57</v>
      </c>
      <c r="H544" s="2" t="s">
        <v>284</v>
      </c>
      <c r="I544" s="17">
        <v>1.6</v>
      </c>
      <c r="J544" s="3">
        <v>73</v>
      </c>
      <c r="K544" s="3">
        <v>1420</v>
      </c>
      <c r="L544" s="18">
        <v>0</v>
      </c>
      <c r="M544" s="18">
        <v>0</v>
      </c>
      <c r="N544" s="18">
        <v>0</v>
      </c>
      <c r="O544" s="18">
        <v>0</v>
      </c>
      <c r="P544" s="18">
        <v>525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8">
        <v>0</v>
      </c>
      <c r="W544" s="18">
        <v>0</v>
      </c>
      <c r="X544" s="18">
        <v>0</v>
      </c>
      <c r="Y544" s="18">
        <v>0</v>
      </c>
      <c r="Z544" s="18">
        <v>0</v>
      </c>
      <c r="AA544" s="18">
        <f>SUMIF([1]SA007!$C:$C,'SA007 2025.01-2026.05 '!$D544,[1]SA007!P:P)</f>
        <v>0</v>
      </c>
      <c r="AB544" s="18">
        <f>SUMIF([1]SA007!$C:$C,'SA007 2025.01-2026.05 '!$D544,[1]SA007!Q:Q)</f>
        <v>0</v>
      </c>
      <c r="AC544" s="19">
        <f t="shared" si="19"/>
        <v>525</v>
      </c>
      <c r="AD544" s="19">
        <f t="shared" si="20"/>
        <v>30.882352941176471</v>
      </c>
      <c r="AE544" s="20">
        <v>0</v>
      </c>
      <c r="AG544" s="21">
        <f>SUMIF([1]SO003!$H:$H,'SA007 2025.01-2026.05 '!$D544,[1]SO003!AF:AF)</f>
        <v>0</v>
      </c>
      <c r="AH544" s="21">
        <f>SUMIF([1]SO003!$H:$H,'SA007 2025.01-2026.05 '!$D544,[1]SO003!AH:AH)</f>
        <v>0</v>
      </c>
      <c r="AI544" s="21">
        <f>SUMIF([1]SO003!$H:$H,'SA007 2025.01-2026.05 '!$D544,[1]SO003!AJ:AJ)</f>
        <v>0</v>
      </c>
    </row>
    <row r="545" spans="1:35" x14ac:dyDescent="0.55000000000000004">
      <c r="A545" s="2" t="s">
        <v>1084</v>
      </c>
      <c r="B545" s="2" t="s">
        <v>1085</v>
      </c>
      <c r="C545" s="2" t="s">
        <v>1085</v>
      </c>
      <c r="D545" s="2" t="s">
        <v>1086</v>
      </c>
      <c r="E545" s="2" t="s">
        <v>227</v>
      </c>
      <c r="F545" s="2" t="s">
        <v>227</v>
      </c>
      <c r="G545" s="3" t="s">
        <v>57</v>
      </c>
      <c r="H545" s="2" t="s">
        <v>1085</v>
      </c>
      <c r="I545" s="17">
        <v>1.6</v>
      </c>
      <c r="J545" s="3">
        <v>113</v>
      </c>
      <c r="K545" s="3" t="s">
        <v>41</v>
      </c>
      <c r="L545" s="18">
        <v>0</v>
      </c>
      <c r="M545" s="18">
        <v>3138</v>
      </c>
      <c r="N545" s="18">
        <v>0</v>
      </c>
      <c r="O545" s="18">
        <v>3200</v>
      </c>
      <c r="P545" s="18">
        <v>3192</v>
      </c>
      <c r="Q545" s="18">
        <v>3224</v>
      </c>
      <c r="R545" s="18">
        <v>3194</v>
      </c>
      <c r="S545" s="18">
        <v>0</v>
      </c>
      <c r="T545" s="18">
        <v>0</v>
      </c>
      <c r="U545" s="18">
        <v>1970</v>
      </c>
      <c r="V545" s="18">
        <v>4744</v>
      </c>
      <c r="W545" s="18">
        <v>3564</v>
      </c>
      <c r="X545" s="18">
        <v>0</v>
      </c>
      <c r="Y545" s="18">
        <v>0</v>
      </c>
      <c r="Z545" s="18">
        <v>0</v>
      </c>
      <c r="AA545" s="18">
        <f>SUMIF([1]SA007!$C:$C,'SA007 2025.01-2026.05 '!$D545,[1]SA007!P:P)</f>
        <v>0</v>
      </c>
      <c r="AB545" s="18">
        <f>SUMIF([1]SA007!$C:$C,'SA007 2025.01-2026.05 '!$D545,[1]SA007!Q:Q)</f>
        <v>0</v>
      </c>
      <c r="AC545" s="19">
        <f t="shared" si="19"/>
        <v>26226</v>
      </c>
      <c r="AD545" s="19">
        <f t="shared" si="20"/>
        <v>1542.7058823529412</v>
      </c>
      <c r="AE545" s="20" t="s">
        <v>1087</v>
      </c>
      <c r="AG545" s="21">
        <f>SUMIF([1]SO003!$H:$H,'SA007 2025.01-2026.05 '!$D545,[1]SO003!AF:AF)</f>
        <v>0</v>
      </c>
      <c r="AH545" s="21">
        <f>SUMIF([1]SO003!$H:$H,'SA007 2025.01-2026.05 '!$D545,[1]SO003!AH:AH)</f>
        <v>0</v>
      </c>
      <c r="AI545" s="21">
        <f>SUMIF([1]SO003!$H:$H,'SA007 2025.01-2026.05 '!$D545,[1]SO003!AJ:AJ)</f>
        <v>0</v>
      </c>
    </row>
    <row r="546" spans="1:35" x14ac:dyDescent="0.55000000000000004">
      <c r="A546" s="2" t="s">
        <v>389</v>
      </c>
      <c r="D546" s="22" t="s">
        <v>1088</v>
      </c>
      <c r="E546" s="2" t="s">
        <v>116</v>
      </c>
      <c r="F546" s="2" t="s">
        <v>116</v>
      </c>
      <c r="G546" s="3" t="s">
        <v>47</v>
      </c>
      <c r="H546" s="2" t="s">
        <v>321</v>
      </c>
      <c r="I546" s="17">
        <v>2</v>
      </c>
      <c r="J546" s="3">
        <v>230</v>
      </c>
      <c r="K546" s="3">
        <v>1219</v>
      </c>
      <c r="L546" s="18">
        <v>0</v>
      </c>
      <c r="M546" s="18">
        <v>0</v>
      </c>
      <c r="N546" s="18">
        <v>0</v>
      </c>
      <c r="O546" s="18">
        <v>0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8">
        <v>0</v>
      </c>
      <c r="W546" s="18">
        <v>0</v>
      </c>
      <c r="X546" s="18">
        <v>0</v>
      </c>
      <c r="Y546" s="18">
        <v>0</v>
      </c>
      <c r="Z546" s="18">
        <v>0</v>
      </c>
      <c r="AA546" s="18">
        <f>SUMIF([1]SA007!$C:$C,'SA007 2025.01-2026.05 '!$D546,[1]SA007!P:P)</f>
        <v>0</v>
      </c>
      <c r="AB546" s="18">
        <f>SUMIF([1]SA007!$C:$C,'SA007 2025.01-2026.05 '!$D546,[1]SA007!Q:Q)</f>
        <v>0</v>
      </c>
      <c r="AC546" s="19">
        <f t="shared" si="19"/>
        <v>0</v>
      </c>
      <c r="AD546" s="19">
        <f t="shared" si="20"/>
        <v>0</v>
      </c>
      <c r="AG546" s="21">
        <f>SUMIF([1]SO003!$H:$H,'SA007 2025.01-2026.05 '!$D546,[1]SO003!AF:AF)</f>
        <v>0</v>
      </c>
      <c r="AH546" s="21">
        <f>SUMIF([1]SO003!$H:$H,'SA007 2025.01-2026.05 '!$D546,[1]SO003!AH:AH)</f>
        <v>0</v>
      </c>
      <c r="AI546" s="21">
        <f>SUMIF([1]SO003!$H:$H,'SA007 2025.01-2026.05 '!$D546,[1]SO003!AJ:AJ)</f>
        <v>0</v>
      </c>
    </row>
    <row r="547" spans="1:35" x14ac:dyDescent="0.55000000000000004">
      <c r="A547" s="2" t="s">
        <v>309</v>
      </c>
      <c r="B547" s="2" t="s">
        <v>61</v>
      </c>
      <c r="C547" s="2" t="s">
        <v>61</v>
      </c>
      <c r="D547" s="2" t="s">
        <v>1089</v>
      </c>
      <c r="E547" s="2" t="s">
        <v>129</v>
      </c>
      <c r="F547" s="2" t="s">
        <v>129</v>
      </c>
      <c r="G547" s="3" t="s">
        <v>63</v>
      </c>
      <c r="H547" s="2" t="s">
        <v>64</v>
      </c>
      <c r="I547" s="17">
        <v>1.6</v>
      </c>
      <c r="J547" s="3">
        <v>75</v>
      </c>
      <c r="K547" s="3">
        <v>689</v>
      </c>
      <c r="L547" s="18">
        <v>1294</v>
      </c>
      <c r="M547" s="18">
        <v>0</v>
      </c>
      <c r="N547" s="18">
        <v>0</v>
      </c>
      <c r="O547" s="18">
        <v>0</v>
      </c>
      <c r="P547" s="18">
        <v>0</v>
      </c>
      <c r="Q547" s="18">
        <v>0</v>
      </c>
      <c r="R547" s="18">
        <v>1297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8">
        <v>0</v>
      </c>
      <c r="Z547" s="18">
        <v>0</v>
      </c>
      <c r="AA547" s="18">
        <f>SUMIF([1]SA007!$C:$C,'SA007 2025.01-2026.05 '!$D547,[1]SA007!P:P)</f>
        <v>0</v>
      </c>
      <c r="AB547" s="18">
        <f>SUMIF([1]SA007!$C:$C,'SA007 2025.01-2026.05 '!$D547,[1]SA007!Q:Q)</f>
        <v>0</v>
      </c>
      <c r="AC547" s="19">
        <f t="shared" si="19"/>
        <v>2591</v>
      </c>
      <c r="AD547" s="19">
        <f t="shared" si="20"/>
        <v>152.41176470588235</v>
      </c>
      <c r="AE547" s="20" t="s">
        <v>459</v>
      </c>
      <c r="AG547" s="21">
        <f>SUMIF([1]SO003!$H:$H,'SA007 2025.01-2026.05 '!$D547,[1]SO003!AF:AF)</f>
        <v>0</v>
      </c>
      <c r="AH547" s="21">
        <f>SUMIF([1]SO003!$H:$H,'SA007 2025.01-2026.05 '!$D547,[1]SO003!AH:AH)</f>
        <v>0</v>
      </c>
      <c r="AI547" s="21">
        <f>SUMIF([1]SO003!$H:$H,'SA007 2025.01-2026.05 '!$D547,[1]SO003!AJ:AJ)</f>
        <v>0</v>
      </c>
    </row>
    <row r="548" spans="1:35" x14ac:dyDescent="0.55000000000000004">
      <c r="A548" s="2" t="s">
        <v>309</v>
      </c>
      <c r="B548" s="2" t="s">
        <v>61</v>
      </c>
      <c r="C548" s="2" t="s">
        <v>61</v>
      </c>
      <c r="D548" s="2" t="s">
        <v>1090</v>
      </c>
      <c r="E548" s="2" t="s">
        <v>106</v>
      </c>
      <c r="G548" s="3" t="s">
        <v>63</v>
      </c>
      <c r="H548" s="2" t="s">
        <v>64</v>
      </c>
      <c r="I548" s="17">
        <v>1.6</v>
      </c>
      <c r="J548" s="3">
        <v>27</v>
      </c>
      <c r="K548" s="3" t="s">
        <v>41</v>
      </c>
      <c r="L548" s="18">
        <v>0</v>
      </c>
      <c r="M548" s="18">
        <v>0</v>
      </c>
      <c r="N548" s="18">
        <v>0</v>
      </c>
      <c r="O548" s="18">
        <v>0</v>
      </c>
      <c r="P548" s="18">
        <v>120</v>
      </c>
      <c r="Q548" s="18">
        <v>0</v>
      </c>
      <c r="R548" s="18">
        <v>0</v>
      </c>
      <c r="S548" s="18">
        <v>0</v>
      </c>
      <c r="T548" s="18">
        <v>0</v>
      </c>
      <c r="U548" s="18">
        <v>0</v>
      </c>
      <c r="V548" s="18">
        <v>0</v>
      </c>
      <c r="W548" s="18">
        <v>0</v>
      </c>
      <c r="X548" s="18">
        <v>0</v>
      </c>
      <c r="Y548" s="18">
        <v>0</v>
      </c>
      <c r="Z548" s="18">
        <v>0</v>
      </c>
      <c r="AA548" s="18">
        <f>SUMIF([1]SA007!$C:$C,'SA007 2025.01-2026.05 '!$D548,[1]SA007!P:P)</f>
        <v>0</v>
      </c>
      <c r="AB548" s="18">
        <f>SUMIF([1]SA007!$C:$C,'SA007 2025.01-2026.05 '!$D548,[1]SA007!Q:Q)</f>
        <v>0</v>
      </c>
      <c r="AC548" s="19">
        <f t="shared" si="19"/>
        <v>120</v>
      </c>
      <c r="AD548" s="19">
        <f t="shared" si="20"/>
        <v>7.0588235294117645</v>
      </c>
      <c r="AE548" s="20" t="s">
        <v>1091</v>
      </c>
      <c r="AG548" s="21">
        <f>SUMIF([1]SO003!$H:$H,'SA007 2025.01-2026.05 '!$D548,[1]SO003!AF:AF)</f>
        <v>0</v>
      </c>
      <c r="AH548" s="21">
        <f>SUMIF([1]SO003!$H:$H,'SA007 2025.01-2026.05 '!$D548,[1]SO003!AH:AH)</f>
        <v>0</v>
      </c>
      <c r="AI548" s="21">
        <f>SUMIF([1]SO003!$H:$H,'SA007 2025.01-2026.05 '!$D548,[1]SO003!AJ:AJ)</f>
        <v>0</v>
      </c>
    </row>
    <row r="549" spans="1:35" x14ac:dyDescent="0.55000000000000004">
      <c r="A549" s="2" t="s">
        <v>309</v>
      </c>
      <c r="D549" s="22" t="s">
        <v>1092</v>
      </c>
      <c r="E549" s="2" t="s">
        <v>129</v>
      </c>
      <c r="G549" s="3" t="s">
        <v>63</v>
      </c>
      <c r="H549" s="22" t="s">
        <v>64</v>
      </c>
      <c r="I549" s="17">
        <v>1.6</v>
      </c>
      <c r="J549" s="3">
        <v>125</v>
      </c>
      <c r="K549" s="3" t="s">
        <v>731</v>
      </c>
      <c r="L549" s="18">
        <v>0</v>
      </c>
      <c r="M549" s="18">
        <v>0</v>
      </c>
      <c r="N549" s="18">
        <v>0</v>
      </c>
      <c r="O549" s="18">
        <v>0</v>
      </c>
      <c r="P549" s="18">
        <v>0</v>
      </c>
      <c r="Q549" s="18">
        <v>0</v>
      </c>
      <c r="R549" s="18">
        <v>0</v>
      </c>
      <c r="S549" s="18">
        <v>0</v>
      </c>
      <c r="T549" s="18">
        <v>153</v>
      </c>
      <c r="U549" s="18">
        <v>0</v>
      </c>
      <c r="V549" s="18">
        <v>0</v>
      </c>
      <c r="W549" s="18">
        <v>0</v>
      </c>
      <c r="X549" s="18">
        <v>58</v>
      </c>
      <c r="Y549" s="18">
        <v>318</v>
      </c>
      <c r="Z549" s="18">
        <v>0</v>
      </c>
      <c r="AA549" s="18">
        <f>SUMIF([1]SA007!$C:$C,'SA007 2025.01-2026.05 '!$D549,[1]SA007!P:P)</f>
        <v>0</v>
      </c>
      <c r="AB549" s="18">
        <f>SUMIF([1]SA007!$C:$C,'SA007 2025.01-2026.05 '!$D549,[1]SA007!Q:Q)</f>
        <v>0</v>
      </c>
      <c r="AC549" s="19">
        <f t="shared" si="19"/>
        <v>529</v>
      </c>
      <c r="AD549" s="19">
        <f t="shared" si="20"/>
        <v>31.117647058823529</v>
      </c>
      <c r="AG549" s="21">
        <f>SUMIF([1]SO003!$H:$H,'SA007 2025.01-2026.05 '!$D549,[1]SO003!AF:AF)</f>
        <v>0</v>
      </c>
      <c r="AH549" s="21">
        <f>SUMIF([1]SO003!$H:$H,'SA007 2025.01-2026.05 '!$D549,[1]SO003!AH:AH)</f>
        <v>0</v>
      </c>
      <c r="AI549" s="21">
        <f>SUMIF([1]SO003!$H:$H,'SA007 2025.01-2026.05 '!$D549,[1]SO003!AJ:AJ)</f>
        <v>0</v>
      </c>
    </row>
    <row r="550" spans="1:35" x14ac:dyDescent="0.55000000000000004">
      <c r="A550" s="2" t="s">
        <v>507</v>
      </c>
      <c r="D550" s="22">
        <v>77004415</v>
      </c>
      <c r="E550" s="2" t="s">
        <v>116</v>
      </c>
      <c r="F550" s="2" t="s">
        <v>116</v>
      </c>
      <c r="G550" s="3" t="s">
        <v>47</v>
      </c>
      <c r="H550" s="2" t="s">
        <v>213</v>
      </c>
      <c r="I550" s="17">
        <v>6</v>
      </c>
      <c r="J550" s="3">
        <v>250</v>
      </c>
      <c r="K550" s="3">
        <v>1219</v>
      </c>
      <c r="L550" s="18">
        <v>0</v>
      </c>
      <c r="M550" s="18">
        <v>0</v>
      </c>
      <c r="N550" s="18">
        <v>0</v>
      </c>
      <c r="O550" s="18">
        <v>0</v>
      </c>
      <c r="P550" s="18">
        <v>0</v>
      </c>
      <c r="Q550" s="18">
        <v>0</v>
      </c>
      <c r="R550" s="18">
        <v>0</v>
      </c>
      <c r="S550" s="18">
        <v>0</v>
      </c>
      <c r="T550" s="18">
        <v>0</v>
      </c>
      <c r="U550" s="18">
        <v>0</v>
      </c>
      <c r="V550" s="18">
        <v>0</v>
      </c>
      <c r="W550" s="18">
        <v>0</v>
      </c>
      <c r="X550" s="18">
        <v>0</v>
      </c>
      <c r="Y550" s="18">
        <v>0</v>
      </c>
      <c r="Z550" s="18">
        <v>0</v>
      </c>
      <c r="AA550" s="18">
        <f>SUMIF([1]SA007!$C:$C,'SA007 2025.01-2026.05 '!$D550,[1]SA007!P:P)</f>
        <v>0</v>
      </c>
      <c r="AB550" s="18">
        <f>SUMIF([1]SA007!$C:$C,'SA007 2025.01-2026.05 '!$D550,[1]SA007!Q:Q)</f>
        <v>0</v>
      </c>
      <c r="AC550" s="19">
        <f t="shared" si="19"/>
        <v>0</v>
      </c>
      <c r="AD550" s="19">
        <f t="shared" si="20"/>
        <v>0</v>
      </c>
      <c r="AG550" s="21">
        <f>SUMIF([1]SO003!$H:$H,'SA007 2025.01-2026.05 '!$D550,[1]SO003!AF:AF)</f>
        <v>0</v>
      </c>
      <c r="AH550" s="21">
        <f>SUMIF([1]SO003!$H:$H,'SA007 2025.01-2026.05 '!$D550,[1]SO003!AH:AH)</f>
        <v>0</v>
      </c>
      <c r="AI550" s="21">
        <f>SUMIF([1]SO003!$H:$H,'SA007 2025.01-2026.05 '!$D550,[1]SO003!AJ:AJ)</f>
        <v>0</v>
      </c>
    </row>
    <row r="551" spans="1:35" x14ac:dyDescent="0.55000000000000004">
      <c r="A551" s="2" t="s">
        <v>1093</v>
      </c>
      <c r="D551" s="22" t="s">
        <v>1094</v>
      </c>
      <c r="E551" s="2" t="s">
        <v>116</v>
      </c>
      <c r="F551" s="2" t="s">
        <v>116</v>
      </c>
      <c r="G551" s="3" t="s">
        <v>47</v>
      </c>
      <c r="H551" s="2" t="s">
        <v>44</v>
      </c>
      <c r="I551" s="17">
        <v>6</v>
      </c>
      <c r="J551" s="3">
        <v>148</v>
      </c>
      <c r="K551" s="3">
        <v>1219</v>
      </c>
      <c r="L551" s="18">
        <v>0</v>
      </c>
      <c r="M551" s="18">
        <v>0</v>
      </c>
      <c r="N551" s="18">
        <v>0</v>
      </c>
      <c r="O551" s="18">
        <v>0</v>
      </c>
      <c r="P551" s="18">
        <v>0</v>
      </c>
      <c r="Q551" s="18">
        <v>0</v>
      </c>
      <c r="R551" s="18">
        <v>0</v>
      </c>
      <c r="S551" s="18">
        <v>0</v>
      </c>
      <c r="T551" s="18">
        <v>0</v>
      </c>
      <c r="U551" s="18">
        <v>174</v>
      </c>
      <c r="V551" s="18">
        <v>0</v>
      </c>
      <c r="W551" s="18">
        <v>0</v>
      </c>
      <c r="X551" s="18">
        <v>0</v>
      </c>
      <c r="Y551" s="18">
        <v>0</v>
      </c>
      <c r="Z551" s="18">
        <v>0</v>
      </c>
      <c r="AA551" s="18">
        <f>SUMIF([1]SA007!$C:$C,'SA007 2025.01-2026.05 '!$D551,[1]SA007!P:P)</f>
        <v>0</v>
      </c>
      <c r="AB551" s="18">
        <f>SUMIF([1]SA007!$C:$C,'SA007 2025.01-2026.05 '!$D551,[1]SA007!Q:Q)</f>
        <v>0</v>
      </c>
      <c r="AC551" s="19">
        <f t="shared" si="19"/>
        <v>174</v>
      </c>
      <c r="AD551" s="19">
        <f t="shared" si="20"/>
        <v>10.235294117647058</v>
      </c>
      <c r="AG551" s="21">
        <f>SUMIF([1]SO003!$H:$H,'SA007 2025.01-2026.05 '!$D551,[1]SO003!AF:AF)</f>
        <v>169.948104</v>
      </c>
      <c r="AH551" s="21">
        <f>SUMIF([1]SO003!$H:$H,'SA007 2025.01-2026.05 '!$D551,[1]SO003!AH:AH)</f>
        <v>169.948104</v>
      </c>
      <c r="AI551" s="21">
        <f>SUMIF([1]SO003!$H:$H,'SA007 2025.01-2026.05 '!$D551,[1]SO003!AJ:AJ)</f>
        <v>0</v>
      </c>
    </row>
    <row r="552" spans="1:35" x14ac:dyDescent="0.55000000000000004">
      <c r="A552" s="2" t="s">
        <v>309</v>
      </c>
      <c r="D552" s="2" t="s">
        <v>1095</v>
      </c>
      <c r="E552" s="2" t="s">
        <v>363</v>
      </c>
      <c r="F552" s="2" t="s">
        <v>363</v>
      </c>
      <c r="G552" s="3" t="s">
        <v>63</v>
      </c>
      <c r="H552" s="2" t="s">
        <v>64</v>
      </c>
      <c r="I552" s="17">
        <v>1.6</v>
      </c>
      <c r="J552" s="3">
        <v>42</v>
      </c>
      <c r="K552" s="3" t="s">
        <v>819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>
        <v>0</v>
      </c>
      <c r="T552" s="21">
        <v>0</v>
      </c>
      <c r="U552" s="21">
        <v>0</v>
      </c>
      <c r="V552" s="21">
        <v>0</v>
      </c>
      <c r="W552" s="21">
        <v>0</v>
      </c>
      <c r="X552" s="18">
        <v>0</v>
      </c>
      <c r="Y552" s="18">
        <v>0</v>
      </c>
      <c r="Z552" s="18">
        <v>56</v>
      </c>
      <c r="AA552" s="18">
        <f>SUMIF([1]SA007!$C:$C,'SA007 2025.01-2026.05 '!$D552,[1]SA007!P:P)</f>
        <v>33</v>
      </c>
      <c r="AB552" s="18">
        <f>SUMIF([1]SA007!$C:$C,'SA007 2025.01-2026.05 '!$D552,[1]SA007!Q:Q)</f>
        <v>0</v>
      </c>
      <c r="AC552" s="19">
        <f t="shared" si="19"/>
        <v>89</v>
      </c>
      <c r="AD552" s="19">
        <f t="shared" si="20"/>
        <v>5.2352941176470589</v>
      </c>
      <c r="AG552" s="21">
        <f>SUMIF([1]SO003!$H:$H,'SA007 2025.01-2026.05 '!$D552,[1]SO003!AF:AF)</f>
        <v>32.178719999999998</v>
      </c>
      <c r="AH552" s="21">
        <f>SUMIF([1]SO003!$H:$H,'SA007 2025.01-2026.05 '!$D552,[1]SO003!AH:AH)</f>
        <v>28.960847999999999</v>
      </c>
      <c r="AI552" s="21">
        <f>SUMIF([1]SO003!$H:$H,'SA007 2025.01-2026.05 '!$D552,[1]SO003!AJ:AJ)</f>
        <v>3.2178719999999998</v>
      </c>
    </row>
    <row r="553" spans="1:35" x14ac:dyDescent="0.55000000000000004">
      <c r="A553" s="2" t="s">
        <v>1096</v>
      </c>
      <c r="D553" s="22">
        <v>77004613</v>
      </c>
      <c r="E553" s="2" t="s">
        <v>116</v>
      </c>
      <c r="F553" s="2" t="s">
        <v>116</v>
      </c>
      <c r="G553" s="3" t="s">
        <v>47</v>
      </c>
      <c r="H553" s="2" t="s">
        <v>365</v>
      </c>
      <c r="I553" s="17">
        <v>2.9</v>
      </c>
      <c r="J553" s="3">
        <v>120</v>
      </c>
      <c r="K553" s="3">
        <v>1219</v>
      </c>
      <c r="L553" s="18">
        <v>0</v>
      </c>
      <c r="M553" s="18">
        <v>0</v>
      </c>
      <c r="N553" s="18">
        <v>0</v>
      </c>
      <c r="O553" s="18">
        <v>0</v>
      </c>
      <c r="P553" s="18">
        <v>0</v>
      </c>
      <c r="Q553" s="18">
        <v>0</v>
      </c>
      <c r="R553" s="18">
        <v>0</v>
      </c>
      <c r="S553" s="18">
        <v>0</v>
      </c>
      <c r="T553" s="18">
        <v>0</v>
      </c>
      <c r="U553" s="18">
        <v>0</v>
      </c>
      <c r="V553" s="18">
        <v>0</v>
      </c>
      <c r="W553" s="18">
        <v>0</v>
      </c>
      <c r="X553" s="18">
        <v>0</v>
      </c>
      <c r="Y553" s="18">
        <v>0</v>
      </c>
      <c r="Z553" s="18">
        <v>0</v>
      </c>
      <c r="AA553" s="18">
        <f>SUMIF([1]SA007!$C:$C,'SA007 2025.01-2026.05 '!$D553,[1]SA007!P:P)</f>
        <v>0</v>
      </c>
      <c r="AB553" s="18">
        <f>SUMIF([1]SA007!$C:$C,'SA007 2025.01-2026.05 '!$D553,[1]SA007!Q:Q)</f>
        <v>0</v>
      </c>
      <c r="AC553" s="19">
        <f t="shared" si="19"/>
        <v>0</v>
      </c>
      <c r="AD553" s="19">
        <f t="shared" si="20"/>
        <v>0</v>
      </c>
      <c r="AG553" s="21">
        <f>SUMIF([1]SO003!$H:$H,'SA007 2025.01-2026.05 '!$D553,[1]SO003!AF:AF)</f>
        <v>0</v>
      </c>
      <c r="AH553" s="21">
        <f>SUMIF([1]SO003!$H:$H,'SA007 2025.01-2026.05 '!$D553,[1]SO003!AH:AH)</f>
        <v>0</v>
      </c>
      <c r="AI553" s="21">
        <f>SUMIF([1]SO003!$H:$H,'SA007 2025.01-2026.05 '!$D553,[1]SO003!AJ:AJ)</f>
        <v>0</v>
      </c>
    </row>
    <row r="554" spans="1:35" x14ac:dyDescent="0.55000000000000004">
      <c r="A554" s="2" t="s">
        <v>1097</v>
      </c>
      <c r="D554" s="22" t="s">
        <v>1098</v>
      </c>
      <c r="E554" s="2" t="s">
        <v>116</v>
      </c>
      <c r="F554" s="2" t="s">
        <v>116</v>
      </c>
      <c r="G554" s="3" t="s">
        <v>63</v>
      </c>
      <c r="H554" s="2" t="s">
        <v>310</v>
      </c>
      <c r="I554" s="17">
        <v>1.4</v>
      </c>
      <c r="J554" s="3">
        <v>67</v>
      </c>
      <c r="K554" s="3">
        <v>1219</v>
      </c>
      <c r="L554" s="18">
        <v>0</v>
      </c>
      <c r="M554" s="18">
        <v>0</v>
      </c>
      <c r="N554" s="18">
        <v>0</v>
      </c>
      <c r="O554" s="18">
        <v>0</v>
      </c>
      <c r="P554" s="18">
        <v>0</v>
      </c>
      <c r="Q554" s="18">
        <v>0</v>
      </c>
      <c r="R554" s="18">
        <v>0</v>
      </c>
      <c r="S554" s="18">
        <v>0</v>
      </c>
      <c r="T554" s="18">
        <v>0</v>
      </c>
      <c r="U554" s="18">
        <v>0</v>
      </c>
      <c r="V554" s="18">
        <v>0</v>
      </c>
      <c r="W554" s="18">
        <v>0</v>
      </c>
      <c r="X554" s="18">
        <v>0</v>
      </c>
      <c r="Y554" s="18">
        <v>0</v>
      </c>
      <c r="Z554" s="18">
        <v>0</v>
      </c>
      <c r="AA554" s="18">
        <f>SUMIF([1]SA007!$C:$C,'SA007 2025.01-2026.05 '!$D554,[1]SA007!P:P)</f>
        <v>0</v>
      </c>
      <c r="AB554" s="18">
        <f>SUMIF([1]SA007!$C:$C,'SA007 2025.01-2026.05 '!$D554,[1]SA007!Q:Q)</f>
        <v>0</v>
      </c>
      <c r="AC554" s="19">
        <f t="shared" si="19"/>
        <v>0</v>
      </c>
      <c r="AD554" s="19">
        <f t="shared" si="20"/>
        <v>0</v>
      </c>
      <c r="AG554" s="21">
        <f>SUMIF([1]SO003!$H:$H,'SA007 2025.01-2026.05 '!$D554,[1]SO003!AF:AF)</f>
        <v>0</v>
      </c>
      <c r="AH554" s="21">
        <f>SUMIF([1]SO003!$H:$H,'SA007 2025.01-2026.05 '!$D554,[1]SO003!AH:AH)</f>
        <v>0</v>
      </c>
      <c r="AI554" s="21">
        <f>SUMIF([1]SO003!$H:$H,'SA007 2025.01-2026.05 '!$D554,[1]SO003!AJ:AJ)</f>
        <v>0</v>
      </c>
    </row>
    <row r="555" spans="1:35" x14ac:dyDescent="0.55000000000000004">
      <c r="A555" s="2" t="s">
        <v>361</v>
      </c>
      <c r="D555" s="22" t="s">
        <v>1099</v>
      </c>
      <c r="E555" s="2" t="s">
        <v>116</v>
      </c>
      <c r="F555" s="2" t="s">
        <v>116</v>
      </c>
      <c r="G555" s="3" t="s">
        <v>47</v>
      </c>
      <c r="H555" s="2" t="s">
        <v>213</v>
      </c>
      <c r="I555" s="17">
        <v>4.5</v>
      </c>
      <c r="J555" s="3">
        <v>270</v>
      </c>
      <c r="K555" s="3">
        <v>1219</v>
      </c>
      <c r="L555" s="18">
        <v>0</v>
      </c>
      <c r="M555" s="18">
        <v>0</v>
      </c>
      <c r="N555" s="18">
        <v>0</v>
      </c>
      <c r="O555" s="18">
        <v>0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8">
        <v>0</v>
      </c>
      <c r="W555" s="18">
        <v>0</v>
      </c>
      <c r="X555" s="18">
        <v>0</v>
      </c>
      <c r="Y555" s="18">
        <v>0</v>
      </c>
      <c r="Z555" s="18">
        <v>0</v>
      </c>
      <c r="AA555" s="18">
        <f>SUMIF([1]SA007!$C:$C,'SA007 2025.01-2026.05 '!$D555,[1]SA007!P:P)</f>
        <v>0</v>
      </c>
      <c r="AB555" s="18">
        <f>SUMIF([1]SA007!$C:$C,'SA007 2025.01-2026.05 '!$D555,[1]SA007!Q:Q)</f>
        <v>0</v>
      </c>
      <c r="AC555" s="19">
        <f t="shared" si="19"/>
        <v>0</v>
      </c>
      <c r="AD555" s="19">
        <f t="shared" si="20"/>
        <v>0</v>
      </c>
      <c r="AG555" s="21">
        <f>SUMIF([1]SO003!$H:$H,'SA007 2025.01-2026.05 '!$D555,[1]SO003!AF:AF)</f>
        <v>0</v>
      </c>
      <c r="AH555" s="21">
        <f>SUMIF([1]SO003!$H:$H,'SA007 2025.01-2026.05 '!$D555,[1]SO003!AH:AH)</f>
        <v>0</v>
      </c>
      <c r="AI555" s="21">
        <f>SUMIF([1]SO003!$H:$H,'SA007 2025.01-2026.05 '!$D555,[1]SO003!AJ:AJ)</f>
        <v>0</v>
      </c>
    </row>
    <row r="556" spans="1:35" x14ac:dyDescent="0.55000000000000004">
      <c r="A556" s="2" t="s">
        <v>309</v>
      </c>
      <c r="D556" s="2" t="s">
        <v>1100</v>
      </c>
      <c r="E556" s="2" t="s">
        <v>363</v>
      </c>
      <c r="F556" s="2" t="s">
        <v>363</v>
      </c>
      <c r="G556" s="3" t="s">
        <v>63</v>
      </c>
      <c r="H556" s="2" t="s">
        <v>64</v>
      </c>
      <c r="I556" s="17">
        <v>1.6</v>
      </c>
      <c r="J556" s="3">
        <v>26</v>
      </c>
      <c r="K556" s="3" t="s">
        <v>819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  <c r="Q556" s="21">
        <v>0</v>
      </c>
      <c r="R556" s="21">
        <v>0</v>
      </c>
      <c r="S556" s="21">
        <v>0</v>
      </c>
      <c r="T556" s="21">
        <v>0</v>
      </c>
      <c r="U556" s="21">
        <v>0</v>
      </c>
      <c r="V556" s="21">
        <v>0</v>
      </c>
      <c r="W556" s="21">
        <v>0</v>
      </c>
      <c r="X556" s="18">
        <v>0</v>
      </c>
      <c r="Y556" s="18">
        <v>0</v>
      </c>
      <c r="Z556" s="18">
        <v>36</v>
      </c>
      <c r="AA556" s="18">
        <f>SUMIF([1]SA007!$C:$C,'SA007 2025.01-2026.05 '!$D556,[1]SA007!P:P)</f>
        <v>20</v>
      </c>
      <c r="AB556" s="18">
        <f>SUMIF([1]SA007!$C:$C,'SA007 2025.01-2026.05 '!$D556,[1]SA007!Q:Q)</f>
        <v>0</v>
      </c>
      <c r="AC556" s="19">
        <f t="shared" si="19"/>
        <v>56</v>
      </c>
      <c r="AD556" s="19">
        <f t="shared" si="20"/>
        <v>3.2941176470588234</v>
      </c>
      <c r="AG556" s="21">
        <f>SUMIF([1]SO003!$H:$H,'SA007 2025.01-2026.05 '!$D556,[1]SO003!AF:AF)</f>
        <v>19.920159999999999</v>
      </c>
      <c r="AH556" s="21">
        <f>SUMIF([1]SO003!$H:$H,'SA007 2025.01-2026.05 '!$D556,[1]SO003!AH:AH)</f>
        <v>17.928144</v>
      </c>
      <c r="AI556" s="21">
        <f>SUMIF([1]SO003!$H:$H,'SA007 2025.01-2026.05 '!$D556,[1]SO003!AJ:AJ)</f>
        <v>1.992016</v>
      </c>
    </row>
    <row r="557" spans="1:35" x14ac:dyDescent="0.55000000000000004">
      <c r="A557" s="2" t="s">
        <v>433</v>
      </c>
      <c r="D557" s="22" t="s">
        <v>1101</v>
      </c>
      <c r="E557" s="2" t="s">
        <v>116</v>
      </c>
      <c r="F557" s="2" t="s">
        <v>116</v>
      </c>
      <c r="G557" s="3" t="s">
        <v>47</v>
      </c>
      <c r="H557" s="2" t="s">
        <v>213</v>
      </c>
      <c r="I557" s="17">
        <v>2.6</v>
      </c>
      <c r="J557" s="3">
        <v>185</v>
      </c>
      <c r="K557" s="3">
        <v>1219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8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8">
        <f>SUMIF([1]SA007!$C:$C,'SA007 2025.01-2026.05 '!$D557,[1]SA007!P:P)</f>
        <v>0</v>
      </c>
      <c r="AB557" s="18">
        <f>SUMIF([1]SA007!$C:$C,'SA007 2025.01-2026.05 '!$D557,[1]SA007!Q:Q)</f>
        <v>0</v>
      </c>
      <c r="AC557" s="19">
        <f t="shared" si="19"/>
        <v>0</v>
      </c>
      <c r="AD557" s="19">
        <f t="shared" si="20"/>
        <v>0</v>
      </c>
      <c r="AG557" s="21">
        <f>SUMIF([1]SO003!$H:$H,'SA007 2025.01-2026.05 '!$D557,[1]SO003!AF:AF)</f>
        <v>0</v>
      </c>
      <c r="AH557" s="21">
        <f>SUMIF([1]SO003!$H:$H,'SA007 2025.01-2026.05 '!$D557,[1]SO003!AH:AH)</f>
        <v>0</v>
      </c>
      <c r="AI557" s="21">
        <f>SUMIF([1]SO003!$H:$H,'SA007 2025.01-2026.05 '!$D557,[1]SO003!AJ:AJ)</f>
        <v>0</v>
      </c>
    </row>
    <row r="558" spans="1:35" x14ac:dyDescent="0.55000000000000004">
      <c r="A558" s="2" t="s">
        <v>389</v>
      </c>
      <c r="D558" s="22" t="s">
        <v>1102</v>
      </c>
      <c r="E558" s="2" t="s">
        <v>116</v>
      </c>
      <c r="F558" s="2" t="s">
        <v>116</v>
      </c>
      <c r="G558" s="3" t="s">
        <v>47</v>
      </c>
      <c r="H558" s="2" t="s">
        <v>213</v>
      </c>
      <c r="I558" s="17">
        <v>2</v>
      </c>
      <c r="J558" s="3">
        <v>98</v>
      </c>
      <c r="K558" s="3">
        <v>1219</v>
      </c>
      <c r="L558" s="18">
        <v>0</v>
      </c>
      <c r="M558" s="18">
        <v>0</v>
      </c>
      <c r="N558" s="18">
        <v>0</v>
      </c>
      <c r="O558" s="18">
        <v>0</v>
      </c>
      <c r="P558" s="18">
        <v>0</v>
      </c>
      <c r="Q558" s="18">
        <v>0</v>
      </c>
      <c r="R558" s="18">
        <v>0</v>
      </c>
      <c r="S558" s="18">
        <v>0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8">
        <f>SUMIF([1]SA007!$C:$C,'SA007 2025.01-2026.05 '!$D558,[1]SA007!P:P)</f>
        <v>0</v>
      </c>
      <c r="AB558" s="18">
        <f>SUMIF([1]SA007!$C:$C,'SA007 2025.01-2026.05 '!$D558,[1]SA007!Q:Q)</f>
        <v>0</v>
      </c>
      <c r="AC558" s="19">
        <f t="shared" si="19"/>
        <v>0</v>
      </c>
      <c r="AD558" s="19">
        <f t="shared" si="20"/>
        <v>0</v>
      </c>
      <c r="AG558" s="21">
        <f>SUMIF([1]SO003!$H:$H,'SA007 2025.01-2026.05 '!$D558,[1]SO003!AF:AF)</f>
        <v>0</v>
      </c>
      <c r="AH558" s="21">
        <f>SUMIF([1]SO003!$H:$H,'SA007 2025.01-2026.05 '!$D558,[1]SO003!AH:AH)</f>
        <v>0</v>
      </c>
      <c r="AI558" s="21">
        <f>SUMIF([1]SO003!$H:$H,'SA007 2025.01-2026.05 '!$D558,[1]SO003!AJ:AJ)</f>
        <v>0</v>
      </c>
    </row>
    <row r="559" spans="1:35" x14ac:dyDescent="0.55000000000000004">
      <c r="A559" s="2" t="s">
        <v>309</v>
      </c>
      <c r="B559" s="2" t="s">
        <v>61</v>
      </c>
      <c r="C559" s="2" t="s">
        <v>61</v>
      </c>
      <c r="D559" s="2" t="s">
        <v>1103</v>
      </c>
      <c r="E559" s="2" t="s">
        <v>129</v>
      </c>
      <c r="F559" s="2" t="s">
        <v>129</v>
      </c>
      <c r="G559" s="3" t="s">
        <v>63</v>
      </c>
      <c r="H559" s="2" t="s">
        <v>61</v>
      </c>
      <c r="I559" s="17">
        <v>1.6</v>
      </c>
      <c r="J559" s="3">
        <v>70</v>
      </c>
      <c r="K559" s="3">
        <v>886</v>
      </c>
      <c r="L559" s="18">
        <v>1167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1142</v>
      </c>
      <c r="U559" s="18">
        <v>0</v>
      </c>
      <c r="V559" s="18">
        <v>0</v>
      </c>
      <c r="W559" s="18">
        <v>0</v>
      </c>
      <c r="X559" s="18">
        <v>0</v>
      </c>
      <c r="Y559" s="18">
        <v>0</v>
      </c>
      <c r="Z559" s="18">
        <v>0</v>
      </c>
      <c r="AA559" s="18">
        <f>SUMIF([1]SA007!$C:$C,'SA007 2025.01-2026.05 '!$D559,[1]SA007!P:P)</f>
        <v>0</v>
      </c>
      <c r="AB559" s="18">
        <f>SUMIF([1]SA007!$C:$C,'SA007 2025.01-2026.05 '!$D559,[1]SA007!Q:Q)</f>
        <v>0</v>
      </c>
      <c r="AC559" s="19">
        <f t="shared" si="19"/>
        <v>2309</v>
      </c>
      <c r="AD559" s="19">
        <f t="shared" si="20"/>
        <v>135.8235294117647</v>
      </c>
      <c r="AE559" s="20" t="s">
        <v>459</v>
      </c>
      <c r="AG559" s="21">
        <f>SUMIF([1]SO003!$H:$H,'SA007 2025.01-2026.05 '!$D559,[1]SO003!AF:AF)</f>
        <v>0</v>
      </c>
      <c r="AH559" s="21">
        <f>SUMIF([1]SO003!$H:$H,'SA007 2025.01-2026.05 '!$D559,[1]SO003!AH:AH)</f>
        <v>0</v>
      </c>
      <c r="AI559" s="21">
        <f>SUMIF([1]SO003!$H:$H,'SA007 2025.01-2026.05 '!$D559,[1]SO003!AJ:AJ)</f>
        <v>0</v>
      </c>
    </row>
    <row r="560" spans="1:35" x14ac:dyDescent="0.55000000000000004">
      <c r="A560" s="2" t="s">
        <v>389</v>
      </c>
      <c r="D560" s="22" t="s">
        <v>1104</v>
      </c>
      <c r="E560" s="2" t="s">
        <v>116</v>
      </c>
      <c r="F560" s="2" t="s">
        <v>116</v>
      </c>
      <c r="G560" s="3" t="s">
        <v>47</v>
      </c>
      <c r="H560" s="2" t="s">
        <v>213</v>
      </c>
      <c r="I560" s="17">
        <v>2</v>
      </c>
      <c r="J560" s="3">
        <v>86</v>
      </c>
      <c r="K560" s="3">
        <v>1219</v>
      </c>
      <c r="L560" s="18">
        <v>0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8">
        <f>SUMIF([1]SA007!$C:$C,'SA007 2025.01-2026.05 '!$D560,[1]SA007!P:P)</f>
        <v>0</v>
      </c>
      <c r="AB560" s="18">
        <f>SUMIF([1]SA007!$C:$C,'SA007 2025.01-2026.05 '!$D560,[1]SA007!Q:Q)</f>
        <v>0</v>
      </c>
      <c r="AC560" s="19">
        <f t="shared" si="19"/>
        <v>0</v>
      </c>
      <c r="AD560" s="19">
        <f t="shared" si="20"/>
        <v>0</v>
      </c>
      <c r="AG560" s="21">
        <f>SUMIF([1]SO003!$H:$H,'SA007 2025.01-2026.05 '!$D560,[1]SO003!AF:AF)</f>
        <v>0</v>
      </c>
      <c r="AH560" s="21">
        <f>SUMIF([1]SO003!$H:$H,'SA007 2025.01-2026.05 '!$D560,[1]SO003!AH:AH)</f>
        <v>0</v>
      </c>
      <c r="AI560" s="21">
        <f>SUMIF([1]SO003!$H:$H,'SA007 2025.01-2026.05 '!$D560,[1]SO003!AJ:AJ)</f>
        <v>0</v>
      </c>
    </row>
    <row r="561" spans="1:35" x14ac:dyDescent="0.55000000000000004">
      <c r="A561" s="2" t="s">
        <v>389</v>
      </c>
      <c r="D561" s="22" t="s">
        <v>1105</v>
      </c>
      <c r="E561" s="2" t="s">
        <v>116</v>
      </c>
      <c r="F561" s="2" t="s">
        <v>116</v>
      </c>
      <c r="G561" s="3" t="s">
        <v>47</v>
      </c>
      <c r="H561" s="2" t="s">
        <v>213</v>
      </c>
      <c r="I561" s="17">
        <v>2</v>
      </c>
      <c r="J561" s="3">
        <v>85</v>
      </c>
      <c r="K561" s="3">
        <v>1219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0</v>
      </c>
      <c r="Z561" s="18">
        <v>0</v>
      </c>
      <c r="AA561" s="18">
        <f>SUMIF([1]SA007!$C:$C,'SA007 2025.01-2026.05 '!$D561,[1]SA007!P:P)</f>
        <v>0</v>
      </c>
      <c r="AB561" s="18">
        <f>SUMIF([1]SA007!$C:$C,'SA007 2025.01-2026.05 '!$D561,[1]SA007!Q:Q)</f>
        <v>0</v>
      </c>
      <c r="AC561" s="19">
        <f t="shared" si="19"/>
        <v>0</v>
      </c>
      <c r="AD561" s="19">
        <f t="shared" si="20"/>
        <v>0</v>
      </c>
      <c r="AG561" s="21">
        <f>SUMIF([1]SO003!$H:$H,'SA007 2025.01-2026.05 '!$D561,[1]SO003!AF:AF)</f>
        <v>0</v>
      </c>
      <c r="AH561" s="21">
        <f>SUMIF([1]SO003!$H:$H,'SA007 2025.01-2026.05 '!$D561,[1]SO003!AH:AH)</f>
        <v>0</v>
      </c>
      <c r="AI561" s="21">
        <f>SUMIF([1]SO003!$H:$H,'SA007 2025.01-2026.05 '!$D561,[1]SO003!AJ:AJ)</f>
        <v>0</v>
      </c>
    </row>
    <row r="562" spans="1:35" x14ac:dyDescent="0.55000000000000004">
      <c r="A562" s="2" t="s">
        <v>1106</v>
      </c>
      <c r="B562" s="2" t="s">
        <v>61</v>
      </c>
      <c r="C562" s="2" t="s">
        <v>61</v>
      </c>
      <c r="D562" s="2" t="s">
        <v>1107</v>
      </c>
      <c r="E562" s="2" t="s">
        <v>1108</v>
      </c>
      <c r="F562" s="2" t="s">
        <v>1108</v>
      </c>
      <c r="G562" s="3" t="s">
        <v>63</v>
      </c>
      <c r="H562" s="2" t="s">
        <v>61</v>
      </c>
      <c r="I562" s="17">
        <v>1.6</v>
      </c>
      <c r="J562" s="3">
        <v>84</v>
      </c>
      <c r="K562" s="3" t="s">
        <v>41</v>
      </c>
      <c r="L562" s="18">
        <v>620</v>
      </c>
      <c r="M562" s="18">
        <v>0</v>
      </c>
      <c r="N562" s="18">
        <v>852</v>
      </c>
      <c r="O562" s="18">
        <v>0</v>
      </c>
      <c r="P562" s="18">
        <v>858</v>
      </c>
      <c r="Q562" s="18">
        <v>846</v>
      </c>
      <c r="R562" s="18">
        <v>795</v>
      </c>
      <c r="S562" s="18">
        <v>508</v>
      </c>
      <c r="T562" s="18">
        <v>0</v>
      </c>
      <c r="U562" s="18">
        <v>633</v>
      </c>
      <c r="V562" s="18">
        <v>610</v>
      </c>
      <c r="W562" s="18">
        <v>504</v>
      </c>
      <c r="X562" s="18">
        <v>600</v>
      </c>
      <c r="Y562" s="18">
        <v>636</v>
      </c>
      <c r="Z562" s="18">
        <v>620</v>
      </c>
      <c r="AA562" s="18">
        <f>SUMIF([1]SA007!$C:$C,'SA007 2025.01-2026.05 '!$D562,[1]SA007!P:P)</f>
        <v>0</v>
      </c>
      <c r="AB562" s="18">
        <f>SUMIF([1]SA007!$C:$C,'SA007 2025.01-2026.05 '!$D562,[1]SA007!Q:Q)</f>
        <v>0</v>
      </c>
      <c r="AC562" s="19">
        <f t="shared" si="19"/>
        <v>8082</v>
      </c>
      <c r="AD562" s="19">
        <f t="shared" si="20"/>
        <v>475.41176470588238</v>
      </c>
      <c r="AE562" s="20" t="s">
        <v>1109</v>
      </c>
      <c r="AG562" s="21">
        <f>SUMIF([1]SO003!$H:$H,'SA007 2025.01-2026.05 '!$D562,[1]SO003!AF:AF)</f>
        <v>0</v>
      </c>
      <c r="AH562" s="21">
        <f>SUMIF([1]SO003!$H:$H,'SA007 2025.01-2026.05 '!$D562,[1]SO003!AH:AH)</f>
        <v>0</v>
      </c>
      <c r="AI562" s="21">
        <f>SUMIF([1]SO003!$H:$H,'SA007 2025.01-2026.05 '!$D562,[1]SO003!AJ:AJ)</f>
        <v>0</v>
      </c>
    </row>
    <row r="563" spans="1:35" x14ac:dyDescent="0.55000000000000004">
      <c r="A563" s="2" t="s">
        <v>433</v>
      </c>
      <c r="D563" s="22" t="s">
        <v>1110</v>
      </c>
      <c r="E563" s="2" t="s">
        <v>116</v>
      </c>
      <c r="F563" s="2" t="s">
        <v>116</v>
      </c>
      <c r="G563" s="3" t="s">
        <v>47</v>
      </c>
      <c r="H563" s="2" t="s">
        <v>213</v>
      </c>
      <c r="I563" s="17">
        <v>2.5</v>
      </c>
      <c r="J563" s="3">
        <v>75</v>
      </c>
      <c r="K563" s="3">
        <v>1219</v>
      </c>
      <c r="L563" s="18">
        <v>0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8">
        <f>SUMIF([1]SA007!$C:$C,'SA007 2025.01-2026.05 '!$D563,[1]SA007!P:P)</f>
        <v>0</v>
      </c>
      <c r="AB563" s="18">
        <f>SUMIF([1]SA007!$C:$C,'SA007 2025.01-2026.05 '!$D563,[1]SA007!Q:Q)</f>
        <v>0</v>
      </c>
      <c r="AC563" s="19">
        <f t="shared" si="19"/>
        <v>0</v>
      </c>
      <c r="AD563" s="19">
        <f t="shared" si="20"/>
        <v>0</v>
      </c>
      <c r="AG563" s="21">
        <f>SUMIF([1]SO003!$H:$H,'SA007 2025.01-2026.05 '!$D563,[1]SO003!AF:AF)</f>
        <v>0</v>
      </c>
      <c r="AH563" s="21">
        <f>SUMIF([1]SO003!$H:$H,'SA007 2025.01-2026.05 '!$D563,[1]SO003!AH:AH)</f>
        <v>0</v>
      </c>
      <c r="AI563" s="21">
        <f>SUMIF([1]SO003!$H:$H,'SA007 2025.01-2026.05 '!$D563,[1]SO003!AJ:AJ)</f>
        <v>0</v>
      </c>
    </row>
    <row r="564" spans="1:35" x14ac:dyDescent="0.55000000000000004">
      <c r="A564" s="2" t="s">
        <v>309</v>
      </c>
      <c r="B564" s="2" t="s">
        <v>61</v>
      </c>
      <c r="C564" s="2" t="s">
        <v>61</v>
      </c>
      <c r="D564" s="2" t="s">
        <v>1111</v>
      </c>
      <c r="E564" s="2" t="s">
        <v>101</v>
      </c>
      <c r="F564" s="2" t="s">
        <v>101</v>
      </c>
      <c r="G564" s="3" t="s">
        <v>63</v>
      </c>
      <c r="H564" s="2" t="s">
        <v>61</v>
      </c>
      <c r="I564" s="17">
        <v>1.6</v>
      </c>
      <c r="J564" s="3">
        <v>58</v>
      </c>
      <c r="K564" s="3" t="s">
        <v>41</v>
      </c>
      <c r="L564" s="18">
        <v>1259</v>
      </c>
      <c r="M564" s="18">
        <v>702</v>
      </c>
      <c r="N564" s="18">
        <v>925</v>
      </c>
      <c r="O564" s="18">
        <v>970</v>
      </c>
      <c r="P564" s="18">
        <v>810</v>
      </c>
      <c r="Q564" s="18">
        <v>756</v>
      </c>
      <c r="R564" s="18">
        <v>864</v>
      </c>
      <c r="S564" s="18">
        <v>654</v>
      </c>
      <c r="T564" s="18">
        <v>584</v>
      </c>
      <c r="U564" s="18">
        <v>987</v>
      </c>
      <c r="V564" s="18">
        <v>1171</v>
      </c>
      <c r="W564" s="18">
        <v>476</v>
      </c>
      <c r="X564" s="18">
        <v>1345</v>
      </c>
      <c r="Y564" s="18">
        <v>704</v>
      </c>
      <c r="Z564" s="18">
        <v>222</v>
      </c>
      <c r="AA564" s="18">
        <f>SUMIF([1]SA007!$C:$C,'SA007 2025.01-2026.05 '!$D564,[1]SA007!P:P)</f>
        <v>574</v>
      </c>
      <c r="AB564" s="18">
        <f>SUMIF([1]SA007!$C:$C,'SA007 2025.01-2026.05 '!$D564,[1]SA007!Q:Q)</f>
        <v>1221</v>
      </c>
      <c r="AC564" s="19">
        <f t="shared" si="19"/>
        <v>14224</v>
      </c>
      <c r="AD564" s="19">
        <f t="shared" si="20"/>
        <v>836.70588235294122</v>
      </c>
      <c r="AE564" s="20" t="s">
        <v>209</v>
      </c>
      <c r="AG564" s="21">
        <f>SUMIF([1]SO003!$H:$H,'SA007 2025.01-2026.05 '!$D564,[1]SO003!AF:AF)</f>
        <v>1000</v>
      </c>
      <c r="AH564" s="21">
        <f>SUMIF([1]SO003!$H:$H,'SA007 2025.01-2026.05 '!$D564,[1]SO003!AH:AH)</f>
        <v>232</v>
      </c>
      <c r="AI564" s="21">
        <f>SUMIF([1]SO003!$H:$H,'SA007 2025.01-2026.05 '!$D564,[1]SO003!AJ:AJ)</f>
        <v>-232</v>
      </c>
    </row>
    <row r="565" spans="1:35" x14ac:dyDescent="0.55000000000000004">
      <c r="A565" s="2" t="s">
        <v>309</v>
      </c>
      <c r="B565" s="2" t="s">
        <v>61</v>
      </c>
      <c r="C565" s="2" t="s">
        <v>61</v>
      </c>
      <c r="D565" s="2" t="s">
        <v>1112</v>
      </c>
      <c r="E565" s="2" t="s">
        <v>101</v>
      </c>
      <c r="F565" s="2" t="s">
        <v>101</v>
      </c>
      <c r="G565" s="3" t="s">
        <v>63</v>
      </c>
      <c r="H565" s="2" t="s">
        <v>61</v>
      </c>
      <c r="I565" s="17">
        <v>1.6</v>
      </c>
      <c r="J565" s="3">
        <v>55</v>
      </c>
      <c r="K565" s="3" t="s">
        <v>208</v>
      </c>
      <c r="L565" s="18">
        <v>0</v>
      </c>
      <c r="M565" s="18">
        <v>111</v>
      </c>
      <c r="N565" s="18">
        <v>0</v>
      </c>
      <c r="O565" s="18">
        <v>0</v>
      </c>
      <c r="P565" s="18">
        <v>65</v>
      </c>
      <c r="Q565" s="18">
        <v>102</v>
      </c>
      <c r="R565" s="18">
        <v>135</v>
      </c>
      <c r="S565" s="18">
        <v>102</v>
      </c>
      <c r="T565" s="18">
        <v>0</v>
      </c>
      <c r="U565" s="18">
        <v>0</v>
      </c>
      <c r="V565" s="18">
        <v>0</v>
      </c>
      <c r="W565" s="18">
        <v>97</v>
      </c>
      <c r="X565" s="18">
        <v>0</v>
      </c>
      <c r="Y565" s="18">
        <v>0</v>
      </c>
      <c r="Z565" s="18">
        <v>0</v>
      </c>
      <c r="AA565" s="18">
        <f>SUMIF([1]SA007!$C:$C,'SA007 2025.01-2026.05 '!$D565,[1]SA007!P:P)</f>
        <v>0</v>
      </c>
      <c r="AB565" s="18">
        <f>SUMIF([1]SA007!$C:$C,'SA007 2025.01-2026.05 '!$D565,[1]SA007!Q:Q)</f>
        <v>0</v>
      </c>
      <c r="AC565" s="19">
        <f t="shared" si="19"/>
        <v>612</v>
      </c>
      <c r="AD565" s="19">
        <f t="shared" si="20"/>
        <v>36</v>
      </c>
      <c r="AE565" s="20" t="s">
        <v>209</v>
      </c>
      <c r="AG565" s="21">
        <f>SUMIF([1]SO003!$H:$H,'SA007 2025.01-2026.05 '!$D565,[1]SO003!AF:AF)</f>
        <v>0</v>
      </c>
      <c r="AH565" s="21">
        <f>SUMIF([1]SO003!$H:$H,'SA007 2025.01-2026.05 '!$D565,[1]SO003!AH:AH)</f>
        <v>0</v>
      </c>
      <c r="AI565" s="21">
        <f>SUMIF([1]SO003!$H:$H,'SA007 2025.01-2026.05 '!$D565,[1]SO003!AJ:AJ)</f>
        <v>0</v>
      </c>
    </row>
    <row r="566" spans="1:35" x14ac:dyDescent="0.55000000000000004">
      <c r="A566" s="2" t="s">
        <v>460</v>
      </c>
      <c r="D566" s="22" t="s">
        <v>1113</v>
      </c>
      <c r="E566" s="2" t="s">
        <v>116</v>
      </c>
      <c r="F566" s="2" t="s">
        <v>116</v>
      </c>
      <c r="G566" s="3" t="s">
        <v>47</v>
      </c>
      <c r="H566" s="2" t="s">
        <v>213</v>
      </c>
      <c r="I566" s="17">
        <v>3.2</v>
      </c>
      <c r="J566" s="3">
        <v>56</v>
      </c>
      <c r="K566" s="3">
        <v>1219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8">
        <v>0</v>
      </c>
      <c r="Y566" s="18">
        <v>0</v>
      </c>
      <c r="Z566" s="18">
        <v>0</v>
      </c>
      <c r="AA566" s="18">
        <f>SUMIF([1]SA007!$C:$C,'SA007 2025.01-2026.05 '!$D566,[1]SA007!P:P)</f>
        <v>0</v>
      </c>
      <c r="AB566" s="18">
        <f>SUMIF([1]SA007!$C:$C,'SA007 2025.01-2026.05 '!$D566,[1]SA007!Q:Q)</f>
        <v>0</v>
      </c>
      <c r="AC566" s="19">
        <f t="shared" si="19"/>
        <v>0</v>
      </c>
      <c r="AD566" s="19">
        <f t="shared" si="20"/>
        <v>0</v>
      </c>
      <c r="AG566" s="21">
        <f>SUMIF([1]SO003!$H:$H,'SA007 2025.01-2026.05 '!$D566,[1]SO003!AF:AF)</f>
        <v>0</v>
      </c>
      <c r="AH566" s="21">
        <f>SUMIF([1]SO003!$H:$H,'SA007 2025.01-2026.05 '!$D566,[1]SO003!AH:AH)</f>
        <v>0</v>
      </c>
      <c r="AI566" s="21">
        <f>SUMIF([1]SO003!$H:$H,'SA007 2025.01-2026.05 '!$D566,[1]SO003!AJ:AJ)</f>
        <v>0</v>
      </c>
    </row>
    <row r="567" spans="1:35" x14ac:dyDescent="0.55000000000000004">
      <c r="A567" s="2" t="s">
        <v>433</v>
      </c>
      <c r="D567" s="22" t="s">
        <v>1114</v>
      </c>
      <c r="E567" s="2" t="s">
        <v>116</v>
      </c>
      <c r="F567" s="2" t="s">
        <v>116</v>
      </c>
      <c r="G567" s="3" t="s">
        <v>47</v>
      </c>
      <c r="H567" s="2" t="s">
        <v>213</v>
      </c>
      <c r="I567" s="17">
        <v>2.6</v>
      </c>
      <c r="J567" s="3">
        <v>111</v>
      </c>
      <c r="K567" s="3">
        <v>1219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  <c r="R567" s="18">
        <v>0</v>
      </c>
      <c r="S567" s="18">
        <v>0</v>
      </c>
      <c r="T567" s="18">
        <v>0</v>
      </c>
      <c r="U567" s="18">
        <v>0</v>
      </c>
      <c r="V567" s="18">
        <v>0</v>
      </c>
      <c r="W567" s="18">
        <v>0</v>
      </c>
      <c r="X567" s="18">
        <v>0</v>
      </c>
      <c r="Y567" s="18">
        <v>0</v>
      </c>
      <c r="Z567" s="18">
        <v>0</v>
      </c>
      <c r="AA567" s="18">
        <f>SUMIF([1]SA007!$C:$C,'SA007 2025.01-2026.05 '!$D567,[1]SA007!P:P)</f>
        <v>0</v>
      </c>
      <c r="AB567" s="18">
        <f>SUMIF([1]SA007!$C:$C,'SA007 2025.01-2026.05 '!$D567,[1]SA007!Q:Q)</f>
        <v>0</v>
      </c>
      <c r="AC567" s="19">
        <f t="shared" si="19"/>
        <v>0</v>
      </c>
      <c r="AD567" s="19">
        <f t="shared" si="20"/>
        <v>0</v>
      </c>
      <c r="AG567" s="21">
        <f>SUMIF([1]SO003!$H:$H,'SA007 2025.01-2026.05 '!$D567,[1]SO003!AF:AF)</f>
        <v>0</v>
      </c>
      <c r="AH567" s="21">
        <f>SUMIF([1]SO003!$H:$H,'SA007 2025.01-2026.05 '!$D567,[1]SO003!AH:AH)</f>
        <v>0</v>
      </c>
      <c r="AI567" s="21">
        <f>SUMIF([1]SO003!$H:$H,'SA007 2025.01-2026.05 '!$D567,[1]SO003!AJ:AJ)</f>
        <v>0</v>
      </c>
    </row>
    <row r="568" spans="1:35" x14ac:dyDescent="0.55000000000000004">
      <c r="A568" s="2" t="s">
        <v>389</v>
      </c>
      <c r="D568" s="22" t="s">
        <v>1115</v>
      </c>
      <c r="E568" s="2" t="s">
        <v>116</v>
      </c>
      <c r="F568" s="2" t="s">
        <v>116</v>
      </c>
      <c r="G568" s="3" t="s">
        <v>47</v>
      </c>
      <c r="H568" s="2" t="s">
        <v>321</v>
      </c>
      <c r="I568" s="17">
        <v>2</v>
      </c>
      <c r="J568" s="3">
        <v>292</v>
      </c>
      <c r="K568" s="3">
        <v>1219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8">
        <v>0</v>
      </c>
      <c r="R568" s="18">
        <v>0</v>
      </c>
      <c r="S568" s="18">
        <v>0</v>
      </c>
      <c r="T568" s="18">
        <v>0</v>
      </c>
      <c r="U568" s="18">
        <v>0</v>
      </c>
      <c r="V568" s="18">
        <v>0</v>
      </c>
      <c r="W568" s="18">
        <v>0</v>
      </c>
      <c r="X568" s="18">
        <v>0</v>
      </c>
      <c r="Y568" s="18">
        <v>0</v>
      </c>
      <c r="Z568" s="18">
        <v>0</v>
      </c>
      <c r="AA568" s="18">
        <f>SUMIF([1]SA007!$C:$C,'SA007 2025.01-2026.05 '!$D568,[1]SA007!P:P)</f>
        <v>0</v>
      </c>
      <c r="AB568" s="18">
        <f>SUMIF([1]SA007!$C:$C,'SA007 2025.01-2026.05 '!$D568,[1]SA007!Q:Q)</f>
        <v>0</v>
      </c>
      <c r="AC568" s="19">
        <f t="shared" si="19"/>
        <v>0</v>
      </c>
      <c r="AD568" s="19">
        <f t="shared" si="20"/>
        <v>0</v>
      </c>
      <c r="AG568" s="21">
        <f>SUMIF([1]SO003!$H:$H,'SA007 2025.01-2026.05 '!$D568,[1]SO003!AF:AF)</f>
        <v>0</v>
      </c>
      <c r="AH568" s="21">
        <f>SUMIF([1]SO003!$H:$H,'SA007 2025.01-2026.05 '!$D568,[1]SO003!AH:AH)</f>
        <v>0</v>
      </c>
      <c r="AI568" s="21">
        <f>SUMIF([1]SO003!$H:$H,'SA007 2025.01-2026.05 '!$D568,[1]SO003!AJ:AJ)</f>
        <v>0</v>
      </c>
    </row>
    <row r="569" spans="1:35" x14ac:dyDescent="0.55000000000000004">
      <c r="A569" s="2" t="s">
        <v>309</v>
      </c>
      <c r="B569" s="2" t="s">
        <v>61</v>
      </c>
      <c r="C569" s="2" t="s">
        <v>61</v>
      </c>
      <c r="D569" s="2" t="s">
        <v>1116</v>
      </c>
      <c r="E569" s="2" t="s">
        <v>101</v>
      </c>
      <c r="F569" s="2" t="s">
        <v>101</v>
      </c>
      <c r="G569" s="3" t="s">
        <v>63</v>
      </c>
      <c r="H569" s="2" t="s">
        <v>61</v>
      </c>
      <c r="I569" s="17">
        <v>1.6</v>
      </c>
      <c r="J569" s="3">
        <v>72</v>
      </c>
      <c r="K569" s="3" t="s">
        <v>41</v>
      </c>
      <c r="L569" s="18">
        <v>0</v>
      </c>
      <c r="M569" s="18">
        <v>0</v>
      </c>
      <c r="N569" s="18">
        <v>110</v>
      </c>
      <c r="O569" s="18">
        <v>0</v>
      </c>
      <c r="P569" s="18">
        <v>0</v>
      </c>
      <c r="Q569" s="18">
        <v>0</v>
      </c>
      <c r="R569" s="18">
        <v>0</v>
      </c>
      <c r="S569" s="18">
        <v>0</v>
      </c>
      <c r="T569" s="18">
        <v>0</v>
      </c>
      <c r="U569" s="18">
        <v>0</v>
      </c>
      <c r="V569" s="18">
        <v>0</v>
      </c>
      <c r="W569" s="18">
        <v>0</v>
      </c>
      <c r="X569" s="18">
        <v>0</v>
      </c>
      <c r="Y569" s="18">
        <v>0</v>
      </c>
      <c r="Z569" s="18">
        <v>0</v>
      </c>
      <c r="AA569" s="18">
        <f>SUMIF([1]SA007!$C:$C,'SA007 2025.01-2026.05 '!$D569,[1]SA007!P:P)</f>
        <v>0</v>
      </c>
      <c r="AB569" s="18">
        <f>SUMIF([1]SA007!$C:$C,'SA007 2025.01-2026.05 '!$D569,[1]SA007!Q:Q)</f>
        <v>0</v>
      </c>
      <c r="AC569" s="19">
        <f t="shared" si="19"/>
        <v>110</v>
      </c>
      <c r="AD569" s="19">
        <f t="shared" si="20"/>
        <v>6.4705882352941178</v>
      </c>
      <c r="AE569" s="20" t="e">
        <v>#N/A</v>
      </c>
      <c r="AG569" s="21">
        <f>SUMIF([1]SO003!$H:$H,'SA007 2025.01-2026.05 '!$D569,[1]SO003!AF:AF)</f>
        <v>0</v>
      </c>
      <c r="AH569" s="21">
        <f>SUMIF([1]SO003!$H:$H,'SA007 2025.01-2026.05 '!$D569,[1]SO003!AH:AH)</f>
        <v>0</v>
      </c>
      <c r="AI569" s="21">
        <f>SUMIF([1]SO003!$H:$H,'SA007 2025.01-2026.05 '!$D569,[1]SO003!AJ:AJ)</f>
        <v>0</v>
      </c>
    </row>
    <row r="570" spans="1:35" x14ac:dyDescent="0.55000000000000004">
      <c r="A570" s="2" t="s">
        <v>507</v>
      </c>
      <c r="D570" s="22" t="s">
        <v>1117</v>
      </c>
      <c r="E570" s="2" t="s">
        <v>116</v>
      </c>
      <c r="F570" s="2" t="s">
        <v>116</v>
      </c>
      <c r="G570" s="3" t="s">
        <v>47</v>
      </c>
      <c r="H570" s="2" t="s">
        <v>321</v>
      </c>
      <c r="I570" s="17">
        <v>6</v>
      </c>
      <c r="J570" s="3">
        <v>205</v>
      </c>
      <c r="K570" s="3">
        <v>1219</v>
      </c>
      <c r="L570" s="18">
        <v>0</v>
      </c>
      <c r="M570" s="18">
        <v>0</v>
      </c>
      <c r="N570" s="18">
        <v>0</v>
      </c>
      <c r="O570" s="18">
        <v>0</v>
      </c>
      <c r="P570" s="18">
        <v>0</v>
      </c>
      <c r="Q570" s="18">
        <v>0</v>
      </c>
      <c r="R570" s="18">
        <v>0</v>
      </c>
      <c r="S570" s="18">
        <v>0</v>
      </c>
      <c r="T570" s="18">
        <v>0</v>
      </c>
      <c r="U570" s="18">
        <v>0</v>
      </c>
      <c r="V570" s="18">
        <v>0</v>
      </c>
      <c r="W570" s="18">
        <v>0</v>
      </c>
      <c r="X570" s="18">
        <v>0</v>
      </c>
      <c r="Y570" s="18">
        <v>0</v>
      </c>
      <c r="Z570" s="18">
        <v>0</v>
      </c>
      <c r="AA570" s="18">
        <f>SUMIF([1]SA007!$C:$C,'SA007 2025.01-2026.05 '!$D570,[1]SA007!P:P)</f>
        <v>0</v>
      </c>
      <c r="AB570" s="18">
        <f>SUMIF([1]SA007!$C:$C,'SA007 2025.01-2026.05 '!$D570,[1]SA007!Q:Q)</f>
        <v>0</v>
      </c>
      <c r="AC570" s="19">
        <f t="shared" si="19"/>
        <v>0</v>
      </c>
      <c r="AD570" s="19">
        <f t="shared" si="20"/>
        <v>0</v>
      </c>
      <c r="AG570" s="21">
        <f>SUMIF([1]SO003!$H:$H,'SA007 2025.01-2026.05 '!$D570,[1]SO003!AF:AF)</f>
        <v>0</v>
      </c>
      <c r="AH570" s="21">
        <f>SUMIF([1]SO003!$H:$H,'SA007 2025.01-2026.05 '!$D570,[1]SO003!AH:AH)</f>
        <v>0</v>
      </c>
      <c r="AI570" s="21">
        <f>SUMIF([1]SO003!$H:$H,'SA007 2025.01-2026.05 '!$D570,[1]SO003!AJ:AJ)</f>
        <v>0</v>
      </c>
    </row>
    <row r="571" spans="1:35" x14ac:dyDescent="0.55000000000000004">
      <c r="A571" s="2" t="s">
        <v>489</v>
      </c>
      <c r="D571" s="22" t="s">
        <v>1118</v>
      </c>
      <c r="E571" s="2" t="s">
        <v>116</v>
      </c>
      <c r="F571" s="2" t="s">
        <v>116</v>
      </c>
      <c r="G571" s="3" t="s">
        <v>47</v>
      </c>
      <c r="H571" s="2" t="s">
        <v>213</v>
      </c>
      <c r="I571" s="17">
        <v>2.2999999999999998</v>
      </c>
      <c r="J571" s="3">
        <v>106</v>
      </c>
      <c r="K571" s="3">
        <v>1219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  <c r="R571" s="18">
        <v>0</v>
      </c>
      <c r="S571" s="18">
        <v>0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 s="18">
        <v>0</v>
      </c>
      <c r="Z571" s="18">
        <v>0</v>
      </c>
      <c r="AA571" s="18">
        <f>SUMIF([1]SA007!$C:$C,'SA007 2025.01-2026.05 '!$D571,[1]SA007!P:P)</f>
        <v>0</v>
      </c>
      <c r="AB571" s="18">
        <f>SUMIF([1]SA007!$C:$C,'SA007 2025.01-2026.05 '!$D571,[1]SA007!Q:Q)</f>
        <v>0</v>
      </c>
      <c r="AC571" s="19">
        <f t="shared" si="19"/>
        <v>0</v>
      </c>
      <c r="AD571" s="19">
        <f t="shared" si="20"/>
        <v>0</v>
      </c>
      <c r="AG571" s="21">
        <f>SUMIF([1]SO003!$H:$H,'SA007 2025.01-2026.05 '!$D571,[1]SO003!AF:AF)</f>
        <v>0</v>
      </c>
      <c r="AH571" s="21">
        <f>SUMIF([1]SO003!$H:$H,'SA007 2025.01-2026.05 '!$D571,[1]SO003!AH:AH)</f>
        <v>0</v>
      </c>
      <c r="AI571" s="21">
        <f>SUMIF([1]SO003!$H:$H,'SA007 2025.01-2026.05 '!$D571,[1]SO003!AJ:AJ)</f>
        <v>0</v>
      </c>
    </row>
    <row r="572" spans="1:35" x14ac:dyDescent="0.55000000000000004">
      <c r="A572" s="2" t="s">
        <v>1097</v>
      </c>
      <c r="D572" s="22" t="s">
        <v>1119</v>
      </c>
      <c r="E572" s="2" t="s">
        <v>116</v>
      </c>
      <c r="F572" s="2" t="s">
        <v>116</v>
      </c>
      <c r="G572" s="3" t="s">
        <v>63</v>
      </c>
      <c r="H572" s="2" t="s">
        <v>61</v>
      </c>
      <c r="I572" s="17">
        <v>1.4</v>
      </c>
      <c r="J572" s="3">
        <v>182</v>
      </c>
      <c r="K572" s="3">
        <v>1219</v>
      </c>
      <c r="L572" s="18">
        <v>0</v>
      </c>
      <c r="M572" s="18">
        <v>0</v>
      </c>
      <c r="N572" s="18">
        <v>0</v>
      </c>
      <c r="O572" s="18">
        <v>0</v>
      </c>
      <c r="P572" s="18">
        <v>0</v>
      </c>
      <c r="Q572" s="18">
        <v>0</v>
      </c>
      <c r="R572" s="18">
        <v>0</v>
      </c>
      <c r="S572" s="18">
        <v>0</v>
      </c>
      <c r="T572" s="18">
        <v>0</v>
      </c>
      <c r="U572" s="18">
        <v>0</v>
      </c>
      <c r="V572" s="18">
        <v>0</v>
      </c>
      <c r="W572" s="18">
        <v>0</v>
      </c>
      <c r="X572" s="18">
        <v>0</v>
      </c>
      <c r="Y572" s="18">
        <v>0</v>
      </c>
      <c r="Z572" s="18">
        <v>0</v>
      </c>
      <c r="AA572" s="18">
        <f>SUMIF([1]SA007!$C:$C,'SA007 2025.01-2026.05 '!$D572,[1]SA007!P:P)</f>
        <v>0</v>
      </c>
      <c r="AB572" s="18">
        <f>SUMIF([1]SA007!$C:$C,'SA007 2025.01-2026.05 '!$D572,[1]SA007!Q:Q)</f>
        <v>0</v>
      </c>
      <c r="AC572" s="19">
        <f t="shared" si="19"/>
        <v>0</v>
      </c>
      <c r="AD572" s="19">
        <f t="shared" si="20"/>
        <v>0</v>
      </c>
      <c r="AG572" s="21">
        <f>SUMIF([1]SO003!$H:$H,'SA007 2025.01-2026.05 '!$D572,[1]SO003!AF:AF)</f>
        <v>0</v>
      </c>
      <c r="AH572" s="21">
        <f>SUMIF([1]SO003!$H:$H,'SA007 2025.01-2026.05 '!$D572,[1]SO003!AH:AH)</f>
        <v>0</v>
      </c>
      <c r="AI572" s="21">
        <f>SUMIF([1]SO003!$H:$H,'SA007 2025.01-2026.05 '!$D572,[1]SO003!AJ:AJ)</f>
        <v>0</v>
      </c>
    </row>
    <row r="573" spans="1:35" x14ac:dyDescent="0.55000000000000004">
      <c r="A573" s="2" t="s">
        <v>309</v>
      </c>
      <c r="B573" s="2" t="s">
        <v>61</v>
      </c>
      <c r="C573" s="2" t="s">
        <v>61</v>
      </c>
      <c r="D573" s="2" t="s">
        <v>1120</v>
      </c>
      <c r="E573" s="2" t="s">
        <v>101</v>
      </c>
      <c r="F573" s="2" t="s">
        <v>101</v>
      </c>
      <c r="G573" s="3" t="s">
        <v>63</v>
      </c>
      <c r="H573" s="2" t="s">
        <v>61</v>
      </c>
      <c r="I573" s="17">
        <v>1.6</v>
      </c>
      <c r="J573" s="3">
        <v>135</v>
      </c>
      <c r="K573" s="3">
        <v>463</v>
      </c>
      <c r="L573" s="18">
        <v>0</v>
      </c>
      <c r="M573" s="18">
        <v>0</v>
      </c>
      <c r="N573" s="18">
        <v>183</v>
      </c>
      <c r="O573" s="18">
        <v>0</v>
      </c>
      <c r="P573" s="18">
        <v>0</v>
      </c>
      <c r="Q573" s="18">
        <v>0</v>
      </c>
      <c r="R573" s="18">
        <v>0</v>
      </c>
      <c r="S573" s="18">
        <v>0</v>
      </c>
      <c r="T573" s="18">
        <v>0</v>
      </c>
      <c r="U573" s="18">
        <v>158</v>
      </c>
      <c r="V573" s="18">
        <v>107</v>
      </c>
      <c r="W573" s="18">
        <v>0</v>
      </c>
      <c r="X573" s="18">
        <v>0</v>
      </c>
      <c r="Y573" s="18">
        <v>0</v>
      </c>
      <c r="Z573" s="18">
        <v>0</v>
      </c>
      <c r="AA573" s="18">
        <f>SUMIF([1]SA007!$C:$C,'SA007 2025.01-2026.05 '!$D573,[1]SA007!P:P)</f>
        <v>119</v>
      </c>
      <c r="AB573" s="18">
        <f>SUMIF([1]SA007!$C:$C,'SA007 2025.01-2026.05 '!$D573,[1]SA007!Q:Q)</f>
        <v>118</v>
      </c>
      <c r="AC573" s="19">
        <f t="shared" si="19"/>
        <v>685</v>
      </c>
      <c r="AD573" s="19">
        <f t="shared" si="20"/>
        <v>40.294117647058826</v>
      </c>
      <c r="AE573" s="20" t="s">
        <v>116</v>
      </c>
      <c r="AG573" s="21">
        <f>SUMIF([1]SO003!$H:$H,'SA007 2025.01-2026.05 '!$D573,[1]SO003!AF:AF)</f>
        <v>0</v>
      </c>
      <c r="AH573" s="21">
        <f>SUMIF([1]SO003!$H:$H,'SA007 2025.01-2026.05 '!$D573,[1]SO003!AH:AH)</f>
        <v>0</v>
      </c>
      <c r="AI573" s="21">
        <f>SUMIF([1]SO003!$H:$H,'SA007 2025.01-2026.05 '!$D573,[1]SO003!AJ:AJ)</f>
        <v>0</v>
      </c>
    </row>
    <row r="574" spans="1:35" x14ac:dyDescent="0.55000000000000004">
      <c r="A574" s="2" t="s">
        <v>1106</v>
      </c>
      <c r="B574" s="2" t="s">
        <v>61</v>
      </c>
      <c r="C574" s="2" t="s">
        <v>61</v>
      </c>
      <c r="D574" s="2" t="s">
        <v>1121</v>
      </c>
      <c r="E574" s="2" t="s">
        <v>1108</v>
      </c>
      <c r="G574" s="3" t="s">
        <v>63</v>
      </c>
      <c r="H574" s="2" t="s">
        <v>61</v>
      </c>
      <c r="I574" s="17">
        <v>1.6</v>
      </c>
      <c r="J574" s="3">
        <v>45</v>
      </c>
      <c r="K574" s="3" t="s">
        <v>41</v>
      </c>
      <c r="L574" s="18">
        <v>0</v>
      </c>
      <c r="M574" s="18">
        <v>0</v>
      </c>
      <c r="N574" s="18">
        <v>0</v>
      </c>
      <c r="O574" s="18">
        <v>0</v>
      </c>
      <c r="P574" s="18">
        <v>231</v>
      </c>
      <c r="Q574" s="18">
        <v>0</v>
      </c>
      <c r="R574" s="18">
        <v>0</v>
      </c>
      <c r="S574" s="18">
        <v>264</v>
      </c>
      <c r="T574" s="18">
        <v>0</v>
      </c>
      <c r="U574" s="18">
        <v>0</v>
      </c>
      <c r="V574" s="18">
        <v>0</v>
      </c>
      <c r="W574" s="18">
        <v>270</v>
      </c>
      <c r="X574" s="18">
        <v>0</v>
      </c>
      <c r="Y574" s="18">
        <v>0</v>
      </c>
      <c r="Z574" s="18">
        <v>0</v>
      </c>
      <c r="AA574" s="18">
        <f>SUMIF([1]SA007!$C:$C,'SA007 2025.01-2026.05 '!$D574,[1]SA007!P:P)</f>
        <v>0</v>
      </c>
      <c r="AB574" s="18">
        <f>SUMIF([1]SA007!$C:$C,'SA007 2025.01-2026.05 '!$D574,[1]SA007!Q:Q)</f>
        <v>1030</v>
      </c>
      <c r="AC574" s="19">
        <f t="shared" si="19"/>
        <v>1795</v>
      </c>
      <c r="AD574" s="19">
        <f t="shared" si="20"/>
        <v>105.58823529411765</v>
      </c>
      <c r="AE574" s="20" t="s">
        <v>116</v>
      </c>
      <c r="AG574" s="21">
        <f>SUMIF([1]SO003!$H:$H,'SA007 2025.01-2026.05 '!$D574,[1]SO003!AF:AF)</f>
        <v>0</v>
      </c>
      <c r="AH574" s="21">
        <f>SUMIF([1]SO003!$H:$H,'SA007 2025.01-2026.05 '!$D574,[1]SO003!AH:AH)</f>
        <v>0</v>
      </c>
      <c r="AI574" s="21">
        <f>SUMIF([1]SO003!$H:$H,'SA007 2025.01-2026.05 '!$D574,[1]SO003!AJ:AJ)</f>
        <v>0</v>
      </c>
    </row>
    <row r="575" spans="1:35" x14ac:dyDescent="0.55000000000000004">
      <c r="A575" s="2" t="s">
        <v>309</v>
      </c>
      <c r="B575" s="2" t="s">
        <v>61</v>
      </c>
      <c r="D575" s="2" t="s">
        <v>1122</v>
      </c>
      <c r="E575" s="2" t="s">
        <v>106</v>
      </c>
      <c r="G575" s="3" t="s">
        <v>63</v>
      </c>
      <c r="H575" s="2" t="s">
        <v>61</v>
      </c>
      <c r="I575" s="17">
        <v>1.6</v>
      </c>
      <c r="J575" s="3">
        <v>27</v>
      </c>
      <c r="K575" s="3" t="s">
        <v>41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8">
        <v>306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0</v>
      </c>
      <c r="Y575" s="18">
        <v>0</v>
      </c>
      <c r="Z575" s="18">
        <v>0</v>
      </c>
      <c r="AA575" s="18">
        <f>SUMIF([1]SA007!$C:$C,'SA007 2025.01-2026.05 '!$D575,[1]SA007!P:P)</f>
        <v>0</v>
      </c>
      <c r="AB575" s="18">
        <f>SUMIF([1]SA007!$C:$C,'SA007 2025.01-2026.05 '!$D575,[1]SA007!Q:Q)</f>
        <v>0</v>
      </c>
      <c r="AC575" s="19">
        <f t="shared" si="19"/>
        <v>306</v>
      </c>
      <c r="AD575" s="19">
        <f t="shared" si="20"/>
        <v>18</v>
      </c>
      <c r="AE575" s="20" t="s">
        <v>1123</v>
      </c>
      <c r="AG575" s="21">
        <f>SUMIF([1]SO003!$H:$H,'SA007 2025.01-2026.05 '!$D575,[1]SO003!AF:AF)</f>
        <v>0</v>
      </c>
      <c r="AH575" s="21">
        <f>SUMIF([1]SO003!$H:$H,'SA007 2025.01-2026.05 '!$D575,[1]SO003!AH:AH)</f>
        <v>0</v>
      </c>
      <c r="AI575" s="21">
        <f>SUMIF([1]SO003!$H:$H,'SA007 2025.01-2026.05 '!$D575,[1]SO003!AJ:AJ)</f>
        <v>0</v>
      </c>
    </row>
    <row r="576" spans="1:35" x14ac:dyDescent="0.55000000000000004">
      <c r="A576" s="2" t="s">
        <v>489</v>
      </c>
      <c r="D576" s="22" t="s">
        <v>1124</v>
      </c>
      <c r="E576" s="2" t="s">
        <v>116</v>
      </c>
      <c r="F576" s="2" t="s">
        <v>116</v>
      </c>
      <c r="G576" s="3" t="s">
        <v>47</v>
      </c>
      <c r="H576" s="2" t="s">
        <v>213</v>
      </c>
      <c r="I576" s="17">
        <v>2.2999999999999998</v>
      </c>
      <c r="J576" s="3">
        <v>69</v>
      </c>
      <c r="K576" s="3">
        <v>1219</v>
      </c>
      <c r="L576" s="18">
        <v>0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  <c r="R576" s="18">
        <v>0</v>
      </c>
      <c r="S576" s="18">
        <v>0</v>
      </c>
      <c r="T576" s="18">
        <v>0</v>
      </c>
      <c r="U576" s="18">
        <v>0</v>
      </c>
      <c r="V576" s="18">
        <v>0</v>
      </c>
      <c r="W576" s="18">
        <v>0</v>
      </c>
      <c r="X576" s="18">
        <v>0</v>
      </c>
      <c r="Y576" s="18">
        <v>0</v>
      </c>
      <c r="Z576" s="18">
        <v>0</v>
      </c>
      <c r="AA576" s="18">
        <f>SUMIF([1]SA007!$C:$C,'SA007 2025.01-2026.05 '!$D576,[1]SA007!P:P)</f>
        <v>0</v>
      </c>
      <c r="AB576" s="18">
        <f>SUMIF([1]SA007!$C:$C,'SA007 2025.01-2026.05 '!$D576,[1]SA007!Q:Q)</f>
        <v>0</v>
      </c>
      <c r="AC576" s="19">
        <f t="shared" si="19"/>
        <v>0</v>
      </c>
      <c r="AD576" s="19">
        <f t="shared" si="20"/>
        <v>0</v>
      </c>
      <c r="AG576" s="21">
        <f>SUMIF([1]SO003!$H:$H,'SA007 2025.01-2026.05 '!$D576,[1]SO003!AF:AF)</f>
        <v>0</v>
      </c>
      <c r="AH576" s="21">
        <f>SUMIF([1]SO003!$H:$H,'SA007 2025.01-2026.05 '!$D576,[1]SO003!AH:AH)</f>
        <v>0</v>
      </c>
      <c r="AI576" s="21">
        <f>SUMIF([1]SO003!$H:$H,'SA007 2025.01-2026.05 '!$D576,[1]SO003!AJ:AJ)</f>
        <v>0</v>
      </c>
    </row>
    <row r="577" spans="1:35" x14ac:dyDescent="0.55000000000000004">
      <c r="A577" s="2" t="s">
        <v>475</v>
      </c>
      <c r="D577" s="22" t="s">
        <v>1125</v>
      </c>
      <c r="E577" s="2" t="s">
        <v>116</v>
      </c>
      <c r="F577" s="2" t="s">
        <v>116</v>
      </c>
      <c r="G577" s="3" t="s">
        <v>47</v>
      </c>
      <c r="H577" s="2" t="s">
        <v>402</v>
      </c>
      <c r="I577" s="17">
        <v>4</v>
      </c>
      <c r="J577" s="3">
        <v>47</v>
      </c>
      <c r="K577" s="3" t="s">
        <v>315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8">
        <v>0</v>
      </c>
      <c r="R577" s="18">
        <v>0</v>
      </c>
      <c r="S577" s="18">
        <v>0</v>
      </c>
      <c r="T577" s="18">
        <v>0</v>
      </c>
      <c r="U577" s="18">
        <v>0</v>
      </c>
      <c r="V577" s="18">
        <v>0</v>
      </c>
      <c r="W577" s="18">
        <v>0</v>
      </c>
      <c r="X577" s="18">
        <v>0</v>
      </c>
      <c r="Y577" s="18">
        <v>0</v>
      </c>
      <c r="Z577" s="18">
        <v>0</v>
      </c>
      <c r="AA577" s="18">
        <f>SUMIF([1]SA007!$C:$C,'SA007 2025.01-2026.05 '!$D577,[1]SA007!P:P)</f>
        <v>0</v>
      </c>
      <c r="AB577" s="18">
        <f>SUMIF([1]SA007!$C:$C,'SA007 2025.01-2026.05 '!$D577,[1]SA007!Q:Q)</f>
        <v>0</v>
      </c>
      <c r="AC577" s="19">
        <f t="shared" si="19"/>
        <v>0</v>
      </c>
      <c r="AD577" s="19">
        <f t="shared" si="20"/>
        <v>0</v>
      </c>
      <c r="AG577" s="21">
        <f>SUMIF([1]SO003!$H:$H,'SA007 2025.01-2026.05 '!$D577,[1]SO003!AF:AF)</f>
        <v>0</v>
      </c>
      <c r="AH577" s="21">
        <f>SUMIF([1]SO003!$H:$H,'SA007 2025.01-2026.05 '!$D577,[1]SO003!AH:AH)</f>
        <v>0</v>
      </c>
      <c r="AI577" s="21">
        <f>SUMIF([1]SO003!$H:$H,'SA007 2025.01-2026.05 '!$D577,[1]SO003!AJ:AJ)</f>
        <v>0</v>
      </c>
    </row>
    <row r="578" spans="1:35" x14ac:dyDescent="0.55000000000000004">
      <c r="A578" s="2" t="s">
        <v>389</v>
      </c>
      <c r="D578" s="22">
        <v>77004311</v>
      </c>
      <c r="E578" s="2" t="s">
        <v>116</v>
      </c>
      <c r="F578" s="2" t="s">
        <v>116</v>
      </c>
      <c r="G578" s="3" t="s">
        <v>47</v>
      </c>
      <c r="H578" s="2" t="s">
        <v>321</v>
      </c>
      <c r="I578" s="17">
        <v>2</v>
      </c>
      <c r="J578" s="3">
        <v>41</v>
      </c>
      <c r="K578" s="3">
        <v>1219</v>
      </c>
      <c r="L578" s="18">
        <v>0</v>
      </c>
      <c r="M578" s="18">
        <v>0</v>
      </c>
      <c r="N578" s="18">
        <v>0</v>
      </c>
      <c r="O578" s="18">
        <v>0</v>
      </c>
      <c r="P578" s="18">
        <v>0</v>
      </c>
      <c r="Q578" s="18">
        <v>0</v>
      </c>
      <c r="R578" s="18">
        <v>0</v>
      </c>
      <c r="S578" s="18">
        <v>0</v>
      </c>
      <c r="T578" s="18">
        <v>0</v>
      </c>
      <c r="U578" s="18">
        <v>0</v>
      </c>
      <c r="V578" s="18">
        <v>0</v>
      </c>
      <c r="W578" s="18">
        <v>0</v>
      </c>
      <c r="X578" s="18">
        <v>0</v>
      </c>
      <c r="Y578" s="18">
        <v>0</v>
      </c>
      <c r="Z578" s="18">
        <v>0</v>
      </c>
      <c r="AA578" s="18">
        <f>SUMIF([1]SA007!$C:$C,'SA007 2025.01-2026.05 '!$D578,[1]SA007!P:P)</f>
        <v>0</v>
      </c>
      <c r="AB578" s="18">
        <f>SUMIF([1]SA007!$C:$C,'SA007 2025.01-2026.05 '!$D578,[1]SA007!Q:Q)</f>
        <v>0</v>
      </c>
      <c r="AC578" s="19">
        <f t="shared" si="19"/>
        <v>0</v>
      </c>
      <c r="AD578" s="19">
        <f t="shared" si="20"/>
        <v>0</v>
      </c>
      <c r="AG578" s="21">
        <f>SUMIF([1]SO003!$H:$H,'SA007 2025.01-2026.05 '!$D578,[1]SO003!AF:AF)</f>
        <v>0</v>
      </c>
      <c r="AH578" s="21">
        <f>SUMIF([1]SO003!$H:$H,'SA007 2025.01-2026.05 '!$D578,[1]SO003!AH:AH)</f>
        <v>0</v>
      </c>
      <c r="AI578" s="21">
        <f>SUMIF([1]SO003!$H:$H,'SA007 2025.01-2026.05 '!$D578,[1]SO003!AJ:AJ)</f>
        <v>0</v>
      </c>
    </row>
    <row r="579" spans="1:35" x14ac:dyDescent="0.55000000000000004">
      <c r="A579" s="2" t="s">
        <v>389</v>
      </c>
      <c r="D579" s="22">
        <v>77004487</v>
      </c>
      <c r="E579" s="2" t="s">
        <v>116</v>
      </c>
      <c r="F579" s="2" t="s">
        <v>116</v>
      </c>
      <c r="G579" s="3" t="s">
        <v>47</v>
      </c>
      <c r="H579" s="2" t="s">
        <v>321</v>
      </c>
      <c r="I579" s="17">
        <v>2</v>
      </c>
      <c r="J579" s="3">
        <v>60</v>
      </c>
      <c r="K579" s="3">
        <v>1219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8">
        <v>0</v>
      </c>
      <c r="Z579" s="18">
        <v>0</v>
      </c>
      <c r="AA579" s="18">
        <f>SUMIF([1]SA007!$C:$C,'SA007 2025.01-2026.05 '!$D579,[1]SA007!P:P)</f>
        <v>35</v>
      </c>
      <c r="AB579" s="18">
        <f>SUMIF([1]SA007!$C:$C,'SA007 2025.01-2026.05 '!$D579,[1]SA007!Q:Q)</f>
        <v>0</v>
      </c>
      <c r="AC579" s="19">
        <f t="shared" si="19"/>
        <v>35</v>
      </c>
      <c r="AD579" s="19">
        <f t="shared" si="20"/>
        <v>2.0588235294117645</v>
      </c>
      <c r="AG579" s="21">
        <f>SUMIF([1]SO003!$H:$H,'SA007 2025.01-2026.05 '!$D579,[1]SO003!AF:AF)</f>
        <v>0</v>
      </c>
      <c r="AH579" s="21">
        <f>SUMIF([1]SO003!$H:$H,'SA007 2025.01-2026.05 '!$D579,[1]SO003!AH:AH)</f>
        <v>0</v>
      </c>
      <c r="AI579" s="21">
        <f>SUMIF([1]SO003!$H:$H,'SA007 2025.01-2026.05 '!$D579,[1]SO003!AJ:AJ)</f>
        <v>0</v>
      </c>
    </row>
    <row r="580" spans="1:35" x14ac:dyDescent="0.55000000000000004">
      <c r="A580" s="2" t="s">
        <v>1126</v>
      </c>
      <c r="D580" s="22" t="s">
        <v>1127</v>
      </c>
      <c r="E580" s="2" t="s">
        <v>116</v>
      </c>
      <c r="F580" s="2" t="s">
        <v>116</v>
      </c>
      <c r="G580" s="3" t="s">
        <v>47</v>
      </c>
      <c r="H580" s="2" t="s">
        <v>321</v>
      </c>
      <c r="I580" s="17">
        <v>1.4</v>
      </c>
      <c r="J580" s="3">
        <v>65</v>
      </c>
      <c r="K580" s="3">
        <v>1219</v>
      </c>
      <c r="L580" s="18">
        <v>0</v>
      </c>
      <c r="M580" s="18">
        <v>0</v>
      </c>
      <c r="N580" s="18">
        <v>0</v>
      </c>
      <c r="O580" s="18">
        <v>0</v>
      </c>
      <c r="P580" s="18">
        <v>0</v>
      </c>
      <c r="Q580" s="18">
        <v>0</v>
      </c>
      <c r="R580" s="18">
        <v>0</v>
      </c>
      <c r="S580" s="18">
        <v>0</v>
      </c>
      <c r="T580" s="18">
        <v>0</v>
      </c>
      <c r="U580" s="18">
        <v>0</v>
      </c>
      <c r="V580" s="18">
        <v>0</v>
      </c>
      <c r="W580" s="18">
        <v>0</v>
      </c>
      <c r="X580" s="18">
        <v>0</v>
      </c>
      <c r="Y580" s="18">
        <v>0</v>
      </c>
      <c r="Z580" s="18">
        <v>0</v>
      </c>
      <c r="AA580" s="18">
        <f>SUMIF([1]SA007!$C:$C,'SA007 2025.01-2026.05 '!$D580,[1]SA007!P:P)</f>
        <v>0</v>
      </c>
      <c r="AB580" s="18">
        <f>SUMIF([1]SA007!$C:$C,'SA007 2025.01-2026.05 '!$D580,[1]SA007!Q:Q)</f>
        <v>0</v>
      </c>
      <c r="AC580" s="19">
        <f t="shared" si="19"/>
        <v>0</v>
      </c>
      <c r="AD580" s="19">
        <f t="shared" si="20"/>
        <v>0</v>
      </c>
      <c r="AG580" s="21">
        <f>SUMIF([1]SO003!$H:$H,'SA007 2025.01-2026.05 '!$D580,[1]SO003!AF:AF)</f>
        <v>0</v>
      </c>
      <c r="AH580" s="21">
        <f>SUMIF([1]SO003!$H:$H,'SA007 2025.01-2026.05 '!$D580,[1]SO003!AH:AH)</f>
        <v>0</v>
      </c>
      <c r="AI580" s="21">
        <f>SUMIF([1]SO003!$H:$H,'SA007 2025.01-2026.05 '!$D580,[1]SO003!AJ:AJ)</f>
        <v>0</v>
      </c>
    </row>
    <row r="581" spans="1:35" x14ac:dyDescent="0.55000000000000004">
      <c r="A581" s="2" t="s">
        <v>389</v>
      </c>
      <c r="D581" s="22">
        <v>77004862</v>
      </c>
      <c r="E581" s="2" t="s">
        <v>116</v>
      </c>
      <c r="F581" s="2" t="s">
        <v>116</v>
      </c>
      <c r="G581" s="3" t="s">
        <v>47</v>
      </c>
      <c r="H581" s="2" t="s">
        <v>321</v>
      </c>
      <c r="I581" s="17">
        <v>2</v>
      </c>
      <c r="J581" s="3">
        <v>65</v>
      </c>
      <c r="K581" s="3">
        <v>1219</v>
      </c>
      <c r="L581" s="18">
        <v>0</v>
      </c>
      <c r="M581" s="18">
        <v>0</v>
      </c>
      <c r="N581" s="18">
        <v>0</v>
      </c>
      <c r="O581" s="18">
        <v>0</v>
      </c>
      <c r="P581" s="18">
        <v>0</v>
      </c>
      <c r="Q581" s="18">
        <v>0</v>
      </c>
      <c r="R581" s="18">
        <v>0</v>
      </c>
      <c r="S581" s="18">
        <v>0</v>
      </c>
      <c r="T581" s="18">
        <v>0</v>
      </c>
      <c r="U581" s="18">
        <v>0</v>
      </c>
      <c r="V581" s="18">
        <v>0</v>
      </c>
      <c r="W581" s="18">
        <v>0</v>
      </c>
      <c r="X581" s="18">
        <v>0</v>
      </c>
      <c r="Y581" s="18">
        <v>0</v>
      </c>
      <c r="Z581" s="18">
        <v>0</v>
      </c>
      <c r="AA581" s="18">
        <f>SUMIF([1]SA007!$C:$C,'SA007 2025.01-2026.05 '!$D581,[1]SA007!P:P)</f>
        <v>0</v>
      </c>
      <c r="AB581" s="18">
        <f>SUMIF([1]SA007!$C:$C,'SA007 2025.01-2026.05 '!$D581,[1]SA007!Q:Q)</f>
        <v>0</v>
      </c>
      <c r="AC581" s="19">
        <f t="shared" si="19"/>
        <v>0</v>
      </c>
      <c r="AD581" s="19">
        <f t="shared" si="20"/>
        <v>0</v>
      </c>
      <c r="AG581" s="21">
        <f>SUMIF([1]SO003!$H:$H,'SA007 2025.01-2026.05 '!$D581,[1]SO003!AF:AF)</f>
        <v>0</v>
      </c>
      <c r="AH581" s="21">
        <f>SUMIF([1]SO003!$H:$H,'SA007 2025.01-2026.05 '!$D581,[1]SO003!AH:AH)</f>
        <v>0</v>
      </c>
      <c r="AI581" s="21">
        <f>SUMIF([1]SO003!$H:$H,'SA007 2025.01-2026.05 '!$D581,[1]SO003!AJ:AJ)</f>
        <v>0</v>
      </c>
    </row>
    <row r="582" spans="1:35" x14ac:dyDescent="0.55000000000000004">
      <c r="A582" s="2" t="s">
        <v>265</v>
      </c>
      <c r="D582" s="22" t="s">
        <v>1128</v>
      </c>
      <c r="E582" s="2" t="s">
        <v>116</v>
      </c>
      <c r="F582" s="2" t="s">
        <v>116</v>
      </c>
      <c r="G582" s="3" t="s">
        <v>63</v>
      </c>
      <c r="H582" s="2" t="s">
        <v>1129</v>
      </c>
      <c r="I582" s="17">
        <v>1.2</v>
      </c>
      <c r="J582" s="3">
        <v>66</v>
      </c>
      <c r="K582" s="3">
        <v>1219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8">
        <v>0</v>
      </c>
      <c r="S582" s="18">
        <v>0</v>
      </c>
      <c r="T582" s="18">
        <v>0</v>
      </c>
      <c r="U582" s="18">
        <v>0</v>
      </c>
      <c r="V582" s="18">
        <v>0</v>
      </c>
      <c r="W582" s="18">
        <v>0</v>
      </c>
      <c r="X582" s="18">
        <v>0</v>
      </c>
      <c r="Y582" s="18">
        <v>0</v>
      </c>
      <c r="Z582" s="18">
        <v>0</v>
      </c>
      <c r="AA582" s="18">
        <f>SUMIF([1]SA007!$C:$C,'SA007 2025.01-2026.05 '!$D582,[1]SA007!P:P)</f>
        <v>0</v>
      </c>
      <c r="AB582" s="18">
        <f>SUMIF([1]SA007!$C:$C,'SA007 2025.01-2026.05 '!$D582,[1]SA007!Q:Q)</f>
        <v>0</v>
      </c>
      <c r="AC582" s="19">
        <f t="shared" ref="AC582:AC645" si="21">SUM(L582:AB582)</f>
        <v>0</v>
      </c>
      <c r="AD582" s="19">
        <f t="shared" ref="AD582:AD645" si="22">AVERAGE(L582:AB582)</f>
        <v>0</v>
      </c>
      <c r="AG582" s="21">
        <f>SUMIF([1]SO003!$H:$H,'SA007 2025.01-2026.05 '!$D582,[1]SO003!AF:AF)</f>
        <v>0</v>
      </c>
      <c r="AH582" s="21">
        <f>SUMIF([1]SO003!$H:$H,'SA007 2025.01-2026.05 '!$D582,[1]SO003!AH:AH)</f>
        <v>0</v>
      </c>
      <c r="AI582" s="21">
        <f>SUMIF([1]SO003!$H:$H,'SA007 2025.01-2026.05 '!$D582,[1]SO003!AJ:AJ)</f>
        <v>0</v>
      </c>
    </row>
    <row r="583" spans="1:35" x14ac:dyDescent="0.55000000000000004">
      <c r="A583" s="2" t="s">
        <v>309</v>
      </c>
      <c r="D583" s="2" t="s">
        <v>1130</v>
      </c>
      <c r="E583" s="2" t="s">
        <v>101</v>
      </c>
      <c r="G583" s="3" t="s">
        <v>63</v>
      </c>
      <c r="H583" s="2" t="s">
        <v>61</v>
      </c>
      <c r="I583" s="17">
        <v>1.6</v>
      </c>
      <c r="J583" s="3">
        <v>72</v>
      </c>
      <c r="K583" s="3" t="s">
        <v>41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8">
        <v>0</v>
      </c>
      <c r="S583" s="18">
        <v>0</v>
      </c>
      <c r="T583" s="18">
        <v>0</v>
      </c>
      <c r="U583" s="18">
        <v>166</v>
      </c>
      <c r="V583" s="18">
        <v>0</v>
      </c>
      <c r="W583" s="18">
        <v>0</v>
      </c>
      <c r="X583" s="18">
        <v>0</v>
      </c>
      <c r="Y583" s="18">
        <v>0</v>
      </c>
      <c r="Z583" s="18">
        <v>0</v>
      </c>
      <c r="AA583" s="18">
        <f>SUMIF([1]SA007!$C:$C,'SA007 2025.01-2026.05 '!$D583,[1]SA007!P:P)</f>
        <v>0</v>
      </c>
      <c r="AB583" s="18">
        <f>SUMIF([1]SA007!$C:$C,'SA007 2025.01-2026.05 '!$D583,[1]SA007!Q:Q)</f>
        <v>0</v>
      </c>
      <c r="AC583" s="19">
        <f t="shared" si="21"/>
        <v>166</v>
      </c>
      <c r="AD583" s="19">
        <f t="shared" si="22"/>
        <v>9.764705882352942</v>
      </c>
      <c r="AG583" s="21">
        <f>SUMIF([1]SO003!$H:$H,'SA007 2025.01-2026.05 '!$D583,[1]SO003!AF:AF)</f>
        <v>0</v>
      </c>
      <c r="AH583" s="21">
        <f>SUMIF([1]SO003!$H:$H,'SA007 2025.01-2026.05 '!$D583,[1]SO003!AH:AH)</f>
        <v>0</v>
      </c>
      <c r="AI583" s="21">
        <f>SUMIF([1]SO003!$H:$H,'SA007 2025.01-2026.05 '!$D583,[1]SO003!AJ:AJ)</f>
        <v>0</v>
      </c>
    </row>
    <row r="584" spans="1:35" x14ac:dyDescent="0.55000000000000004">
      <c r="A584" s="2" t="s">
        <v>389</v>
      </c>
      <c r="D584" s="22">
        <v>77004010</v>
      </c>
      <c r="E584" s="2" t="s">
        <v>116</v>
      </c>
      <c r="F584" s="2" t="s">
        <v>116</v>
      </c>
      <c r="G584" s="3" t="s">
        <v>47</v>
      </c>
      <c r="H584" s="2" t="s">
        <v>321</v>
      </c>
      <c r="I584" s="17">
        <v>2</v>
      </c>
      <c r="J584" s="3">
        <v>110</v>
      </c>
      <c r="K584" s="3">
        <v>1219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8">
        <v>0</v>
      </c>
      <c r="R584" s="18">
        <v>0</v>
      </c>
      <c r="S584" s="18">
        <v>0</v>
      </c>
      <c r="T584" s="18">
        <v>0</v>
      </c>
      <c r="U584" s="18">
        <v>0</v>
      </c>
      <c r="V584" s="18">
        <v>0</v>
      </c>
      <c r="W584" s="18">
        <v>0</v>
      </c>
      <c r="X584" s="18">
        <v>0</v>
      </c>
      <c r="Y584" s="18">
        <v>0</v>
      </c>
      <c r="Z584" s="18">
        <v>0</v>
      </c>
      <c r="AA584" s="18">
        <f>SUMIF([1]SA007!$C:$C,'SA007 2025.01-2026.05 '!$D584,[1]SA007!P:P)</f>
        <v>0</v>
      </c>
      <c r="AB584" s="18">
        <f>SUMIF([1]SA007!$C:$C,'SA007 2025.01-2026.05 '!$D584,[1]SA007!Q:Q)</f>
        <v>0</v>
      </c>
      <c r="AC584" s="19">
        <f t="shared" si="21"/>
        <v>0</v>
      </c>
      <c r="AD584" s="19">
        <f t="shared" si="22"/>
        <v>0</v>
      </c>
      <c r="AG584" s="21">
        <f>SUMIF([1]SO003!$H:$H,'SA007 2025.01-2026.05 '!$D584,[1]SO003!AF:AF)</f>
        <v>0</v>
      </c>
      <c r="AH584" s="21">
        <f>SUMIF([1]SO003!$H:$H,'SA007 2025.01-2026.05 '!$D584,[1]SO003!AH:AH)</f>
        <v>0</v>
      </c>
      <c r="AI584" s="21">
        <f>SUMIF([1]SO003!$H:$H,'SA007 2025.01-2026.05 '!$D584,[1]SO003!AJ:AJ)</f>
        <v>0</v>
      </c>
    </row>
    <row r="585" spans="1:35" x14ac:dyDescent="0.55000000000000004">
      <c r="A585" s="2" t="s">
        <v>389</v>
      </c>
      <c r="D585" s="22">
        <v>77004486</v>
      </c>
      <c r="E585" s="2" t="s">
        <v>116</v>
      </c>
      <c r="F585" s="2" t="s">
        <v>116</v>
      </c>
      <c r="G585" s="3" t="s">
        <v>47</v>
      </c>
      <c r="H585" s="2" t="s">
        <v>321</v>
      </c>
      <c r="I585" s="17">
        <v>2</v>
      </c>
      <c r="J585" s="3">
        <v>125</v>
      </c>
      <c r="K585" s="3">
        <v>1219</v>
      </c>
      <c r="L585" s="18">
        <v>0</v>
      </c>
      <c r="M585" s="18">
        <v>0</v>
      </c>
      <c r="N585" s="18">
        <v>0</v>
      </c>
      <c r="O585" s="18">
        <v>0</v>
      </c>
      <c r="P585" s="18">
        <v>0</v>
      </c>
      <c r="Q585" s="18">
        <v>0</v>
      </c>
      <c r="R585" s="18">
        <v>0</v>
      </c>
      <c r="S585" s="18">
        <v>0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0</v>
      </c>
      <c r="AA585" s="18">
        <f>SUMIF([1]SA007!$C:$C,'SA007 2025.01-2026.05 '!$D585,[1]SA007!P:P)</f>
        <v>116</v>
      </c>
      <c r="AB585" s="18">
        <f>SUMIF([1]SA007!$C:$C,'SA007 2025.01-2026.05 '!$D585,[1]SA007!Q:Q)</f>
        <v>0</v>
      </c>
      <c r="AC585" s="19">
        <f t="shared" si="21"/>
        <v>116</v>
      </c>
      <c r="AD585" s="19">
        <f t="shared" si="22"/>
        <v>6.8235294117647056</v>
      </c>
      <c r="AG585" s="21">
        <f>SUMIF([1]SO003!$H:$H,'SA007 2025.01-2026.05 '!$D585,[1]SO003!AF:AF)</f>
        <v>0</v>
      </c>
      <c r="AH585" s="21">
        <f>SUMIF([1]SO003!$H:$H,'SA007 2025.01-2026.05 '!$D585,[1]SO003!AH:AH)</f>
        <v>0</v>
      </c>
      <c r="AI585" s="21">
        <f>SUMIF([1]SO003!$H:$H,'SA007 2025.01-2026.05 '!$D585,[1]SO003!AJ:AJ)</f>
        <v>0</v>
      </c>
    </row>
    <row r="586" spans="1:35" x14ac:dyDescent="0.55000000000000004">
      <c r="A586" s="2" t="s">
        <v>500</v>
      </c>
      <c r="D586" s="22">
        <v>77004012</v>
      </c>
      <c r="E586" s="2" t="s">
        <v>116</v>
      </c>
      <c r="F586" s="2" t="s">
        <v>116</v>
      </c>
      <c r="G586" s="3" t="s">
        <v>47</v>
      </c>
      <c r="H586" s="2" t="s">
        <v>1131</v>
      </c>
      <c r="I586" s="17">
        <v>6</v>
      </c>
      <c r="J586" s="3">
        <v>196</v>
      </c>
      <c r="K586" s="3">
        <v>1219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8">
        <v>0</v>
      </c>
      <c r="Y586" s="18">
        <v>0</v>
      </c>
      <c r="Z586" s="18">
        <v>0</v>
      </c>
      <c r="AA586" s="18">
        <f>SUMIF([1]SA007!$C:$C,'SA007 2025.01-2026.05 '!$D586,[1]SA007!P:P)</f>
        <v>0</v>
      </c>
      <c r="AB586" s="18">
        <f>SUMIF([1]SA007!$C:$C,'SA007 2025.01-2026.05 '!$D586,[1]SA007!Q:Q)</f>
        <v>0</v>
      </c>
      <c r="AC586" s="19">
        <f t="shared" si="21"/>
        <v>0</v>
      </c>
      <c r="AD586" s="19">
        <f t="shared" si="22"/>
        <v>0</v>
      </c>
      <c r="AG586" s="21">
        <f>SUMIF([1]SO003!$H:$H,'SA007 2025.01-2026.05 '!$D586,[1]SO003!AF:AF)</f>
        <v>0</v>
      </c>
      <c r="AH586" s="21">
        <f>SUMIF([1]SO003!$H:$H,'SA007 2025.01-2026.05 '!$D586,[1]SO003!AH:AH)</f>
        <v>0</v>
      </c>
      <c r="AI586" s="21">
        <f>SUMIF([1]SO003!$H:$H,'SA007 2025.01-2026.05 '!$D586,[1]SO003!AJ:AJ)</f>
        <v>0</v>
      </c>
    </row>
    <row r="587" spans="1:35" x14ac:dyDescent="0.55000000000000004">
      <c r="A587" s="2" t="s">
        <v>265</v>
      </c>
      <c r="D587" s="22">
        <v>7700423</v>
      </c>
      <c r="E587" s="2" t="s">
        <v>116</v>
      </c>
      <c r="F587" s="2" t="s">
        <v>116</v>
      </c>
      <c r="G587" s="3" t="s">
        <v>63</v>
      </c>
      <c r="H587" s="2" t="s">
        <v>1132</v>
      </c>
      <c r="I587" s="17">
        <v>1.2</v>
      </c>
      <c r="J587" s="3">
        <v>215</v>
      </c>
      <c r="K587" s="3">
        <v>1219</v>
      </c>
      <c r="L587" s="18">
        <v>0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v>0</v>
      </c>
      <c r="S587" s="18">
        <v>0</v>
      </c>
      <c r="T587" s="18">
        <v>0</v>
      </c>
      <c r="U587" s="18">
        <v>0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f>SUMIF([1]SA007!$C:$C,'SA007 2025.01-2026.05 '!$D587,[1]SA007!P:P)</f>
        <v>0</v>
      </c>
      <c r="AB587" s="18">
        <f>SUMIF([1]SA007!$C:$C,'SA007 2025.01-2026.05 '!$D587,[1]SA007!Q:Q)</f>
        <v>0</v>
      </c>
      <c r="AC587" s="19">
        <f t="shared" si="21"/>
        <v>0</v>
      </c>
      <c r="AD587" s="19">
        <f t="shared" si="22"/>
        <v>0</v>
      </c>
      <c r="AG587" s="21">
        <f>SUMIF([1]SO003!$H:$H,'SA007 2025.01-2026.05 '!$D587,[1]SO003!AF:AF)</f>
        <v>0</v>
      </c>
      <c r="AH587" s="21">
        <f>SUMIF([1]SO003!$H:$H,'SA007 2025.01-2026.05 '!$D587,[1]SO003!AH:AH)</f>
        <v>0</v>
      </c>
      <c r="AI587" s="21">
        <f>SUMIF([1]SO003!$H:$H,'SA007 2025.01-2026.05 '!$D587,[1]SO003!AJ:AJ)</f>
        <v>0</v>
      </c>
    </row>
    <row r="588" spans="1:35" x14ac:dyDescent="0.55000000000000004">
      <c r="A588" s="2" t="s">
        <v>724</v>
      </c>
      <c r="D588" s="22">
        <v>77004013</v>
      </c>
      <c r="E588" s="2" t="s">
        <v>116</v>
      </c>
      <c r="F588" s="2" t="s">
        <v>116</v>
      </c>
      <c r="G588" s="3" t="s">
        <v>47</v>
      </c>
      <c r="H588" s="2" t="s">
        <v>1131</v>
      </c>
      <c r="I588" s="17">
        <v>2.2999999999999998</v>
      </c>
      <c r="J588" s="3">
        <v>236</v>
      </c>
      <c r="K588" s="3">
        <v>1219</v>
      </c>
      <c r="L588" s="18">
        <v>0</v>
      </c>
      <c r="M588" s="18">
        <v>0</v>
      </c>
      <c r="N588" s="18">
        <v>0</v>
      </c>
      <c r="O588" s="18">
        <v>0</v>
      </c>
      <c r="P588" s="18">
        <v>0</v>
      </c>
      <c r="Q588" s="18">
        <v>0</v>
      </c>
      <c r="R588" s="18">
        <v>0</v>
      </c>
      <c r="S588" s="18">
        <v>0</v>
      </c>
      <c r="T588" s="18">
        <v>0</v>
      </c>
      <c r="U588" s="18">
        <v>0</v>
      </c>
      <c r="V588" s="18">
        <v>0</v>
      </c>
      <c r="W588" s="18">
        <v>0</v>
      </c>
      <c r="X588" s="18">
        <v>0</v>
      </c>
      <c r="Y588" s="18">
        <v>0</v>
      </c>
      <c r="Z588" s="18">
        <v>0</v>
      </c>
      <c r="AA588" s="18">
        <f>SUMIF([1]SA007!$C:$C,'SA007 2025.01-2026.05 '!$D588,[1]SA007!P:P)</f>
        <v>0</v>
      </c>
      <c r="AB588" s="18">
        <f>SUMIF([1]SA007!$C:$C,'SA007 2025.01-2026.05 '!$D588,[1]SA007!Q:Q)</f>
        <v>0</v>
      </c>
      <c r="AC588" s="19">
        <f t="shared" si="21"/>
        <v>0</v>
      </c>
      <c r="AD588" s="19">
        <f t="shared" si="22"/>
        <v>0</v>
      </c>
      <c r="AG588" s="21">
        <f>SUMIF([1]SO003!$H:$H,'SA007 2025.01-2026.05 '!$D588,[1]SO003!AF:AF)</f>
        <v>0</v>
      </c>
      <c r="AH588" s="21">
        <f>SUMIF([1]SO003!$H:$H,'SA007 2025.01-2026.05 '!$D588,[1]SO003!AH:AH)</f>
        <v>0</v>
      </c>
      <c r="AI588" s="21">
        <f>SUMIF([1]SO003!$H:$H,'SA007 2025.01-2026.05 '!$D588,[1]SO003!AJ:AJ)</f>
        <v>0</v>
      </c>
    </row>
    <row r="589" spans="1:35" x14ac:dyDescent="0.55000000000000004">
      <c r="A589" s="2" t="s">
        <v>1106</v>
      </c>
      <c r="D589" s="2" t="s">
        <v>1133</v>
      </c>
      <c r="E589" s="2" t="s">
        <v>1108</v>
      </c>
      <c r="G589" s="3" t="s">
        <v>63</v>
      </c>
      <c r="H589" s="2" t="s">
        <v>61</v>
      </c>
      <c r="I589" s="17">
        <v>1.6</v>
      </c>
      <c r="J589" s="3">
        <v>74</v>
      </c>
      <c r="K589" s="3" t="s">
        <v>41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8">
        <v>0</v>
      </c>
      <c r="S589" s="18">
        <v>0</v>
      </c>
      <c r="T589" s="18">
        <v>0</v>
      </c>
      <c r="U589" s="18">
        <v>372</v>
      </c>
      <c r="V589" s="18">
        <v>340</v>
      </c>
      <c r="W589" s="18">
        <v>0</v>
      </c>
      <c r="X589" s="18">
        <v>629</v>
      </c>
      <c r="Y589" s="18">
        <v>0</v>
      </c>
      <c r="Z589" s="18">
        <v>831</v>
      </c>
      <c r="AA589" s="18">
        <f>SUMIF([1]SA007!$C:$C,'SA007 2025.01-2026.05 '!$D589,[1]SA007!P:P)</f>
        <v>1066</v>
      </c>
      <c r="AB589" s="18">
        <f>SUMIF([1]SA007!$C:$C,'SA007 2025.01-2026.05 '!$D589,[1]SA007!Q:Q)</f>
        <v>0</v>
      </c>
      <c r="AC589" s="19">
        <f t="shared" si="21"/>
        <v>3238</v>
      </c>
      <c r="AD589" s="19">
        <f t="shared" si="22"/>
        <v>190.47058823529412</v>
      </c>
      <c r="AG589" s="21">
        <f>SUMIF([1]SO003!$H:$H,'SA007 2025.01-2026.05 '!$D589,[1]SO003!AF:AF)</f>
        <v>0</v>
      </c>
      <c r="AH589" s="21">
        <f>SUMIF([1]SO003!$H:$H,'SA007 2025.01-2026.05 '!$D589,[1]SO003!AH:AH)</f>
        <v>0</v>
      </c>
      <c r="AI589" s="21">
        <f>SUMIF([1]SO003!$H:$H,'SA007 2025.01-2026.05 '!$D589,[1]SO003!AJ:AJ)</f>
        <v>0</v>
      </c>
    </row>
    <row r="590" spans="1:35" x14ac:dyDescent="0.55000000000000004">
      <c r="A590" s="2" t="s">
        <v>1106</v>
      </c>
      <c r="D590" s="2" t="s">
        <v>1134</v>
      </c>
      <c r="E590" s="2" t="s">
        <v>1108</v>
      </c>
      <c r="G590" s="3" t="s">
        <v>63</v>
      </c>
      <c r="H590" s="2" t="s">
        <v>61</v>
      </c>
      <c r="I590" s="17">
        <v>1.6</v>
      </c>
      <c r="J590" s="3">
        <v>77</v>
      </c>
      <c r="K590" s="3" t="s">
        <v>41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8">
        <v>0</v>
      </c>
      <c r="R590" s="18">
        <v>0</v>
      </c>
      <c r="S590" s="18">
        <v>0</v>
      </c>
      <c r="T590" s="18">
        <v>0</v>
      </c>
      <c r="U590" s="18">
        <v>0</v>
      </c>
      <c r="V590" s="18">
        <v>0</v>
      </c>
      <c r="W590" s="18">
        <v>308</v>
      </c>
      <c r="X590" s="18">
        <v>0</v>
      </c>
      <c r="Y590" s="18">
        <v>0</v>
      </c>
      <c r="Z590" s="18">
        <v>0</v>
      </c>
      <c r="AA590" s="18">
        <f>SUMIF([1]SA007!$C:$C,'SA007 2025.01-2026.05 '!$D590,[1]SA007!P:P)</f>
        <v>1022</v>
      </c>
      <c r="AB590" s="18">
        <f>SUMIF([1]SA007!$C:$C,'SA007 2025.01-2026.05 '!$D590,[1]SA007!Q:Q)</f>
        <v>0</v>
      </c>
      <c r="AC590" s="19">
        <f t="shared" si="21"/>
        <v>1330</v>
      </c>
      <c r="AD590" s="19">
        <f t="shared" si="22"/>
        <v>78.235294117647058</v>
      </c>
      <c r="AG590" s="21">
        <f>SUMIF([1]SO003!$H:$H,'SA007 2025.01-2026.05 '!$D590,[1]SO003!AF:AF)</f>
        <v>0</v>
      </c>
      <c r="AH590" s="21">
        <f>SUMIF([1]SO003!$H:$H,'SA007 2025.01-2026.05 '!$D590,[1]SO003!AH:AH)</f>
        <v>0</v>
      </c>
      <c r="AI590" s="21">
        <f>SUMIF([1]SO003!$H:$H,'SA007 2025.01-2026.05 '!$D590,[1]SO003!AJ:AJ)</f>
        <v>0</v>
      </c>
    </row>
    <row r="591" spans="1:35" x14ac:dyDescent="0.55000000000000004">
      <c r="A591" s="2" t="s">
        <v>356</v>
      </c>
      <c r="D591" s="22">
        <v>77004944</v>
      </c>
      <c r="E591" s="2" t="s">
        <v>555</v>
      </c>
      <c r="F591" s="2" t="s">
        <v>1135</v>
      </c>
      <c r="G591" s="3" t="s">
        <v>63</v>
      </c>
      <c r="H591" s="2" t="s">
        <v>310</v>
      </c>
      <c r="I591" s="17">
        <v>2</v>
      </c>
      <c r="J591" s="3">
        <v>53</v>
      </c>
      <c r="K591" s="3">
        <v>1219</v>
      </c>
      <c r="L591" s="18">
        <v>255</v>
      </c>
      <c r="M591" s="18">
        <v>149</v>
      </c>
      <c r="N591" s="18">
        <v>225</v>
      </c>
      <c r="O591" s="18">
        <v>154</v>
      </c>
      <c r="P591" s="18">
        <v>203</v>
      </c>
      <c r="Q591" s="18">
        <v>200</v>
      </c>
      <c r="R591" s="18">
        <v>0</v>
      </c>
      <c r="S591" s="18">
        <v>117</v>
      </c>
      <c r="T591" s="18">
        <v>152</v>
      </c>
      <c r="U591" s="18">
        <v>101</v>
      </c>
      <c r="V591" s="18">
        <v>49</v>
      </c>
      <c r="W591" s="18">
        <v>0</v>
      </c>
      <c r="X591" s="18">
        <v>0</v>
      </c>
      <c r="Y591" s="18">
        <v>0</v>
      </c>
      <c r="Z591" s="18">
        <v>0</v>
      </c>
      <c r="AA591" s="18">
        <f>SUMIF([1]SA007!$C:$C,'SA007 2025.01-2026.05 '!$D591,[1]SA007!P:P)</f>
        <v>0</v>
      </c>
      <c r="AB591" s="18">
        <f>SUMIF([1]SA007!$C:$C,'SA007 2025.01-2026.05 '!$D591,[1]SA007!Q:Q)</f>
        <v>0</v>
      </c>
      <c r="AC591" s="19">
        <f t="shared" si="21"/>
        <v>1605</v>
      </c>
      <c r="AD591" s="19">
        <f t="shared" si="22"/>
        <v>94.411764705882348</v>
      </c>
      <c r="AG591" s="21">
        <f>SUMIF([1]SO003!$H:$H,'SA007 2025.01-2026.05 '!$D591,[1]SO003!AF:AF)</f>
        <v>0</v>
      </c>
      <c r="AH591" s="21">
        <f>SUMIF([1]SO003!$H:$H,'SA007 2025.01-2026.05 '!$D591,[1]SO003!AH:AH)</f>
        <v>0</v>
      </c>
      <c r="AI591" s="21">
        <f>SUMIF([1]SO003!$H:$H,'SA007 2025.01-2026.05 '!$D591,[1]SO003!AJ:AJ)</f>
        <v>0</v>
      </c>
    </row>
    <row r="592" spans="1:35" x14ac:dyDescent="0.55000000000000004">
      <c r="A592" s="2" t="s">
        <v>309</v>
      </c>
      <c r="D592" s="22">
        <v>77004764</v>
      </c>
      <c r="E592" s="2" t="s">
        <v>116</v>
      </c>
      <c r="F592" s="2" t="s">
        <v>116</v>
      </c>
      <c r="G592" s="3" t="s">
        <v>63</v>
      </c>
      <c r="H592" s="2" t="s">
        <v>61</v>
      </c>
      <c r="I592" s="17">
        <v>1.6</v>
      </c>
      <c r="J592" s="3">
        <v>1219</v>
      </c>
      <c r="K592" s="3">
        <v>58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f>SUMIF([1]SA007!$C:$C,'SA007 2025.01-2026.05 '!$D592,[1]SA007!P:P)</f>
        <v>0</v>
      </c>
      <c r="AB592" s="18">
        <f>SUMIF([1]SA007!$C:$C,'SA007 2025.01-2026.05 '!$D592,[1]SA007!Q:Q)</f>
        <v>0</v>
      </c>
      <c r="AC592" s="19">
        <f t="shared" si="21"/>
        <v>0</v>
      </c>
      <c r="AD592" s="19">
        <f t="shared" si="22"/>
        <v>0</v>
      </c>
      <c r="AG592" s="21">
        <f>SUMIF([1]SO003!$H:$H,'SA007 2025.01-2026.05 '!$D592,[1]SO003!AF:AF)</f>
        <v>0</v>
      </c>
      <c r="AH592" s="21">
        <f>SUMIF([1]SO003!$H:$H,'SA007 2025.01-2026.05 '!$D592,[1]SO003!AH:AH)</f>
        <v>0</v>
      </c>
      <c r="AI592" s="21">
        <f>SUMIF([1]SO003!$H:$H,'SA007 2025.01-2026.05 '!$D592,[1]SO003!AJ:AJ)</f>
        <v>0</v>
      </c>
    </row>
    <row r="593" spans="1:35" x14ac:dyDescent="0.55000000000000004">
      <c r="A593" s="2" t="s">
        <v>356</v>
      </c>
      <c r="D593" s="22">
        <v>77004927</v>
      </c>
      <c r="E593" s="2" t="s">
        <v>555</v>
      </c>
      <c r="F593" s="2" t="s">
        <v>1135</v>
      </c>
      <c r="G593" s="3" t="s">
        <v>63</v>
      </c>
      <c r="H593" s="2" t="s">
        <v>310</v>
      </c>
      <c r="I593" s="17">
        <v>2</v>
      </c>
      <c r="J593" s="3">
        <v>66</v>
      </c>
      <c r="K593" s="3">
        <v>1219</v>
      </c>
      <c r="L593" s="18">
        <v>193</v>
      </c>
      <c r="M593" s="18">
        <v>253</v>
      </c>
      <c r="N593" s="18">
        <v>127</v>
      </c>
      <c r="O593" s="18">
        <v>190</v>
      </c>
      <c r="P593" s="18">
        <v>254</v>
      </c>
      <c r="Q593" s="18">
        <v>255</v>
      </c>
      <c r="R593" s="18">
        <v>0</v>
      </c>
      <c r="S593" s="18">
        <v>177</v>
      </c>
      <c r="T593" s="18">
        <v>202</v>
      </c>
      <c r="U593" s="18">
        <v>188</v>
      </c>
      <c r="V593" s="18">
        <v>76</v>
      </c>
      <c r="W593" s="18">
        <v>0</v>
      </c>
      <c r="X593" s="18">
        <v>0</v>
      </c>
      <c r="Y593" s="18">
        <v>0</v>
      </c>
      <c r="Z593" s="18">
        <v>0</v>
      </c>
      <c r="AA593" s="18">
        <f>SUMIF([1]SA007!$C:$C,'SA007 2025.01-2026.05 '!$D593,[1]SA007!P:P)</f>
        <v>0</v>
      </c>
      <c r="AB593" s="18">
        <f>SUMIF([1]SA007!$C:$C,'SA007 2025.01-2026.05 '!$D593,[1]SA007!Q:Q)</f>
        <v>0</v>
      </c>
      <c r="AC593" s="19">
        <f t="shared" si="21"/>
        <v>1915</v>
      </c>
      <c r="AD593" s="19">
        <f t="shared" si="22"/>
        <v>112.64705882352941</v>
      </c>
      <c r="AG593" s="21">
        <f>SUMIF([1]SO003!$H:$H,'SA007 2025.01-2026.05 '!$D593,[1]SO003!AF:AF)</f>
        <v>0</v>
      </c>
      <c r="AH593" s="21">
        <f>SUMIF([1]SO003!$H:$H,'SA007 2025.01-2026.05 '!$D593,[1]SO003!AH:AH)</f>
        <v>0</v>
      </c>
      <c r="AI593" s="21">
        <f>SUMIF([1]SO003!$H:$H,'SA007 2025.01-2026.05 '!$D593,[1]SO003!AJ:AJ)</f>
        <v>0</v>
      </c>
    </row>
    <row r="594" spans="1:35" x14ac:dyDescent="0.55000000000000004">
      <c r="A594" s="2" t="s">
        <v>356</v>
      </c>
      <c r="D594" s="22">
        <v>77004928</v>
      </c>
      <c r="E594" s="2" t="s">
        <v>555</v>
      </c>
      <c r="F594" s="2" t="s">
        <v>1135</v>
      </c>
      <c r="G594" s="3" t="s">
        <v>63</v>
      </c>
      <c r="H594" s="2" t="s">
        <v>310</v>
      </c>
      <c r="I594" s="17">
        <v>2</v>
      </c>
      <c r="J594" s="3">
        <v>70</v>
      </c>
      <c r="K594" s="3">
        <v>1219</v>
      </c>
      <c r="L594" s="18">
        <v>270</v>
      </c>
      <c r="M594" s="18">
        <v>267</v>
      </c>
      <c r="N594" s="18">
        <v>83</v>
      </c>
      <c r="O594" s="18">
        <v>186</v>
      </c>
      <c r="P594" s="18">
        <v>268</v>
      </c>
      <c r="Q594" s="18">
        <v>274</v>
      </c>
      <c r="R594" s="18">
        <v>0</v>
      </c>
      <c r="S594" s="18">
        <v>0</v>
      </c>
      <c r="T594" s="18">
        <v>0</v>
      </c>
      <c r="U594" s="18">
        <v>205</v>
      </c>
      <c r="V594" s="18">
        <v>0</v>
      </c>
      <c r="W594" s="18">
        <v>0</v>
      </c>
      <c r="X594" s="18">
        <v>0</v>
      </c>
      <c r="Y594" s="18">
        <v>0</v>
      </c>
      <c r="Z594" s="18">
        <v>0</v>
      </c>
      <c r="AA594" s="18">
        <f>SUMIF([1]SA007!$C:$C,'SA007 2025.01-2026.05 '!$D594,[1]SA007!P:P)</f>
        <v>0</v>
      </c>
      <c r="AB594" s="18">
        <f>SUMIF([1]SA007!$C:$C,'SA007 2025.01-2026.05 '!$D594,[1]SA007!Q:Q)</f>
        <v>0</v>
      </c>
      <c r="AC594" s="19">
        <f t="shared" si="21"/>
        <v>1553</v>
      </c>
      <c r="AD594" s="19">
        <f t="shared" si="22"/>
        <v>91.352941176470594</v>
      </c>
      <c r="AG594" s="21">
        <f>SUMIF([1]SO003!$H:$H,'SA007 2025.01-2026.05 '!$D594,[1]SO003!AF:AF)</f>
        <v>0</v>
      </c>
      <c r="AH594" s="21">
        <f>SUMIF([1]SO003!$H:$H,'SA007 2025.01-2026.05 '!$D594,[1]SO003!AH:AH)</f>
        <v>0</v>
      </c>
      <c r="AI594" s="21">
        <f>SUMIF([1]SO003!$H:$H,'SA007 2025.01-2026.05 '!$D594,[1]SO003!AJ:AJ)</f>
        <v>0</v>
      </c>
    </row>
    <row r="595" spans="1:35" x14ac:dyDescent="0.55000000000000004">
      <c r="A595" s="2" t="s">
        <v>206</v>
      </c>
      <c r="D595" s="22" t="s">
        <v>1136</v>
      </c>
      <c r="E595" s="2" t="s">
        <v>116</v>
      </c>
      <c r="F595" s="2" t="s">
        <v>116</v>
      </c>
      <c r="G595" s="3" t="s">
        <v>63</v>
      </c>
      <c r="H595" s="2" t="s">
        <v>310</v>
      </c>
      <c r="I595" s="17">
        <v>1</v>
      </c>
      <c r="J595" s="3">
        <v>71</v>
      </c>
      <c r="K595" s="3">
        <v>1219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f>SUMIF([1]SA007!$C:$C,'SA007 2025.01-2026.05 '!$D595,[1]SA007!P:P)</f>
        <v>0</v>
      </c>
      <c r="AB595" s="18">
        <f>SUMIF([1]SA007!$C:$C,'SA007 2025.01-2026.05 '!$D595,[1]SA007!Q:Q)</f>
        <v>0</v>
      </c>
      <c r="AC595" s="19">
        <f t="shared" si="21"/>
        <v>0</v>
      </c>
      <c r="AD595" s="19">
        <f t="shared" si="22"/>
        <v>0</v>
      </c>
      <c r="AG595" s="21">
        <f>SUMIF([1]SO003!$H:$H,'SA007 2025.01-2026.05 '!$D595,[1]SO003!AF:AF)</f>
        <v>0</v>
      </c>
      <c r="AH595" s="21">
        <f>SUMIF([1]SO003!$H:$H,'SA007 2025.01-2026.05 '!$D595,[1]SO003!AH:AH)</f>
        <v>0</v>
      </c>
      <c r="AI595" s="21">
        <f>SUMIF([1]SO003!$H:$H,'SA007 2025.01-2026.05 '!$D595,[1]SO003!AJ:AJ)</f>
        <v>0</v>
      </c>
    </row>
    <row r="596" spans="1:35" x14ac:dyDescent="0.55000000000000004">
      <c r="A596" s="2" t="s">
        <v>356</v>
      </c>
      <c r="D596" s="22">
        <v>77003963</v>
      </c>
      <c r="E596" s="2" t="s">
        <v>555</v>
      </c>
      <c r="F596" s="2" t="s">
        <v>1135</v>
      </c>
      <c r="G596" s="3" t="s">
        <v>63</v>
      </c>
      <c r="H596" s="2" t="s">
        <v>310</v>
      </c>
      <c r="I596" s="17">
        <v>2</v>
      </c>
      <c r="J596" s="3">
        <v>72</v>
      </c>
      <c r="K596" s="3">
        <v>1219</v>
      </c>
      <c r="L596" s="18">
        <v>292</v>
      </c>
      <c r="M596" s="18">
        <v>422</v>
      </c>
      <c r="N596" s="18">
        <v>380</v>
      </c>
      <c r="O596" s="18">
        <v>416</v>
      </c>
      <c r="P596" s="18">
        <v>429</v>
      </c>
      <c r="Q596" s="18">
        <v>213</v>
      </c>
      <c r="R596" s="18">
        <v>0</v>
      </c>
      <c r="S596" s="18">
        <v>0</v>
      </c>
      <c r="T596" s="18">
        <v>0</v>
      </c>
      <c r="U596" s="18">
        <v>209</v>
      </c>
      <c r="V596" s="18">
        <v>0</v>
      </c>
      <c r="W596" s="18">
        <v>0</v>
      </c>
      <c r="X596" s="18">
        <v>0</v>
      </c>
      <c r="Y596" s="18">
        <v>0</v>
      </c>
      <c r="Z596" s="18">
        <v>0</v>
      </c>
      <c r="AA596" s="18">
        <f>SUMIF([1]SA007!$C:$C,'SA007 2025.01-2026.05 '!$D596,[1]SA007!P:P)</f>
        <v>0</v>
      </c>
      <c r="AB596" s="18">
        <f>SUMIF([1]SA007!$C:$C,'SA007 2025.01-2026.05 '!$D596,[1]SA007!Q:Q)</f>
        <v>0</v>
      </c>
      <c r="AC596" s="19">
        <f t="shared" si="21"/>
        <v>2361</v>
      </c>
      <c r="AD596" s="19">
        <f t="shared" si="22"/>
        <v>138.88235294117646</v>
      </c>
      <c r="AG596" s="21">
        <f>SUMIF([1]SO003!$H:$H,'SA007 2025.01-2026.05 '!$D596,[1]SO003!AF:AF)</f>
        <v>0</v>
      </c>
      <c r="AH596" s="21">
        <f>SUMIF([1]SO003!$H:$H,'SA007 2025.01-2026.05 '!$D596,[1]SO003!AH:AH)</f>
        <v>0</v>
      </c>
      <c r="AI596" s="21">
        <f>SUMIF([1]SO003!$H:$H,'SA007 2025.01-2026.05 '!$D596,[1]SO003!AJ:AJ)</f>
        <v>0</v>
      </c>
    </row>
    <row r="597" spans="1:35" x14ac:dyDescent="0.55000000000000004">
      <c r="A597" s="2" t="s">
        <v>1137</v>
      </c>
      <c r="B597" s="2" t="s">
        <v>682</v>
      </c>
      <c r="C597" s="2" t="s">
        <v>682</v>
      </c>
      <c r="D597" s="2" t="s">
        <v>1138</v>
      </c>
      <c r="E597" s="2" t="s">
        <v>106</v>
      </c>
      <c r="F597" s="2" t="s">
        <v>106</v>
      </c>
      <c r="G597" s="3" t="s">
        <v>63</v>
      </c>
      <c r="H597" s="2" t="s">
        <v>786</v>
      </c>
      <c r="I597" s="17">
        <v>1.6</v>
      </c>
      <c r="J597" s="3">
        <v>27</v>
      </c>
      <c r="K597" s="3" t="s">
        <v>41</v>
      </c>
      <c r="L597" s="18">
        <v>350</v>
      </c>
      <c r="M597" s="18">
        <v>0</v>
      </c>
      <c r="N597" s="18">
        <v>0</v>
      </c>
      <c r="O597" s="18">
        <v>0</v>
      </c>
      <c r="P597" s="18">
        <v>0</v>
      </c>
      <c r="Q597" s="18">
        <v>0</v>
      </c>
      <c r="R597" s="18">
        <v>0</v>
      </c>
      <c r="S597" s="18">
        <v>0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f>SUMIF([1]SA007!$C:$C,'SA007 2025.01-2026.05 '!$D597,[1]SA007!P:P)</f>
        <v>0</v>
      </c>
      <c r="AB597" s="18">
        <f>SUMIF([1]SA007!$C:$C,'SA007 2025.01-2026.05 '!$D597,[1]SA007!Q:Q)</f>
        <v>0</v>
      </c>
      <c r="AC597" s="19">
        <f t="shared" si="21"/>
        <v>350</v>
      </c>
      <c r="AD597" s="19">
        <f t="shared" si="22"/>
        <v>20.588235294117649</v>
      </c>
      <c r="AE597" s="20" t="s">
        <v>1139</v>
      </c>
      <c r="AG597" s="21">
        <f>SUMIF([1]SO003!$H:$H,'SA007 2025.01-2026.05 '!$D597,[1]SO003!AF:AF)</f>
        <v>0</v>
      </c>
      <c r="AH597" s="21">
        <f>SUMIF([1]SO003!$H:$H,'SA007 2025.01-2026.05 '!$D597,[1]SO003!AH:AH)</f>
        <v>0</v>
      </c>
      <c r="AI597" s="21">
        <f>SUMIF([1]SO003!$H:$H,'SA007 2025.01-2026.05 '!$D597,[1]SO003!AJ:AJ)</f>
        <v>0</v>
      </c>
    </row>
    <row r="598" spans="1:35" x14ac:dyDescent="0.55000000000000004">
      <c r="A598" s="2" t="s">
        <v>1137</v>
      </c>
      <c r="B598" s="2" t="s">
        <v>682</v>
      </c>
      <c r="C598" s="2" t="s">
        <v>682</v>
      </c>
      <c r="D598" s="2" t="s">
        <v>1140</v>
      </c>
      <c r="E598" s="2" t="s">
        <v>106</v>
      </c>
      <c r="F598" s="2" t="s">
        <v>106</v>
      </c>
      <c r="G598" s="3" t="s">
        <v>63</v>
      </c>
      <c r="H598" s="2" t="s">
        <v>786</v>
      </c>
      <c r="I598" s="17">
        <v>1.6</v>
      </c>
      <c r="J598" s="3">
        <v>41.6</v>
      </c>
      <c r="K598" s="3" t="s">
        <v>41</v>
      </c>
      <c r="L598" s="18">
        <v>390</v>
      </c>
      <c r="M598" s="18">
        <v>0</v>
      </c>
      <c r="N598" s="18">
        <v>0</v>
      </c>
      <c r="O598" s="18">
        <v>0</v>
      </c>
      <c r="P598" s="18">
        <v>0</v>
      </c>
      <c r="Q598" s="18">
        <v>0</v>
      </c>
      <c r="R598" s="18">
        <v>0</v>
      </c>
      <c r="S598" s="18">
        <v>0</v>
      </c>
      <c r="T598" s="18">
        <v>0</v>
      </c>
      <c r="U598" s="18">
        <v>0</v>
      </c>
      <c r="V598" s="18">
        <v>0</v>
      </c>
      <c r="W598" s="18">
        <v>0</v>
      </c>
      <c r="X598" s="18">
        <v>0</v>
      </c>
      <c r="Y598" s="18">
        <v>0</v>
      </c>
      <c r="Z598" s="18">
        <v>0</v>
      </c>
      <c r="AA598" s="18">
        <f>SUMIF([1]SA007!$C:$C,'SA007 2025.01-2026.05 '!$D598,[1]SA007!P:P)</f>
        <v>0</v>
      </c>
      <c r="AB598" s="18">
        <f>SUMIF([1]SA007!$C:$C,'SA007 2025.01-2026.05 '!$D598,[1]SA007!Q:Q)</f>
        <v>0</v>
      </c>
      <c r="AC598" s="19">
        <f t="shared" si="21"/>
        <v>390</v>
      </c>
      <c r="AD598" s="19">
        <f t="shared" si="22"/>
        <v>22.941176470588236</v>
      </c>
      <c r="AE598" s="20" t="s">
        <v>593</v>
      </c>
      <c r="AG598" s="21">
        <f>SUMIF([1]SO003!$H:$H,'SA007 2025.01-2026.05 '!$D598,[1]SO003!AF:AF)</f>
        <v>0</v>
      </c>
      <c r="AH598" s="21">
        <f>SUMIF([1]SO003!$H:$H,'SA007 2025.01-2026.05 '!$D598,[1]SO003!AH:AH)</f>
        <v>0</v>
      </c>
      <c r="AI598" s="21">
        <f>SUMIF([1]SO003!$H:$H,'SA007 2025.01-2026.05 '!$D598,[1]SO003!AJ:AJ)</f>
        <v>0</v>
      </c>
    </row>
    <row r="599" spans="1:35" x14ac:dyDescent="0.55000000000000004">
      <c r="A599" s="2" t="s">
        <v>1137</v>
      </c>
      <c r="D599" s="22" t="s">
        <v>1141</v>
      </c>
      <c r="E599" s="2" t="s">
        <v>116</v>
      </c>
      <c r="F599" s="2" t="s">
        <v>116</v>
      </c>
      <c r="G599" s="3" t="s">
        <v>63</v>
      </c>
      <c r="H599" s="2" t="s">
        <v>786</v>
      </c>
      <c r="I599" s="17">
        <v>1.6</v>
      </c>
      <c r="J599" s="3">
        <v>325</v>
      </c>
      <c r="K599" s="3">
        <v>1219</v>
      </c>
      <c r="L599" s="18">
        <v>0</v>
      </c>
      <c r="M599" s="18">
        <v>0</v>
      </c>
      <c r="N599" s="18">
        <v>0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f>SUMIF([1]SA007!$C:$C,'SA007 2025.01-2026.05 '!$D599,[1]SA007!P:P)</f>
        <v>0</v>
      </c>
      <c r="AB599" s="18">
        <f>SUMIF([1]SA007!$C:$C,'SA007 2025.01-2026.05 '!$D599,[1]SA007!Q:Q)</f>
        <v>0</v>
      </c>
      <c r="AC599" s="19">
        <f t="shared" si="21"/>
        <v>0</v>
      </c>
      <c r="AD599" s="19">
        <f t="shared" si="22"/>
        <v>0</v>
      </c>
      <c r="AG599" s="21">
        <f>SUMIF([1]SO003!$H:$H,'SA007 2025.01-2026.05 '!$D599,[1]SO003!AF:AF)</f>
        <v>0</v>
      </c>
      <c r="AH599" s="21">
        <f>SUMIF([1]SO003!$H:$H,'SA007 2025.01-2026.05 '!$D599,[1]SO003!AH:AH)</f>
        <v>0</v>
      </c>
      <c r="AI599" s="21">
        <f>SUMIF([1]SO003!$H:$H,'SA007 2025.01-2026.05 '!$D599,[1]SO003!AJ:AJ)</f>
        <v>0</v>
      </c>
    </row>
    <row r="600" spans="1:35" x14ac:dyDescent="0.55000000000000004">
      <c r="A600" s="2" t="s">
        <v>1137</v>
      </c>
      <c r="D600" s="22" t="s">
        <v>1142</v>
      </c>
      <c r="E600" s="2" t="s">
        <v>116</v>
      </c>
      <c r="F600" s="2" t="s">
        <v>116</v>
      </c>
      <c r="G600" s="3" t="s">
        <v>63</v>
      </c>
      <c r="H600" s="2" t="s">
        <v>682</v>
      </c>
      <c r="I600" s="17">
        <v>1.6</v>
      </c>
      <c r="J600" s="3">
        <v>323</v>
      </c>
      <c r="K600" s="3">
        <v>1219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8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8">
        <v>0</v>
      </c>
      <c r="Y600" s="18">
        <v>0</v>
      </c>
      <c r="Z600" s="18">
        <v>0</v>
      </c>
      <c r="AA600" s="18">
        <f>SUMIF([1]SA007!$C:$C,'SA007 2025.01-2026.05 '!$D600,[1]SA007!P:P)</f>
        <v>0</v>
      </c>
      <c r="AB600" s="18">
        <f>SUMIF([1]SA007!$C:$C,'SA007 2025.01-2026.05 '!$D600,[1]SA007!Q:Q)</f>
        <v>0</v>
      </c>
      <c r="AC600" s="19">
        <f t="shared" si="21"/>
        <v>0</v>
      </c>
      <c r="AD600" s="19">
        <f t="shared" si="22"/>
        <v>0</v>
      </c>
      <c r="AG600" s="21">
        <f>SUMIF([1]SO003!$H:$H,'SA007 2025.01-2026.05 '!$D600,[1]SO003!AF:AF)</f>
        <v>0</v>
      </c>
      <c r="AH600" s="21">
        <f>SUMIF([1]SO003!$H:$H,'SA007 2025.01-2026.05 '!$D600,[1]SO003!AH:AH)</f>
        <v>0</v>
      </c>
      <c r="AI600" s="21">
        <f>SUMIF([1]SO003!$H:$H,'SA007 2025.01-2026.05 '!$D600,[1]SO003!AJ:AJ)</f>
        <v>0</v>
      </c>
    </row>
    <row r="601" spans="1:35" x14ac:dyDescent="0.55000000000000004">
      <c r="A601" s="2" t="s">
        <v>507</v>
      </c>
      <c r="D601" s="22">
        <v>30035040</v>
      </c>
      <c r="E601" s="2" t="s">
        <v>116</v>
      </c>
      <c r="F601" s="2" t="s">
        <v>116</v>
      </c>
      <c r="G601" s="3" t="s">
        <v>47</v>
      </c>
      <c r="H601" s="2" t="s">
        <v>402</v>
      </c>
      <c r="I601" s="17">
        <v>6</v>
      </c>
      <c r="J601" s="3">
        <v>31</v>
      </c>
      <c r="K601" s="3">
        <v>1219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8">
        <f>SUMIF([1]SA007!$C:$C,'SA007 2025.01-2026.05 '!$D601,[1]SA007!P:P)</f>
        <v>0</v>
      </c>
      <c r="AB601" s="18">
        <f>SUMIF([1]SA007!$C:$C,'SA007 2025.01-2026.05 '!$D601,[1]SA007!Q:Q)</f>
        <v>0</v>
      </c>
      <c r="AC601" s="19">
        <f t="shared" si="21"/>
        <v>0</v>
      </c>
      <c r="AD601" s="19">
        <f t="shared" si="22"/>
        <v>0</v>
      </c>
      <c r="AG601" s="21">
        <f>SUMIF([1]SO003!$H:$H,'SA007 2025.01-2026.05 '!$D601,[1]SO003!AF:AF)</f>
        <v>0</v>
      </c>
      <c r="AH601" s="21">
        <f>SUMIF([1]SO003!$H:$H,'SA007 2025.01-2026.05 '!$D601,[1]SO003!AH:AH)</f>
        <v>0</v>
      </c>
      <c r="AI601" s="21">
        <f>SUMIF([1]SO003!$H:$H,'SA007 2025.01-2026.05 '!$D601,[1]SO003!AJ:AJ)</f>
        <v>0</v>
      </c>
    </row>
    <row r="602" spans="1:35" x14ac:dyDescent="0.55000000000000004">
      <c r="A602" s="2" t="s">
        <v>507</v>
      </c>
      <c r="D602" s="22">
        <v>30040693</v>
      </c>
      <c r="E602" s="2" t="s">
        <v>116</v>
      </c>
      <c r="F602" s="2" t="s">
        <v>116</v>
      </c>
      <c r="G602" s="3" t="s">
        <v>47</v>
      </c>
      <c r="H602" s="2" t="s">
        <v>402</v>
      </c>
      <c r="I602" s="17">
        <v>6</v>
      </c>
      <c r="J602" s="3">
        <v>48</v>
      </c>
      <c r="K602" s="3">
        <v>1219</v>
      </c>
      <c r="L602" s="18">
        <v>0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8">
        <v>0</v>
      </c>
      <c r="Z602" s="18">
        <v>0</v>
      </c>
      <c r="AA602" s="18">
        <f>SUMIF([1]SA007!$C:$C,'SA007 2025.01-2026.05 '!$D602,[1]SA007!P:P)</f>
        <v>0</v>
      </c>
      <c r="AB602" s="18">
        <f>SUMIF([1]SA007!$C:$C,'SA007 2025.01-2026.05 '!$D602,[1]SA007!Q:Q)</f>
        <v>0</v>
      </c>
      <c r="AC602" s="19">
        <f t="shared" si="21"/>
        <v>0</v>
      </c>
      <c r="AD602" s="19">
        <f t="shared" si="22"/>
        <v>0</v>
      </c>
      <c r="AG602" s="21">
        <f>SUMIF([1]SO003!$H:$H,'SA007 2025.01-2026.05 '!$D602,[1]SO003!AF:AF)</f>
        <v>0</v>
      </c>
      <c r="AH602" s="21">
        <f>SUMIF([1]SO003!$H:$H,'SA007 2025.01-2026.05 '!$D602,[1]SO003!AH:AH)</f>
        <v>0</v>
      </c>
      <c r="AI602" s="21">
        <f>SUMIF([1]SO003!$H:$H,'SA007 2025.01-2026.05 '!$D602,[1]SO003!AJ:AJ)</f>
        <v>0</v>
      </c>
    </row>
    <row r="603" spans="1:35" x14ac:dyDescent="0.55000000000000004">
      <c r="A603" s="2" t="s">
        <v>1143</v>
      </c>
      <c r="D603" s="22" t="s">
        <v>1144</v>
      </c>
      <c r="E603" s="2" t="s">
        <v>116</v>
      </c>
      <c r="F603" s="2" t="s">
        <v>116</v>
      </c>
      <c r="G603" s="3" t="s">
        <v>63</v>
      </c>
      <c r="H603" s="2" t="s">
        <v>1145</v>
      </c>
      <c r="I603" s="17">
        <v>1.4</v>
      </c>
      <c r="J603" s="3">
        <v>49</v>
      </c>
      <c r="K603" s="3">
        <v>1219</v>
      </c>
      <c r="L603" s="18">
        <v>131</v>
      </c>
      <c r="M603" s="18">
        <v>196</v>
      </c>
      <c r="N603" s="18">
        <v>0</v>
      </c>
      <c r="O603" s="18">
        <v>0</v>
      </c>
      <c r="P603" s="18">
        <v>0</v>
      </c>
      <c r="Q603" s="18">
        <v>0</v>
      </c>
      <c r="R603" s="18">
        <v>275</v>
      </c>
      <c r="S603" s="18">
        <v>0</v>
      </c>
      <c r="T603" s="18">
        <v>488</v>
      </c>
      <c r="U603" s="18">
        <v>0</v>
      </c>
      <c r="V603" s="18">
        <v>171</v>
      </c>
      <c r="W603" s="18">
        <v>164</v>
      </c>
      <c r="X603" s="18">
        <v>0</v>
      </c>
      <c r="Y603" s="18">
        <v>0</v>
      </c>
      <c r="Z603" s="18">
        <v>0</v>
      </c>
      <c r="AA603" s="18">
        <f>SUMIF([1]SA007!$C:$C,'SA007 2025.01-2026.05 '!$D603,[1]SA007!P:P)</f>
        <v>0</v>
      </c>
      <c r="AB603" s="18">
        <f>SUMIF([1]SA007!$C:$C,'SA007 2025.01-2026.05 '!$D603,[1]SA007!Q:Q)</f>
        <v>0</v>
      </c>
      <c r="AC603" s="19">
        <f t="shared" si="21"/>
        <v>1425</v>
      </c>
      <c r="AD603" s="19">
        <f t="shared" si="22"/>
        <v>83.82352941176471</v>
      </c>
      <c r="AG603" s="21">
        <f>SUMIF([1]SO003!$H:$H,'SA007 2025.01-2026.05 '!$D603,[1]SO003!AF:AF)</f>
        <v>0</v>
      </c>
      <c r="AH603" s="21">
        <f>SUMIF([1]SO003!$H:$H,'SA007 2025.01-2026.05 '!$D603,[1]SO003!AH:AH)</f>
        <v>0</v>
      </c>
      <c r="AI603" s="21">
        <f>SUMIF([1]SO003!$H:$H,'SA007 2025.01-2026.05 '!$D603,[1]SO003!AJ:AJ)</f>
        <v>0</v>
      </c>
    </row>
    <row r="604" spans="1:35" x14ac:dyDescent="0.55000000000000004">
      <c r="A604" s="2" t="s">
        <v>507</v>
      </c>
      <c r="D604" s="22">
        <v>30041297.100000001</v>
      </c>
      <c r="E604" s="2" t="s">
        <v>116</v>
      </c>
      <c r="F604" s="2" t="s">
        <v>116</v>
      </c>
      <c r="G604" s="3" t="s">
        <v>47</v>
      </c>
      <c r="H604" s="2" t="s">
        <v>402</v>
      </c>
      <c r="I604" s="17">
        <v>6</v>
      </c>
      <c r="J604" s="3">
        <v>55</v>
      </c>
      <c r="K604" s="3">
        <v>1219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8">
        <v>0</v>
      </c>
      <c r="S604" s="18">
        <v>0</v>
      </c>
      <c r="T604" s="18">
        <v>0</v>
      </c>
      <c r="U604" s="18">
        <v>0</v>
      </c>
      <c r="V604" s="18">
        <v>0</v>
      </c>
      <c r="W604" s="18">
        <v>0</v>
      </c>
      <c r="X604" s="18">
        <v>0</v>
      </c>
      <c r="Y604" s="18">
        <v>0</v>
      </c>
      <c r="Z604" s="18">
        <v>0</v>
      </c>
      <c r="AA604" s="18">
        <f>SUMIF([1]SA007!$C:$C,'SA007 2025.01-2026.05 '!$D604,[1]SA007!P:P)</f>
        <v>0</v>
      </c>
      <c r="AB604" s="18">
        <f>SUMIF([1]SA007!$C:$C,'SA007 2025.01-2026.05 '!$D604,[1]SA007!Q:Q)</f>
        <v>0</v>
      </c>
      <c r="AC604" s="19">
        <f t="shared" si="21"/>
        <v>0</v>
      </c>
      <c r="AD604" s="19">
        <f t="shared" si="22"/>
        <v>0</v>
      </c>
      <c r="AG604" s="21">
        <f>SUMIF([1]SO003!$H:$H,'SA007 2025.01-2026.05 '!$D604,[1]SO003!AF:AF)</f>
        <v>0</v>
      </c>
      <c r="AH604" s="21">
        <f>SUMIF([1]SO003!$H:$H,'SA007 2025.01-2026.05 '!$D604,[1]SO003!AH:AH)</f>
        <v>0</v>
      </c>
      <c r="AI604" s="21">
        <f>SUMIF([1]SO003!$H:$H,'SA007 2025.01-2026.05 '!$D604,[1]SO003!AJ:AJ)</f>
        <v>0</v>
      </c>
    </row>
    <row r="605" spans="1:35" x14ac:dyDescent="0.55000000000000004">
      <c r="A605" s="2" t="s">
        <v>433</v>
      </c>
      <c r="D605" s="22" t="s">
        <v>1146</v>
      </c>
      <c r="E605" s="2" t="s">
        <v>116</v>
      </c>
      <c r="F605" s="2" t="s">
        <v>116</v>
      </c>
      <c r="G605" s="3" t="s">
        <v>47</v>
      </c>
      <c r="H605" s="2" t="s">
        <v>321</v>
      </c>
      <c r="I605" s="17">
        <v>2.6</v>
      </c>
      <c r="J605" s="3">
        <v>63</v>
      </c>
      <c r="K605" s="3">
        <v>1219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8">
        <v>0</v>
      </c>
      <c r="S605" s="18">
        <v>0</v>
      </c>
      <c r="T605" s="18">
        <v>0</v>
      </c>
      <c r="U605" s="18">
        <v>0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18">
        <f>SUMIF([1]SA007!$C:$C,'SA007 2025.01-2026.05 '!$D605,[1]SA007!P:P)</f>
        <v>0</v>
      </c>
      <c r="AB605" s="18">
        <f>SUMIF([1]SA007!$C:$C,'SA007 2025.01-2026.05 '!$D605,[1]SA007!Q:Q)</f>
        <v>0</v>
      </c>
      <c r="AC605" s="19">
        <f t="shared" si="21"/>
        <v>0</v>
      </c>
      <c r="AD605" s="19">
        <f t="shared" si="22"/>
        <v>0</v>
      </c>
      <c r="AG605" s="21">
        <f>SUMIF([1]SO003!$H:$H,'SA007 2025.01-2026.05 '!$D605,[1]SO003!AF:AF)</f>
        <v>0</v>
      </c>
      <c r="AH605" s="21">
        <f>SUMIF([1]SO003!$H:$H,'SA007 2025.01-2026.05 '!$D605,[1]SO003!AH:AH)</f>
        <v>0</v>
      </c>
      <c r="AI605" s="21">
        <f>SUMIF([1]SO003!$H:$H,'SA007 2025.01-2026.05 '!$D605,[1]SO003!AJ:AJ)</f>
        <v>0</v>
      </c>
    </row>
    <row r="606" spans="1:35" x14ac:dyDescent="0.55000000000000004">
      <c r="A606" s="2" t="s">
        <v>1147</v>
      </c>
      <c r="D606" s="22" t="s">
        <v>1148</v>
      </c>
      <c r="E606" s="2" t="s">
        <v>116</v>
      </c>
      <c r="F606" s="2" t="s">
        <v>116</v>
      </c>
      <c r="G606" s="3" t="s">
        <v>47</v>
      </c>
      <c r="H606" s="2" t="s">
        <v>1149</v>
      </c>
      <c r="I606" s="17">
        <v>3.2</v>
      </c>
      <c r="J606" s="3">
        <v>66</v>
      </c>
      <c r="K606" s="3">
        <v>1219</v>
      </c>
      <c r="L606" s="18">
        <v>0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>
        <v>0</v>
      </c>
      <c r="U606" s="18">
        <v>0</v>
      </c>
      <c r="V606" s="18">
        <v>0</v>
      </c>
      <c r="W606" s="18">
        <v>0</v>
      </c>
      <c r="X606" s="18">
        <v>0</v>
      </c>
      <c r="Y606" s="18">
        <v>0</v>
      </c>
      <c r="Z606" s="18">
        <v>0</v>
      </c>
      <c r="AA606" s="18">
        <f>SUMIF([1]SA007!$C:$C,'SA007 2025.01-2026.05 '!$D606,[1]SA007!P:P)</f>
        <v>0</v>
      </c>
      <c r="AB606" s="18">
        <f>SUMIF([1]SA007!$C:$C,'SA007 2025.01-2026.05 '!$D606,[1]SA007!Q:Q)</f>
        <v>0</v>
      </c>
      <c r="AC606" s="19">
        <f t="shared" si="21"/>
        <v>0</v>
      </c>
      <c r="AD606" s="19">
        <f t="shared" si="22"/>
        <v>0</v>
      </c>
      <c r="AG606" s="21">
        <f>SUMIF([1]SO003!$H:$H,'SA007 2025.01-2026.05 '!$D606,[1]SO003!AF:AF)</f>
        <v>0</v>
      </c>
      <c r="AH606" s="21">
        <f>SUMIF([1]SO003!$H:$H,'SA007 2025.01-2026.05 '!$D606,[1]SO003!AH:AH)</f>
        <v>0</v>
      </c>
      <c r="AI606" s="21">
        <f>SUMIF([1]SO003!$H:$H,'SA007 2025.01-2026.05 '!$D606,[1]SO003!AJ:AJ)</f>
        <v>0</v>
      </c>
    </row>
    <row r="607" spans="1:35" x14ac:dyDescent="0.55000000000000004">
      <c r="A607" s="2" t="s">
        <v>507</v>
      </c>
      <c r="D607" s="22">
        <v>30020225</v>
      </c>
      <c r="E607" s="2" t="s">
        <v>116</v>
      </c>
      <c r="F607" s="2" t="s">
        <v>116</v>
      </c>
      <c r="G607" s="3" t="s">
        <v>47</v>
      </c>
      <c r="H607" s="2" t="s">
        <v>402</v>
      </c>
      <c r="I607" s="17">
        <v>6</v>
      </c>
      <c r="J607" s="3">
        <v>71</v>
      </c>
      <c r="K607" s="3">
        <v>1219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0</v>
      </c>
      <c r="T607" s="18">
        <v>0</v>
      </c>
      <c r="U607" s="18">
        <v>0</v>
      </c>
      <c r="V607" s="18">
        <v>0</v>
      </c>
      <c r="W607" s="18">
        <v>0</v>
      </c>
      <c r="X607" s="18">
        <v>0</v>
      </c>
      <c r="Y607" s="18">
        <v>0</v>
      </c>
      <c r="Z607" s="18">
        <v>0</v>
      </c>
      <c r="AA607" s="18">
        <f>SUMIF([1]SA007!$C:$C,'SA007 2025.01-2026.05 '!$D607,[1]SA007!P:P)</f>
        <v>0</v>
      </c>
      <c r="AB607" s="18">
        <f>SUMIF([1]SA007!$C:$C,'SA007 2025.01-2026.05 '!$D607,[1]SA007!Q:Q)</f>
        <v>0</v>
      </c>
      <c r="AC607" s="19">
        <f t="shared" si="21"/>
        <v>0</v>
      </c>
      <c r="AD607" s="19">
        <f t="shared" si="22"/>
        <v>0</v>
      </c>
      <c r="AG607" s="21">
        <f>SUMIF([1]SO003!$H:$H,'SA007 2025.01-2026.05 '!$D607,[1]SO003!AF:AF)</f>
        <v>0</v>
      </c>
      <c r="AH607" s="21">
        <f>SUMIF([1]SO003!$H:$H,'SA007 2025.01-2026.05 '!$D607,[1]SO003!AH:AH)</f>
        <v>0</v>
      </c>
      <c r="AI607" s="21">
        <f>SUMIF([1]SO003!$H:$H,'SA007 2025.01-2026.05 '!$D607,[1]SO003!AJ:AJ)</f>
        <v>0</v>
      </c>
    </row>
    <row r="608" spans="1:35" x14ac:dyDescent="0.55000000000000004">
      <c r="A608" s="2" t="s">
        <v>1150</v>
      </c>
      <c r="D608" s="22" t="s">
        <v>1151</v>
      </c>
      <c r="E608" s="2" t="s">
        <v>116</v>
      </c>
      <c r="F608" s="2" t="s">
        <v>116</v>
      </c>
      <c r="G608" s="3" t="s">
        <v>47</v>
      </c>
      <c r="H608" s="2" t="s">
        <v>510</v>
      </c>
      <c r="I608" s="17">
        <v>8</v>
      </c>
      <c r="J608" s="3">
        <v>75</v>
      </c>
      <c r="K608" s="3">
        <v>1219</v>
      </c>
      <c r="L608" s="18">
        <v>0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v>0</v>
      </c>
      <c r="S608" s="18">
        <v>0</v>
      </c>
      <c r="T608" s="18">
        <v>0</v>
      </c>
      <c r="U608" s="18">
        <v>0</v>
      </c>
      <c r="V608" s="18">
        <v>0</v>
      </c>
      <c r="W608" s="18">
        <v>0</v>
      </c>
      <c r="X608" s="18">
        <v>0</v>
      </c>
      <c r="Y608" s="18">
        <v>0</v>
      </c>
      <c r="Z608" s="18">
        <v>0</v>
      </c>
      <c r="AA608" s="18">
        <f>SUMIF([1]SA007!$C:$C,'SA007 2025.01-2026.05 '!$D608,[1]SA007!P:P)</f>
        <v>0</v>
      </c>
      <c r="AB608" s="18">
        <f>SUMIF([1]SA007!$C:$C,'SA007 2025.01-2026.05 '!$D608,[1]SA007!Q:Q)</f>
        <v>0</v>
      </c>
      <c r="AC608" s="19">
        <f t="shared" si="21"/>
        <v>0</v>
      </c>
      <c r="AD608" s="19">
        <f t="shared" si="22"/>
        <v>0</v>
      </c>
      <c r="AG608" s="21">
        <f>SUMIF([1]SO003!$H:$H,'SA007 2025.01-2026.05 '!$D608,[1]SO003!AF:AF)</f>
        <v>0</v>
      </c>
      <c r="AH608" s="21">
        <f>SUMIF([1]SO003!$H:$H,'SA007 2025.01-2026.05 '!$D608,[1]SO003!AH:AH)</f>
        <v>0</v>
      </c>
      <c r="AI608" s="21">
        <f>SUMIF([1]SO003!$H:$H,'SA007 2025.01-2026.05 '!$D608,[1]SO003!AJ:AJ)</f>
        <v>0</v>
      </c>
    </row>
    <row r="609" spans="1:35" x14ac:dyDescent="0.55000000000000004">
      <c r="A609" s="2" t="s">
        <v>433</v>
      </c>
      <c r="D609" s="22" t="s">
        <v>1152</v>
      </c>
      <c r="E609" s="2" t="s">
        <v>116</v>
      </c>
      <c r="F609" s="2" t="s">
        <v>116</v>
      </c>
      <c r="G609" s="3" t="s">
        <v>47</v>
      </c>
      <c r="H609" s="2" t="s">
        <v>402</v>
      </c>
      <c r="I609" s="17">
        <v>2.6</v>
      </c>
      <c r="J609" s="3">
        <v>80</v>
      </c>
      <c r="K609" s="3">
        <v>1219</v>
      </c>
      <c r="L609" s="18">
        <v>0</v>
      </c>
      <c r="M609" s="18">
        <v>0</v>
      </c>
      <c r="N609" s="18">
        <v>0</v>
      </c>
      <c r="O609" s="18">
        <v>0</v>
      </c>
      <c r="P609" s="18">
        <v>0</v>
      </c>
      <c r="Q609" s="18">
        <v>0</v>
      </c>
      <c r="R609" s="18">
        <v>0</v>
      </c>
      <c r="S609" s="18">
        <v>0</v>
      </c>
      <c r="T609" s="18">
        <v>0</v>
      </c>
      <c r="U609" s="18">
        <v>0</v>
      </c>
      <c r="V609" s="18">
        <v>0</v>
      </c>
      <c r="W609" s="18">
        <v>0</v>
      </c>
      <c r="X609" s="18">
        <v>0</v>
      </c>
      <c r="Y609" s="18">
        <v>0</v>
      </c>
      <c r="Z609" s="18">
        <v>0</v>
      </c>
      <c r="AA609" s="18">
        <f>SUMIF([1]SA007!$C:$C,'SA007 2025.01-2026.05 '!$D609,[1]SA007!P:P)</f>
        <v>0</v>
      </c>
      <c r="AB609" s="18">
        <f>SUMIF([1]SA007!$C:$C,'SA007 2025.01-2026.05 '!$D609,[1]SA007!Q:Q)</f>
        <v>0</v>
      </c>
      <c r="AC609" s="19">
        <f t="shared" si="21"/>
        <v>0</v>
      </c>
      <c r="AD609" s="19">
        <f t="shared" si="22"/>
        <v>0</v>
      </c>
      <c r="AG609" s="21">
        <f>SUMIF([1]SO003!$H:$H,'SA007 2025.01-2026.05 '!$D609,[1]SO003!AF:AF)</f>
        <v>0</v>
      </c>
      <c r="AH609" s="21">
        <f>SUMIF([1]SO003!$H:$H,'SA007 2025.01-2026.05 '!$D609,[1]SO003!AH:AH)</f>
        <v>0</v>
      </c>
      <c r="AI609" s="21">
        <f>SUMIF([1]SO003!$H:$H,'SA007 2025.01-2026.05 '!$D609,[1]SO003!AJ:AJ)</f>
        <v>0</v>
      </c>
    </row>
    <row r="610" spans="1:35" x14ac:dyDescent="0.55000000000000004">
      <c r="A610" s="2" t="s">
        <v>433</v>
      </c>
      <c r="D610" s="22" t="s">
        <v>1153</v>
      </c>
      <c r="E610" s="2" t="s">
        <v>116</v>
      </c>
      <c r="F610" s="2" t="s">
        <v>116</v>
      </c>
      <c r="G610" s="3" t="s">
        <v>47</v>
      </c>
      <c r="H610" s="2" t="s">
        <v>402</v>
      </c>
      <c r="I610" s="17">
        <v>2.6</v>
      </c>
      <c r="J610" s="3">
        <v>81</v>
      </c>
      <c r="K610" s="3">
        <v>1219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</v>
      </c>
      <c r="R610" s="18">
        <v>0</v>
      </c>
      <c r="S610" s="18">
        <v>0</v>
      </c>
      <c r="T610" s="18">
        <v>0</v>
      </c>
      <c r="U610" s="18">
        <v>0</v>
      </c>
      <c r="V610" s="18">
        <v>0</v>
      </c>
      <c r="W610" s="18">
        <v>0</v>
      </c>
      <c r="X610" s="18">
        <v>0</v>
      </c>
      <c r="Y610" s="18">
        <v>0</v>
      </c>
      <c r="Z610" s="18">
        <v>0</v>
      </c>
      <c r="AA610" s="18">
        <f>SUMIF([1]SA007!$C:$C,'SA007 2025.01-2026.05 '!$D610,[1]SA007!P:P)</f>
        <v>0</v>
      </c>
      <c r="AB610" s="18">
        <f>SUMIF([1]SA007!$C:$C,'SA007 2025.01-2026.05 '!$D610,[1]SA007!Q:Q)</f>
        <v>0</v>
      </c>
      <c r="AC610" s="19">
        <f t="shared" si="21"/>
        <v>0</v>
      </c>
      <c r="AD610" s="19">
        <f t="shared" si="22"/>
        <v>0</v>
      </c>
      <c r="AG610" s="21">
        <f>SUMIF([1]SO003!$H:$H,'SA007 2025.01-2026.05 '!$D610,[1]SO003!AF:AF)</f>
        <v>0</v>
      </c>
      <c r="AH610" s="21">
        <f>SUMIF([1]SO003!$H:$H,'SA007 2025.01-2026.05 '!$D610,[1]SO003!AH:AH)</f>
        <v>0</v>
      </c>
      <c r="AI610" s="21">
        <f>SUMIF([1]SO003!$H:$H,'SA007 2025.01-2026.05 '!$D610,[1]SO003!AJ:AJ)</f>
        <v>0</v>
      </c>
    </row>
    <row r="611" spans="1:35" x14ac:dyDescent="0.55000000000000004">
      <c r="A611" s="2" t="s">
        <v>467</v>
      </c>
      <c r="D611" s="22" t="s">
        <v>1154</v>
      </c>
      <c r="E611" s="2" t="s">
        <v>116</v>
      </c>
      <c r="F611" s="2" t="s">
        <v>116</v>
      </c>
      <c r="G611" s="3" t="s">
        <v>47</v>
      </c>
      <c r="H611" s="2" t="s">
        <v>469</v>
      </c>
      <c r="I611" s="17">
        <v>4</v>
      </c>
      <c r="J611" s="3">
        <v>83</v>
      </c>
      <c r="K611" s="3">
        <v>1219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8">
        <v>0</v>
      </c>
      <c r="Z611" s="18">
        <v>0</v>
      </c>
      <c r="AA611" s="18">
        <f>SUMIF([1]SA007!$C:$C,'SA007 2025.01-2026.05 '!$D611,[1]SA007!P:P)</f>
        <v>0</v>
      </c>
      <c r="AB611" s="18">
        <f>SUMIF([1]SA007!$C:$C,'SA007 2025.01-2026.05 '!$D611,[1]SA007!Q:Q)</f>
        <v>0</v>
      </c>
      <c r="AC611" s="19">
        <f t="shared" si="21"/>
        <v>0</v>
      </c>
      <c r="AD611" s="19">
        <f t="shared" si="22"/>
        <v>0</v>
      </c>
      <c r="AG611" s="21">
        <f>SUMIF([1]SO003!$H:$H,'SA007 2025.01-2026.05 '!$D611,[1]SO003!AF:AF)</f>
        <v>0</v>
      </c>
      <c r="AH611" s="21">
        <f>SUMIF([1]SO003!$H:$H,'SA007 2025.01-2026.05 '!$D611,[1]SO003!AH:AH)</f>
        <v>0</v>
      </c>
      <c r="AI611" s="21">
        <f>SUMIF([1]SO003!$H:$H,'SA007 2025.01-2026.05 '!$D611,[1]SO003!AJ:AJ)</f>
        <v>0</v>
      </c>
    </row>
    <row r="612" spans="1:35" x14ac:dyDescent="0.55000000000000004">
      <c r="A612" s="2" t="s">
        <v>433</v>
      </c>
      <c r="D612" s="22" t="s">
        <v>1155</v>
      </c>
      <c r="E612" s="2" t="s">
        <v>116</v>
      </c>
      <c r="F612" s="2" t="s">
        <v>116</v>
      </c>
      <c r="G612" s="3" t="s">
        <v>47</v>
      </c>
      <c r="H612" s="2" t="s">
        <v>402</v>
      </c>
      <c r="I612" s="17">
        <v>2.6</v>
      </c>
      <c r="J612" s="3">
        <v>88</v>
      </c>
      <c r="K612" s="3">
        <v>1219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8">
        <v>0</v>
      </c>
      <c r="R612" s="18">
        <v>0</v>
      </c>
      <c r="S612" s="18">
        <v>0</v>
      </c>
      <c r="T612" s="18">
        <v>0</v>
      </c>
      <c r="U612" s="18">
        <v>0</v>
      </c>
      <c r="V612" s="18">
        <v>0</v>
      </c>
      <c r="W612" s="18">
        <v>0</v>
      </c>
      <c r="X612" s="18">
        <v>0</v>
      </c>
      <c r="Y612" s="18">
        <v>0</v>
      </c>
      <c r="Z612" s="18">
        <v>0</v>
      </c>
      <c r="AA612" s="18">
        <f>SUMIF([1]SA007!$C:$C,'SA007 2025.01-2026.05 '!$D612,[1]SA007!P:P)</f>
        <v>0</v>
      </c>
      <c r="AB612" s="18">
        <f>SUMIF([1]SA007!$C:$C,'SA007 2025.01-2026.05 '!$D612,[1]SA007!Q:Q)</f>
        <v>0</v>
      </c>
      <c r="AC612" s="19">
        <f t="shared" si="21"/>
        <v>0</v>
      </c>
      <c r="AD612" s="19">
        <f t="shared" si="22"/>
        <v>0</v>
      </c>
      <c r="AG612" s="21">
        <f>SUMIF([1]SO003!$H:$H,'SA007 2025.01-2026.05 '!$D612,[1]SO003!AF:AF)</f>
        <v>0</v>
      </c>
      <c r="AH612" s="21">
        <f>SUMIF([1]SO003!$H:$H,'SA007 2025.01-2026.05 '!$D612,[1]SO003!AH:AH)</f>
        <v>0</v>
      </c>
      <c r="AI612" s="21">
        <f>SUMIF([1]SO003!$H:$H,'SA007 2025.01-2026.05 '!$D612,[1]SO003!AJ:AJ)</f>
        <v>0</v>
      </c>
    </row>
    <row r="613" spans="1:35" x14ac:dyDescent="0.55000000000000004">
      <c r="A613" s="2" t="s">
        <v>1150</v>
      </c>
      <c r="D613" s="22" t="s">
        <v>1156</v>
      </c>
      <c r="E613" s="2" t="s">
        <v>116</v>
      </c>
      <c r="F613" s="2" t="s">
        <v>116</v>
      </c>
      <c r="G613" s="3" t="s">
        <v>47</v>
      </c>
      <c r="H613" s="2" t="s">
        <v>510</v>
      </c>
      <c r="I613" s="17">
        <v>8</v>
      </c>
      <c r="J613" s="3">
        <v>90</v>
      </c>
      <c r="K613" s="3">
        <v>1219</v>
      </c>
      <c r="L613" s="18">
        <v>0</v>
      </c>
      <c r="M613" s="18">
        <v>0</v>
      </c>
      <c r="N613" s="18">
        <v>0</v>
      </c>
      <c r="O613" s="18">
        <v>0</v>
      </c>
      <c r="P613" s="18">
        <v>0</v>
      </c>
      <c r="Q613" s="18">
        <v>0</v>
      </c>
      <c r="R613" s="18">
        <v>0</v>
      </c>
      <c r="S613" s="18">
        <v>0</v>
      </c>
      <c r="T613" s="18">
        <v>0</v>
      </c>
      <c r="U613" s="18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0</v>
      </c>
      <c r="AA613" s="18">
        <f>SUMIF([1]SA007!$C:$C,'SA007 2025.01-2026.05 '!$D613,[1]SA007!P:P)</f>
        <v>0</v>
      </c>
      <c r="AB613" s="18">
        <f>SUMIF([1]SA007!$C:$C,'SA007 2025.01-2026.05 '!$D613,[1]SA007!Q:Q)</f>
        <v>0</v>
      </c>
      <c r="AC613" s="19">
        <f t="shared" si="21"/>
        <v>0</v>
      </c>
      <c r="AD613" s="19">
        <f t="shared" si="22"/>
        <v>0</v>
      </c>
      <c r="AG613" s="21">
        <f>SUMIF([1]SO003!$H:$H,'SA007 2025.01-2026.05 '!$D613,[1]SO003!AF:AF)</f>
        <v>0</v>
      </c>
      <c r="AH613" s="21">
        <f>SUMIF([1]SO003!$H:$H,'SA007 2025.01-2026.05 '!$D613,[1]SO003!AH:AH)</f>
        <v>0</v>
      </c>
      <c r="AI613" s="21">
        <f>SUMIF([1]SO003!$H:$H,'SA007 2025.01-2026.05 '!$D613,[1]SO003!AJ:AJ)</f>
        <v>0</v>
      </c>
    </row>
    <row r="614" spans="1:35" x14ac:dyDescent="0.55000000000000004">
      <c r="A614" s="2" t="s">
        <v>433</v>
      </c>
      <c r="D614" s="22" t="s">
        <v>1157</v>
      </c>
      <c r="E614" s="2" t="s">
        <v>116</v>
      </c>
      <c r="F614" s="2" t="s">
        <v>116</v>
      </c>
      <c r="G614" s="3" t="s">
        <v>47</v>
      </c>
      <c r="H614" s="2" t="s">
        <v>402</v>
      </c>
      <c r="I614" s="17">
        <v>2.6</v>
      </c>
      <c r="J614" s="3">
        <v>92</v>
      </c>
      <c r="K614" s="3">
        <v>1219</v>
      </c>
      <c r="L614" s="18">
        <v>0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f>SUMIF([1]SA007!$C:$C,'SA007 2025.01-2026.05 '!$D614,[1]SA007!P:P)</f>
        <v>0</v>
      </c>
      <c r="AB614" s="18">
        <f>SUMIF([1]SA007!$C:$C,'SA007 2025.01-2026.05 '!$D614,[1]SA007!Q:Q)</f>
        <v>0</v>
      </c>
      <c r="AC614" s="19">
        <f t="shared" si="21"/>
        <v>0</v>
      </c>
      <c r="AD614" s="19">
        <f t="shared" si="22"/>
        <v>0</v>
      </c>
      <c r="AG614" s="21">
        <f>SUMIF([1]SO003!$H:$H,'SA007 2025.01-2026.05 '!$D614,[1]SO003!AF:AF)</f>
        <v>0</v>
      </c>
      <c r="AH614" s="21">
        <f>SUMIF([1]SO003!$H:$H,'SA007 2025.01-2026.05 '!$D614,[1]SO003!AH:AH)</f>
        <v>0</v>
      </c>
      <c r="AI614" s="21">
        <f>SUMIF([1]SO003!$H:$H,'SA007 2025.01-2026.05 '!$D614,[1]SO003!AJ:AJ)</f>
        <v>0</v>
      </c>
    </row>
    <row r="615" spans="1:35" x14ac:dyDescent="0.55000000000000004">
      <c r="A615" s="2" t="s">
        <v>433</v>
      </c>
      <c r="D615" s="22" t="s">
        <v>1158</v>
      </c>
      <c r="E615" s="2" t="s">
        <v>116</v>
      </c>
      <c r="F615" s="2" t="s">
        <v>116</v>
      </c>
      <c r="G615" s="3" t="s">
        <v>47</v>
      </c>
      <c r="H615" s="2" t="s">
        <v>402</v>
      </c>
      <c r="I615" s="17">
        <v>2.6</v>
      </c>
      <c r="J615" s="3">
        <v>94</v>
      </c>
      <c r="K615" s="3">
        <v>1219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f>SUMIF([1]SA007!$C:$C,'SA007 2025.01-2026.05 '!$D615,[1]SA007!P:P)</f>
        <v>0</v>
      </c>
      <c r="AB615" s="18">
        <f>SUMIF([1]SA007!$C:$C,'SA007 2025.01-2026.05 '!$D615,[1]SA007!Q:Q)</f>
        <v>0</v>
      </c>
      <c r="AC615" s="19">
        <f t="shared" si="21"/>
        <v>0</v>
      </c>
      <c r="AD615" s="19">
        <f t="shared" si="22"/>
        <v>0</v>
      </c>
      <c r="AG615" s="21">
        <f>SUMIF([1]SO003!$H:$H,'SA007 2025.01-2026.05 '!$D615,[1]SO003!AF:AF)</f>
        <v>0</v>
      </c>
      <c r="AH615" s="21">
        <f>SUMIF([1]SO003!$H:$H,'SA007 2025.01-2026.05 '!$D615,[1]SO003!AH:AH)</f>
        <v>0</v>
      </c>
      <c r="AI615" s="21">
        <f>SUMIF([1]SO003!$H:$H,'SA007 2025.01-2026.05 '!$D615,[1]SO003!AJ:AJ)</f>
        <v>0</v>
      </c>
    </row>
    <row r="616" spans="1:35" x14ac:dyDescent="0.55000000000000004">
      <c r="A616" s="2" t="s">
        <v>460</v>
      </c>
      <c r="D616" s="22" t="s">
        <v>1159</v>
      </c>
      <c r="E616" s="2" t="s">
        <v>116</v>
      </c>
      <c r="F616" s="2" t="s">
        <v>116</v>
      </c>
      <c r="G616" s="3" t="s">
        <v>47</v>
      </c>
      <c r="H616" s="2" t="s">
        <v>402</v>
      </c>
      <c r="I616" s="17">
        <v>3.2</v>
      </c>
      <c r="J616" s="3">
        <v>95</v>
      </c>
      <c r="K616" s="3">
        <v>1219</v>
      </c>
      <c r="L616" s="18">
        <v>0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0</v>
      </c>
      <c r="Z616" s="18">
        <v>0</v>
      </c>
      <c r="AA616" s="18">
        <f>SUMIF([1]SA007!$C:$C,'SA007 2025.01-2026.05 '!$D616,[1]SA007!P:P)</f>
        <v>0</v>
      </c>
      <c r="AB616" s="18">
        <f>SUMIF([1]SA007!$C:$C,'SA007 2025.01-2026.05 '!$D616,[1]SA007!Q:Q)</f>
        <v>0</v>
      </c>
      <c r="AC616" s="19">
        <f t="shared" si="21"/>
        <v>0</v>
      </c>
      <c r="AD616" s="19">
        <f t="shared" si="22"/>
        <v>0</v>
      </c>
      <c r="AG616" s="21">
        <f>SUMIF([1]SO003!$H:$H,'SA007 2025.01-2026.05 '!$D616,[1]SO003!AF:AF)</f>
        <v>0</v>
      </c>
      <c r="AH616" s="21">
        <f>SUMIF([1]SO003!$H:$H,'SA007 2025.01-2026.05 '!$D616,[1]SO003!AH:AH)</f>
        <v>0</v>
      </c>
      <c r="AI616" s="21">
        <f>SUMIF([1]SO003!$H:$H,'SA007 2025.01-2026.05 '!$D616,[1]SO003!AJ:AJ)</f>
        <v>0</v>
      </c>
    </row>
    <row r="617" spans="1:35" x14ac:dyDescent="0.55000000000000004">
      <c r="A617" s="2" t="s">
        <v>1160</v>
      </c>
      <c r="D617" s="22" t="s">
        <v>1161</v>
      </c>
      <c r="E617" s="2" t="s">
        <v>116</v>
      </c>
      <c r="F617" s="2" t="s">
        <v>116</v>
      </c>
      <c r="G617" s="3" t="s">
        <v>47</v>
      </c>
      <c r="H617" s="2" t="s">
        <v>469</v>
      </c>
      <c r="I617" s="17">
        <v>2.6</v>
      </c>
      <c r="J617" s="3">
        <v>99</v>
      </c>
      <c r="K617" s="3">
        <v>1219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f>SUMIF([1]SA007!$C:$C,'SA007 2025.01-2026.05 '!$D617,[1]SA007!P:P)</f>
        <v>0</v>
      </c>
      <c r="AB617" s="18">
        <f>SUMIF([1]SA007!$C:$C,'SA007 2025.01-2026.05 '!$D617,[1]SA007!Q:Q)</f>
        <v>0</v>
      </c>
      <c r="AC617" s="19">
        <f t="shared" si="21"/>
        <v>0</v>
      </c>
      <c r="AD617" s="19">
        <f t="shared" si="22"/>
        <v>0</v>
      </c>
      <c r="AG617" s="21">
        <f>SUMIF([1]SO003!$H:$H,'SA007 2025.01-2026.05 '!$D617,[1]SO003!AF:AF)</f>
        <v>0</v>
      </c>
      <c r="AH617" s="21">
        <f>SUMIF([1]SO003!$H:$H,'SA007 2025.01-2026.05 '!$D617,[1]SO003!AH:AH)</f>
        <v>0</v>
      </c>
      <c r="AI617" s="21">
        <f>SUMIF([1]SO003!$H:$H,'SA007 2025.01-2026.05 '!$D617,[1]SO003!AJ:AJ)</f>
        <v>0</v>
      </c>
    </row>
    <row r="618" spans="1:35" x14ac:dyDescent="0.55000000000000004">
      <c r="A618" s="2" t="s">
        <v>1162</v>
      </c>
      <c r="D618" s="22" t="s">
        <v>1163</v>
      </c>
      <c r="E618" s="2" t="s">
        <v>116</v>
      </c>
      <c r="F618" s="2" t="s">
        <v>116</v>
      </c>
      <c r="G618" s="3" t="s">
        <v>47</v>
      </c>
      <c r="H618" s="2" t="s">
        <v>469</v>
      </c>
      <c r="I618" s="17">
        <v>3.2</v>
      </c>
      <c r="J618" s="3">
        <v>103</v>
      </c>
      <c r="K618" s="3">
        <v>1219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8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8">
        <v>0</v>
      </c>
      <c r="Z618" s="18">
        <v>0</v>
      </c>
      <c r="AA618" s="18">
        <f>SUMIF([1]SA007!$C:$C,'SA007 2025.01-2026.05 '!$D618,[1]SA007!P:P)</f>
        <v>0</v>
      </c>
      <c r="AB618" s="18">
        <f>SUMIF([1]SA007!$C:$C,'SA007 2025.01-2026.05 '!$D618,[1]SA007!Q:Q)</f>
        <v>0</v>
      </c>
      <c r="AC618" s="19">
        <f t="shared" si="21"/>
        <v>0</v>
      </c>
      <c r="AD618" s="19">
        <f t="shared" si="22"/>
        <v>0</v>
      </c>
      <c r="AG618" s="21">
        <f>SUMIF([1]SO003!$H:$H,'SA007 2025.01-2026.05 '!$D618,[1]SO003!AF:AF)</f>
        <v>0</v>
      </c>
      <c r="AH618" s="21">
        <f>SUMIF([1]SO003!$H:$H,'SA007 2025.01-2026.05 '!$D618,[1]SO003!AH:AH)</f>
        <v>0</v>
      </c>
      <c r="AI618" s="21">
        <f>SUMIF([1]SO003!$H:$H,'SA007 2025.01-2026.05 '!$D618,[1]SO003!AJ:AJ)</f>
        <v>0</v>
      </c>
    </row>
    <row r="619" spans="1:35" x14ac:dyDescent="0.55000000000000004">
      <c r="A619" s="2" t="s">
        <v>1164</v>
      </c>
      <c r="D619" s="22" t="s">
        <v>1165</v>
      </c>
      <c r="E619" s="2" t="s">
        <v>116</v>
      </c>
      <c r="F619" s="2" t="s">
        <v>116</v>
      </c>
      <c r="G619" s="3" t="s">
        <v>47</v>
      </c>
      <c r="H619" s="2" t="s">
        <v>1149</v>
      </c>
      <c r="I619" s="17">
        <v>4.5</v>
      </c>
      <c r="J619" s="3">
        <v>104</v>
      </c>
      <c r="K619" s="3">
        <v>1219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f>SUMIF([1]SA007!$C:$C,'SA007 2025.01-2026.05 '!$D619,[1]SA007!P:P)</f>
        <v>0</v>
      </c>
      <c r="AB619" s="18">
        <f>SUMIF([1]SA007!$C:$C,'SA007 2025.01-2026.05 '!$D619,[1]SA007!Q:Q)</f>
        <v>0</v>
      </c>
      <c r="AC619" s="19">
        <f t="shared" si="21"/>
        <v>0</v>
      </c>
      <c r="AD619" s="19">
        <f t="shared" si="22"/>
        <v>0</v>
      </c>
      <c r="AG619" s="21">
        <f>SUMIF([1]SO003!$H:$H,'SA007 2025.01-2026.05 '!$D619,[1]SO003!AF:AF)</f>
        <v>0</v>
      </c>
      <c r="AH619" s="21">
        <f>SUMIF([1]SO003!$H:$H,'SA007 2025.01-2026.05 '!$D619,[1]SO003!AH:AH)</f>
        <v>0</v>
      </c>
      <c r="AI619" s="21">
        <f>SUMIF([1]SO003!$H:$H,'SA007 2025.01-2026.05 '!$D619,[1]SO003!AJ:AJ)</f>
        <v>0</v>
      </c>
    </row>
    <row r="620" spans="1:35" x14ac:dyDescent="0.55000000000000004">
      <c r="A620" s="2" t="s">
        <v>361</v>
      </c>
      <c r="D620" s="22" t="s">
        <v>1166</v>
      </c>
      <c r="E620" s="2" t="s">
        <v>116</v>
      </c>
      <c r="F620" s="2" t="s">
        <v>116</v>
      </c>
      <c r="G620" s="3" t="s">
        <v>47</v>
      </c>
      <c r="H620" s="2" t="s">
        <v>402</v>
      </c>
      <c r="I620" s="17">
        <v>4.5</v>
      </c>
      <c r="J620" s="3">
        <v>105</v>
      </c>
      <c r="K620" s="3">
        <v>1219</v>
      </c>
      <c r="L620" s="18">
        <v>0</v>
      </c>
      <c r="M620" s="18">
        <v>0</v>
      </c>
      <c r="N620" s="18">
        <v>0</v>
      </c>
      <c r="O620" s="18">
        <v>0</v>
      </c>
      <c r="P620" s="18">
        <v>0</v>
      </c>
      <c r="Q620" s="18">
        <v>0</v>
      </c>
      <c r="R620" s="18">
        <v>0</v>
      </c>
      <c r="S620" s="18">
        <v>0</v>
      </c>
      <c r="T620" s="18">
        <v>0</v>
      </c>
      <c r="U620" s="18">
        <v>0</v>
      </c>
      <c r="V620" s="18">
        <v>0</v>
      </c>
      <c r="W620" s="18">
        <v>0</v>
      </c>
      <c r="X620" s="18">
        <v>0</v>
      </c>
      <c r="Y620" s="18">
        <v>0</v>
      </c>
      <c r="Z620" s="18">
        <v>0</v>
      </c>
      <c r="AA620" s="18">
        <f>SUMIF([1]SA007!$C:$C,'SA007 2025.01-2026.05 '!$D620,[1]SA007!P:P)</f>
        <v>0</v>
      </c>
      <c r="AB620" s="18">
        <f>SUMIF([1]SA007!$C:$C,'SA007 2025.01-2026.05 '!$D620,[1]SA007!Q:Q)</f>
        <v>0</v>
      </c>
      <c r="AC620" s="19">
        <f t="shared" si="21"/>
        <v>0</v>
      </c>
      <c r="AD620" s="19">
        <f t="shared" si="22"/>
        <v>0</v>
      </c>
      <c r="AG620" s="21">
        <f>SUMIF([1]SO003!$H:$H,'SA007 2025.01-2026.05 '!$D620,[1]SO003!AF:AF)</f>
        <v>0</v>
      </c>
      <c r="AH620" s="21">
        <f>SUMIF([1]SO003!$H:$H,'SA007 2025.01-2026.05 '!$D620,[1]SO003!AH:AH)</f>
        <v>0</v>
      </c>
      <c r="AI620" s="21">
        <f>SUMIF([1]SO003!$H:$H,'SA007 2025.01-2026.05 '!$D620,[1]SO003!AJ:AJ)</f>
        <v>0</v>
      </c>
    </row>
    <row r="621" spans="1:35" x14ac:dyDescent="0.55000000000000004">
      <c r="A621" s="2" t="s">
        <v>460</v>
      </c>
      <c r="D621" s="22" t="s">
        <v>1167</v>
      </c>
      <c r="E621" s="2" t="s">
        <v>116</v>
      </c>
      <c r="F621" s="2" t="s">
        <v>116</v>
      </c>
      <c r="G621" s="3" t="s">
        <v>47</v>
      </c>
      <c r="H621" s="2" t="s">
        <v>402</v>
      </c>
      <c r="I621" s="17">
        <v>3.2</v>
      </c>
      <c r="J621" s="3">
        <v>107</v>
      </c>
      <c r="K621" s="3">
        <v>1219</v>
      </c>
      <c r="L621" s="18">
        <v>0</v>
      </c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8">
        <v>0</v>
      </c>
      <c r="S621" s="18">
        <v>0</v>
      </c>
      <c r="T621" s="18">
        <v>0</v>
      </c>
      <c r="U621" s="18">
        <v>0</v>
      </c>
      <c r="V621" s="18">
        <v>0</v>
      </c>
      <c r="W621" s="18">
        <v>0</v>
      </c>
      <c r="X621" s="18">
        <v>0</v>
      </c>
      <c r="Y621" s="18">
        <v>0</v>
      </c>
      <c r="Z621" s="18">
        <v>0</v>
      </c>
      <c r="AA621" s="18">
        <f>SUMIF([1]SA007!$C:$C,'SA007 2025.01-2026.05 '!$D621,[1]SA007!P:P)</f>
        <v>0</v>
      </c>
      <c r="AB621" s="18">
        <f>SUMIF([1]SA007!$C:$C,'SA007 2025.01-2026.05 '!$D621,[1]SA007!Q:Q)</f>
        <v>0</v>
      </c>
      <c r="AC621" s="19">
        <f t="shared" si="21"/>
        <v>0</v>
      </c>
      <c r="AD621" s="19">
        <f t="shared" si="22"/>
        <v>0</v>
      </c>
      <c r="AG621" s="21">
        <f>SUMIF([1]SO003!$H:$H,'SA007 2025.01-2026.05 '!$D621,[1]SO003!AF:AF)</f>
        <v>0</v>
      </c>
      <c r="AH621" s="21">
        <f>SUMIF([1]SO003!$H:$H,'SA007 2025.01-2026.05 '!$D621,[1]SO003!AH:AH)</f>
        <v>0</v>
      </c>
      <c r="AI621" s="21">
        <f>SUMIF([1]SO003!$H:$H,'SA007 2025.01-2026.05 '!$D621,[1]SO003!AJ:AJ)</f>
        <v>0</v>
      </c>
    </row>
    <row r="622" spans="1:35" x14ac:dyDescent="0.55000000000000004">
      <c r="A622" s="2" t="s">
        <v>467</v>
      </c>
      <c r="D622" s="22" t="s">
        <v>1168</v>
      </c>
      <c r="E622" s="2" t="s">
        <v>116</v>
      </c>
      <c r="F622" s="2" t="s">
        <v>116</v>
      </c>
      <c r="G622" s="3" t="s">
        <v>47</v>
      </c>
      <c r="H622" s="2" t="s">
        <v>469</v>
      </c>
      <c r="I622" s="17">
        <v>4</v>
      </c>
      <c r="J622" s="3">
        <v>108</v>
      </c>
      <c r="K622" s="3">
        <v>1219</v>
      </c>
      <c r="L622" s="18">
        <v>0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8">
        <v>0</v>
      </c>
      <c r="S622" s="18">
        <v>0</v>
      </c>
      <c r="T622" s="18">
        <v>0</v>
      </c>
      <c r="U622" s="18">
        <v>0</v>
      </c>
      <c r="V622" s="18">
        <v>0</v>
      </c>
      <c r="W622" s="18">
        <v>0</v>
      </c>
      <c r="X622" s="18">
        <v>0</v>
      </c>
      <c r="Y622" s="18">
        <v>0</v>
      </c>
      <c r="Z622" s="18">
        <v>0</v>
      </c>
      <c r="AA622" s="18">
        <f>SUMIF([1]SA007!$C:$C,'SA007 2025.01-2026.05 '!$D622,[1]SA007!P:P)</f>
        <v>0</v>
      </c>
      <c r="AB622" s="18">
        <f>SUMIF([1]SA007!$C:$C,'SA007 2025.01-2026.05 '!$D622,[1]SA007!Q:Q)</f>
        <v>0</v>
      </c>
      <c r="AC622" s="19">
        <f t="shared" si="21"/>
        <v>0</v>
      </c>
      <c r="AD622" s="19">
        <f t="shared" si="22"/>
        <v>0</v>
      </c>
      <c r="AG622" s="21">
        <f>SUMIF([1]SO003!$H:$H,'SA007 2025.01-2026.05 '!$D622,[1]SO003!AF:AF)</f>
        <v>0</v>
      </c>
      <c r="AH622" s="21">
        <f>SUMIF([1]SO003!$H:$H,'SA007 2025.01-2026.05 '!$D622,[1]SO003!AH:AH)</f>
        <v>0</v>
      </c>
      <c r="AI622" s="21">
        <f>SUMIF([1]SO003!$H:$H,'SA007 2025.01-2026.05 '!$D622,[1]SO003!AJ:AJ)</f>
        <v>0</v>
      </c>
    </row>
    <row r="623" spans="1:35" x14ac:dyDescent="0.55000000000000004">
      <c r="A623" s="2" t="s">
        <v>460</v>
      </c>
      <c r="D623" s="22" t="s">
        <v>1169</v>
      </c>
      <c r="E623" s="2" t="s">
        <v>116</v>
      </c>
      <c r="F623" s="2" t="s">
        <v>116</v>
      </c>
      <c r="G623" s="3" t="s">
        <v>47</v>
      </c>
      <c r="H623" s="2" t="s">
        <v>402</v>
      </c>
      <c r="I623" s="17">
        <v>3.2</v>
      </c>
      <c r="J623" s="3">
        <v>115</v>
      </c>
      <c r="K623" s="3">
        <v>1219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8">
        <v>0</v>
      </c>
      <c r="S623" s="18">
        <v>0</v>
      </c>
      <c r="T623" s="18">
        <v>0</v>
      </c>
      <c r="U623" s="18">
        <v>0</v>
      </c>
      <c r="V623" s="18">
        <v>0</v>
      </c>
      <c r="W623" s="18">
        <v>0</v>
      </c>
      <c r="X623" s="18">
        <v>0</v>
      </c>
      <c r="Y623" s="18">
        <v>0</v>
      </c>
      <c r="Z623" s="18">
        <v>0</v>
      </c>
      <c r="AA623" s="18">
        <f>SUMIF([1]SA007!$C:$C,'SA007 2025.01-2026.05 '!$D623,[1]SA007!P:P)</f>
        <v>0</v>
      </c>
      <c r="AB623" s="18">
        <f>SUMIF([1]SA007!$C:$C,'SA007 2025.01-2026.05 '!$D623,[1]SA007!Q:Q)</f>
        <v>0</v>
      </c>
      <c r="AC623" s="19">
        <f t="shared" si="21"/>
        <v>0</v>
      </c>
      <c r="AD623" s="19">
        <f t="shared" si="22"/>
        <v>0</v>
      </c>
      <c r="AG623" s="21">
        <f>SUMIF([1]SO003!$H:$H,'SA007 2025.01-2026.05 '!$D623,[1]SO003!AF:AF)</f>
        <v>0</v>
      </c>
      <c r="AH623" s="21">
        <f>SUMIF([1]SO003!$H:$H,'SA007 2025.01-2026.05 '!$D623,[1]SO003!AH:AH)</f>
        <v>0</v>
      </c>
      <c r="AI623" s="21">
        <f>SUMIF([1]SO003!$H:$H,'SA007 2025.01-2026.05 '!$D623,[1]SO003!AJ:AJ)</f>
        <v>0</v>
      </c>
    </row>
    <row r="624" spans="1:35" x14ac:dyDescent="0.55000000000000004">
      <c r="A624" s="2" t="s">
        <v>467</v>
      </c>
      <c r="D624" s="22" t="s">
        <v>1170</v>
      </c>
      <c r="E624" s="2" t="s">
        <v>116</v>
      </c>
      <c r="F624" s="2" t="s">
        <v>116</v>
      </c>
      <c r="G624" s="3" t="s">
        <v>47</v>
      </c>
      <c r="H624" s="2" t="s">
        <v>469</v>
      </c>
      <c r="I624" s="17">
        <v>4</v>
      </c>
      <c r="J624" s="3">
        <v>118</v>
      </c>
      <c r="K624" s="3">
        <v>1219</v>
      </c>
      <c r="L624" s="18">
        <v>0</v>
      </c>
      <c r="M624" s="18">
        <v>0</v>
      </c>
      <c r="N624" s="18">
        <v>0</v>
      </c>
      <c r="O624" s="18">
        <v>0</v>
      </c>
      <c r="P624" s="18">
        <v>0</v>
      </c>
      <c r="Q624" s="18">
        <v>0</v>
      </c>
      <c r="R624" s="18">
        <v>0</v>
      </c>
      <c r="S624" s="18">
        <v>0</v>
      </c>
      <c r="T624" s="18">
        <v>0</v>
      </c>
      <c r="U624" s="18">
        <v>0</v>
      </c>
      <c r="V624" s="18">
        <v>0</v>
      </c>
      <c r="W624" s="18">
        <v>0</v>
      </c>
      <c r="X624" s="18">
        <v>0</v>
      </c>
      <c r="Y624" s="18">
        <v>0</v>
      </c>
      <c r="Z624" s="18">
        <v>0</v>
      </c>
      <c r="AA624" s="18">
        <f>SUMIF([1]SA007!$C:$C,'SA007 2025.01-2026.05 '!$D624,[1]SA007!P:P)</f>
        <v>0</v>
      </c>
      <c r="AB624" s="18">
        <f>SUMIF([1]SA007!$C:$C,'SA007 2025.01-2026.05 '!$D624,[1]SA007!Q:Q)</f>
        <v>0</v>
      </c>
      <c r="AC624" s="19">
        <f t="shared" si="21"/>
        <v>0</v>
      </c>
      <c r="AD624" s="19">
        <f t="shared" si="22"/>
        <v>0</v>
      </c>
      <c r="AG624" s="21">
        <f>SUMIF([1]SO003!$H:$H,'SA007 2025.01-2026.05 '!$D624,[1]SO003!AF:AF)</f>
        <v>0</v>
      </c>
      <c r="AH624" s="21">
        <f>SUMIF([1]SO003!$H:$H,'SA007 2025.01-2026.05 '!$D624,[1]SO003!AH:AH)</f>
        <v>0</v>
      </c>
      <c r="AI624" s="21">
        <f>SUMIF([1]SO003!$H:$H,'SA007 2025.01-2026.05 '!$D624,[1]SO003!AJ:AJ)</f>
        <v>0</v>
      </c>
    </row>
    <row r="625" spans="1:35" x14ac:dyDescent="0.55000000000000004">
      <c r="A625" s="2" t="s">
        <v>475</v>
      </c>
      <c r="D625" s="22" t="s">
        <v>1171</v>
      </c>
      <c r="E625" s="2" t="s">
        <v>116</v>
      </c>
      <c r="F625" s="2" t="s">
        <v>116</v>
      </c>
      <c r="G625" s="3" t="s">
        <v>47</v>
      </c>
      <c r="H625" s="2" t="s">
        <v>402</v>
      </c>
      <c r="I625" s="17">
        <v>4</v>
      </c>
      <c r="J625" s="3">
        <v>122</v>
      </c>
      <c r="K625" s="3">
        <v>1219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8">
        <v>0</v>
      </c>
      <c r="R625" s="18">
        <v>0</v>
      </c>
      <c r="S625" s="18">
        <v>0</v>
      </c>
      <c r="T625" s="18">
        <v>0</v>
      </c>
      <c r="U625" s="18">
        <v>0</v>
      </c>
      <c r="V625" s="18">
        <v>0</v>
      </c>
      <c r="W625" s="18">
        <v>0</v>
      </c>
      <c r="X625" s="18">
        <v>0</v>
      </c>
      <c r="Y625" s="18">
        <v>0</v>
      </c>
      <c r="Z625" s="18">
        <v>0</v>
      </c>
      <c r="AA625" s="18">
        <f>SUMIF([1]SA007!$C:$C,'SA007 2025.01-2026.05 '!$D625,[1]SA007!P:P)</f>
        <v>0</v>
      </c>
      <c r="AB625" s="18">
        <f>SUMIF([1]SA007!$C:$C,'SA007 2025.01-2026.05 '!$D625,[1]SA007!Q:Q)</f>
        <v>0</v>
      </c>
      <c r="AC625" s="19">
        <f t="shared" si="21"/>
        <v>0</v>
      </c>
      <c r="AD625" s="19">
        <f t="shared" si="22"/>
        <v>0</v>
      </c>
      <c r="AG625" s="21">
        <f>SUMIF([1]SO003!$H:$H,'SA007 2025.01-2026.05 '!$D625,[1]SO003!AF:AF)</f>
        <v>0</v>
      </c>
      <c r="AH625" s="21">
        <f>SUMIF([1]SO003!$H:$H,'SA007 2025.01-2026.05 '!$D625,[1]SO003!AH:AH)</f>
        <v>0</v>
      </c>
      <c r="AI625" s="21">
        <f>SUMIF([1]SO003!$H:$H,'SA007 2025.01-2026.05 '!$D625,[1]SO003!AJ:AJ)</f>
        <v>0</v>
      </c>
    </row>
    <row r="626" spans="1:35" x14ac:dyDescent="0.55000000000000004">
      <c r="A626" s="2" t="s">
        <v>475</v>
      </c>
      <c r="D626" s="22" t="s">
        <v>1172</v>
      </c>
      <c r="E626" s="2" t="s">
        <v>116</v>
      </c>
      <c r="F626" s="2" t="s">
        <v>116</v>
      </c>
      <c r="G626" s="3" t="s">
        <v>47</v>
      </c>
      <c r="H626" s="2" t="s">
        <v>402</v>
      </c>
      <c r="I626" s="17">
        <v>4</v>
      </c>
      <c r="J626" s="3">
        <v>132</v>
      </c>
      <c r="K626" s="3">
        <v>1219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0</v>
      </c>
      <c r="T626" s="18">
        <v>0</v>
      </c>
      <c r="U626" s="18">
        <v>0</v>
      </c>
      <c r="V626" s="18">
        <v>0</v>
      </c>
      <c r="W626" s="18">
        <v>0</v>
      </c>
      <c r="X626" s="18">
        <v>0</v>
      </c>
      <c r="Y626" s="18">
        <v>0</v>
      </c>
      <c r="Z626" s="18">
        <v>0</v>
      </c>
      <c r="AA626" s="18">
        <f>SUMIF([1]SA007!$C:$C,'SA007 2025.01-2026.05 '!$D626,[1]SA007!P:P)</f>
        <v>0</v>
      </c>
      <c r="AB626" s="18">
        <f>SUMIF([1]SA007!$C:$C,'SA007 2025.01-2026.05 '!$D626,[1]SA007!Q:Q)</f>
        <v>0</v>
      </c>
      <c r="AC626" s="19">
        <f t="shared" si="21"/>
        <v>0</v>
      </c>
      <c r="AD626" s="19">
        <f t="shared" si="22"/>
        <v>0</v>
      </c>
      <c r="AG626" s="21">
        <f>SUMIF([1]SO003!$H:$H,'SA007 2025.01-2026.05 '!$D626,[1]SO003!AF:AF)</f>
        <v>0</v>
      </c>
      <c r="AH626" s="21">
        <f>SUMIF([1]SO003!$H:$H,'SA007 2025.01-2026.05 '!$D626,[1]SO003!AH:AH)</f>
        <v>0</v>
      </c>
      <c r="AI626" s="21">
        <f>SUMIF([1]SO003!$H:$H,'SA007 2025.01-2026.05 '!$D626,[1]SO003!AJ:AJ)</f>
        <v>0</v>
      </c>
    </row>
    <row r="627" spans="1:35" x14ac:dyDescent="0.55000000000000004">
      <c r="A627" s="2" t="s">
        <v>1080</v>
      </c>
      <c r="D627" s="22" t="s">
        <v>1173</v>
      </c>
      <c r="E627" s="2" t="s">
        <v>116</v>
      </c>
      <c r="F627" s="2" t="s">
        <v>116</v>
      </c>
      <c r="G627" s="3" t="s">
        <v>47</v>
      </c>
      <c r="H627" s="2" t="s">
        <v>402</v>
      </c>
      <c r="I627" s="17">
        <v>2.9</v>
      </c>
      <c r="J627" s="3">
        <v>135</v>
      </c>
      <c r="K627" s="3">
        <v>1219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8">
        <v>0</v>
      </c>
      <c r="R627" s="18">
        <v>0</v>
      </c>
      <c r="S627" s="18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f>SUMIF([1]SA007!$C:$C,'SA007 2025.01-2026.05 '!$D627,[1]SA007!P:P)</f>
        <v>0</v>
      </c>
      <c r="AB627" s="18">
        <f>SUMIF([1]SA007!$C:$C,'SA007 2025.01-2026.05 '!$D627,[1]SA007!Q:Q)</f>
        <v>0</v>
      </c>
      <c r="AC627" s="19">
        <f t="shared" si="21"/>
        <v>0</v>
      </c>
      <c r="AD627" s="19">
        <f t="shared" si="22"/>
        <v>0</v>
      </c>
      <c r="AG627" s="21">
        <f>SUMIF([1]SO003!$H:$H,'SA007 2025.01-2026.05 '!$D627,[1]SO003!AF:AF)</f>
        <v>0</v>
      </c>
      <c r="AH627" s="21">
        <f>SUMIF([1]SO003!$H:$H,'SA007 2025.01-2026.05 '!$D627,[1]SO003!AH:AH)</f>
        <v>0</v>
      </c>
      <c r="AI627" s="21">
        <f>SUMIF([1]SO003!$H:$H,'SA007 2025.01-2026.05 '!$D627,[1]SO003!AJ:AJ)</f>
        <v>0</v>
      </c>
    </row>
    <row r="628" spans="1:35" x14ac:dyDescent="0.55000000000000004">
      <c r="A628" s="2" t="s">
        <v>507</v>
      </c>
      <c r="D628" s="22">
        <v>30022171</v>
      </c>
      <c r="E628" s="2" t="s">
        <v>116</v>
      </c>
      <c r="F628" s="2" t="s">
        <v>116</v>
      </c>
      <c r="G628" s="3" t="s">
        <v>47</v>
      </c>
      <c r="H628" s="2" t="s">
        <v>402</v>
      </c>
      <c r="I628" s="17">
        <v>6</v>
      </c>
      <c r="J628" s="3">
        <v>138</v>
      </c>
      <c r="K628" s="3">
        <v>1219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8">
        <v>0</v>
      </c>
      <c r="S628" s="18">
        <v>0</v>
      </c>
      <c r="T628" s="18">
        <v>0</v>
      </c>
      <c r="U628" s="18">
        <v>0</v>
      </c>
      <c r="V628" s="18">
        <v>0</v>
      </c>
      <c r="W628" s="18">
        <v>0</v>
      </c>
      <c r="X628" s="18">
        <v>0</v>
      </c>
      <c r="Y628" s="18">
        <v>0</v>
      </c>
      <c r="Z628" s="18">
        <v>0</v>
      </c>
      <c r="AA628" s="18">
        <f>SUMIF([1]SA007!$C:$C,'SA007 2025.01-2026.05 '!$D628,[1]SA007!P:P)</f>
        <v>0</v>
      </c>
      <c r="AB628" s="18">
        <f>SUMIF([1]SA007!$C:$C,'SA007 2025.01-2026.05 '!$D628,[1]SA007!Q:Q)</f>
        <v>0</v>
      </c>
      <c r="AC628" s="19">
        <f t="shared" si="21"/>
        <v>0</v>
      </c>
      <c r="AD628" s="19">
        <f t="shared" si="22"/>
        <v>0</v>
      </c>
      <c r="AG628" s="21">
        <f>SUMIF([1]SO003!$H:$H,'SA007 2025.01-2026.05 '!$D628,[1]SO003!AF:AF)</f>
        <v>0</v>
      </c>
      <c r="AH628" s="21">
        <f>SUMIF([1]SO003!$H:$H,'SA007 2025.01-2026.05 '!$D628,[1]SO003!AH:AH)</f>
        <v>0</v>
      </c>
      <c r="AI628" s="21">
        <f>SUMIF([1]SO003!$H:$H,'SA007 2025.01-2026.05 '!$D628,[1]SO003!AJ:AJ)</f>
        <v>0</v>
      </c>
    </row>
    <row r="629" spans="1:35" x14ac:dyDescent="0.55000000000000004">
      <c r="A629" s="2" t="s">
        <v>433</v>
      </c>
      <c r="D629" s="22" t="s">
        <v>1174</v>
      </c>
      <c r="E629" s="2" t="s">
        <v>116</v>
      </c>
      <c r="F629" s="2" t="s">
        <v>116</v>
      </c>
      <c r="G629" s="3" t="s">
        <v>47</v>
      </c>
      <c r="H629" s="2" t="s">
        <v>402</v>
      </c>
      <c r="I629" s="17">
        <v>2.6</v>
      </c>
      <c r="J629" s="3">
        <v>142</v>
      </c>
      <c r="K629" s="3">
        <v>1219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8">
        <v>0</v>
      </c>
      <c r="R629" s="18">
        <v>0</v>
      </c>
      <c r="S629" s="18">
        <v>0</v>
      </c>
      <c r="T629" s="18">
        <v>0</v>
      </c>
      <c r="U629" s="18">
        <v>0</v>
      </c>
      <c r="V629" s="18">
        <v>0</v>
      </c>
      <c r="W629" s="18">
        <v>0</v>
      </c>
      <c r="X629" s="18">
        <v>0</v>
      </c>
      <c r="Y629" s="18">
        <v>0</v>
      </c>
      <c r="Z629" s="18">
        <v>0</v>
      </c>
      <c r="AA629" s="18">
        <f>SUMIF([1]SA007!$C:$C,'SA007 2025.01-2026.05 '!$D629,[1]SA007!P:P)</f>
        <v>0</v>
      </c>
      <c r="AB629" s="18">
        <f>SUMIF([1]SA007!$C:$C,'SA007 2025.01-2026.05 '!$D629,[1]SA007!Q:Q)</f>
        <v>0</v>
      </c>
      <c r="AC629" s="19">
        <f t="shared" si="21"/>
        <v>0</v>
      </c>
      <c r="AD629" s="19">
        <f t="shared" si="22"/>
        <v>0</v>
      </c>
      <c r="AG629" s="21">
        <f>SUMIF([1]SO003!$H:$H,'SA007 2025.01-2026.05 '!$D629,[1]SO003!AF:AF)</f>
        <v>0</v>
      </c>
      <c r="AH629" s="21">
        <f>SUMIF([1]SO003!$H:$H,'SA007 2025.01-2026.05 '!$D629,[1]SO003!AH:AH)</f>
        <v>0</v>
      </c>
      <c r="AI629" s="21">
        <f>SUMIF([1]SO003!$H:$H,'SA007 2025.01-2026.05 '!$D629,[1]SO003!AJ:AJ)</f>
        <v>0</v>
      </c>
    </row>
    <row r="630" spans="1:35" x14ac:dyDescent="0.55000000000000004">
      <c r="A630" s="2" t="s">
        <v>43</v>
      </c>
      <c r="D630" s="22" t="s">
        <v>1175</v>
      </c>
      <c r="E630" s="2" t="s">
        <v>116</v>
      </c>
      <c r="F630" s="2" t="s">
        <v>116</v>
      </c>
      <c r="G630" s="3" t="s">
        <v>47</v>
      </c>
      <c r="H630" s="2" t="s">
        <v>751</v>
      </c>
      <c r="I630" s="17">
        <v>2</v>
      </c>
      <c r="J630" s="3">
        <v>152</v>
      </c>
      <c r="K630" s="3">
        <v>1219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8">
        <v>0</v>
      </c>
      <c r="Y630" s="18">
        <v>0</v>
      </c>
      <c r="Z630" s="18">
        <v>0</v>
      </c>
      <c r="AA630" s="18">
        <f>SUMIF([1]SA007!$C:$C,'SA007 2025.01-2026.05 '!$D630,[1]SA007!P:P)</f>
        <v>0</v>
      </c>
      <c r="AB630" s="18">
        <f>SUMIF([1]SA007!$C:$C,'SA007 2025.01-2026.05 '!$D630,[1]SA007!Q:Q)</f>
        <v>0</v>
      </c>
      <c r="AC630" s="19">
        <f t="shared" si="21"/>
        <v>0</v>
      </c>
      <c r="AD630" s="19">
        <f t="shared" si="22"/>
        <v>0</v>
      </c>
      <c r="AG630" s="21">
        <f>SUMIF([1]SO003!$H:$H,'SA007 2025.01-2026.05 '!$D630,[1]SO003!AF:AF)</f>
        <v>0</v>
      </c>
      <c r="AH630" s="21">
        <f>SUMIF([1]SO003!$H:$H,'SA007 2025.01-2026.05 '!$D630,[1]SO003!AH:AH)</f>
        <v>0</v>
      </c>
      <c r="AI630" s="21">
        <f>SUMIF([1]SO003!$H:$H,'SA007 2025.01-2026.05 '!$D630,[1]SO003!AJ:AJ)</f>
        <v>0</v>
      </c>
    </row>
    <row r="631" spans="1:35" x14ac:dyDescent="0.55000000000000004">
      <c r="A631" s="2" t="s">
        <v>1143</v>
      </c>
      <c r="D631" s="22" t="s">
        <v>1176</v>
      </c>
      <c r="E631" s="2" t="s">
        <v>116</v>
      </c>
      <c r="F631" s="2" t="s">
        <v>116</v>
      </c>
      <c r="G631" s="3" t="s">
        <v>63</v>
      </c>
      <c r="H631" s="2" t="s">
        <v>1145</v>
      </c>
      <c r="I631" s="17">
        <v>1.4</v>
      </c>
      <c r="J631" s="3">
        <v>160</v>
      </c>
      <c r="K631" s="3">
        <v>1219</v>
      </c>
      <c r="L631" s="18">
        <v>427</v>
      </c>
      <c r="M631" s="18">
        <v>637</v>
      </c>
      <c r="N631" s="18">
        <v>0</v>
      </c>
      <c r="O631" s="18">
        <v>0</v>
      </c>
      <c r="P631" s="18">
        <v>0</v>
      </c>
      <c r="Q631" s="18">
        <v>0</v>
      </c>
      <c r="R631" s="18">
        <v>0</v>
      </c>
      <c r="S631" s="18">
        <v>268</v>
      </c>
      <c r="T631" s="18">
        <v>0</v>
      </c>
      <c r="U631" s="18">
        <v>0</v>
      </c>
      <c r="V631" s="18">
        <v>0</v>
      </c>
      <c r="W631" s="18">
        <v>257</v>
      </c>
      <c r="X631" s="18">
        <v>0</v>
      </c>
      <c r="Y631" s="18">
        <v>344</v>
      </c>
      <c r="Z631" s="18">
        <v>0</v>
      </c>
      <c r="AA631" s="18">
        <f>SUMIF([1]SA007!$C:$C,'SA007 2025.01-2026.05 '!$D631,[1]SA007!P:P)</f>
        <v>0</v>
      </c>
      <c r="AB631" s="18">
        <f>SUMIF([1]SA007!$C:$C,'SA007 2025.01-2026.05 '!$D631,[1]SA007!Q:Q)</f>
        <v>294</v>
      </c>
      <c r="AC631" s="19">
        <f t="shared" si="21"/>
        <v>2227</v>
      </c>
      <c r="AD631" s="19">
        <f t="shared" si="22"/>
        <v>131</v>
      </c>
      <c r="AG631" s="21">
        <f>SUMIF([1]SO003!$H:$H,'SA007 2025.01-2026.05 '!$D631,[1]SO003!AF:AF)</f>
        <v>0</v>
      </c>
      <c r="AH631" s="21">
        <f>SUMIF([1]SO003!$H:$H,'SA007 2025.01-2026.05 '!$D631,[1]SO003!AH:AH)</f>
        <v>0</v>
      </c>
      <c r="AI631" s="21">
        <f>SUMIF([1]SO003!$H:$H,'SA007 2025.01-2026.05 '!$D631,[1]SO003!AJ:AJ)</f>
        <v>0</v>
      </c>
    </row>
    <row r="632" spans="1:35" x14ac:dyDescent="0.55000000000000004">
      <c r="A632" s="2" t="s">
        <v>433</v>
      </c>
      <c r="D632" s="22" t="s">
        <v>1177</v>
      </c>
      <c r="E632" s="2" t="s">
        <v>116</v>
      </c>
      <c r="F632" s="2" t="s">
        <v>116</v>
      </c>
      <c r="G632" s="3" t="s">
        <v>47</v>
      </c>
      <c r="H632" s="2" t="s">
        <v>402</v>
      </c>
      <c r="I632" s="17">
        <v>2.6</v>
      </c>
      <c r="J632" s="3">
        <v>166</v>
      </c>
      <c r="K632" s="3">
        <v>1219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8">
        <v>0</v>
      </c>
      <c r="R632" s="18">
        <v>0</v>
      </c>
      <c r="S632" s="18">
        <v>0</v>
      </c>
      <c r="T632" s="18">
        <v>0</v>
      </c>
      <c r="U632" s="18">
        <v>0</v>
      </c>
      <c r="V632" s="18">
        <v>0</v>
      </c>
      <c r="W632" s="18">
        <v>0</v>
      </c>
      <c r="X632" s="18">
        <v>0</v>
      </c>
      <c r="Y632" s="18">
        <v>0</v>
      </c>
      <c r="Z632" s="18">
        <v>0</v>
      </c>
      <c r="AA632" s="18">
        <f>SUMIF([1]SA007!$C:$C,'SA007 2025.01-2026.05 '!$D632,[1]SA007!P:P)</f>
        <v>0</v>
      </c>
      <c r="AB632" s="18">
        <f>SUMIF([1]SA007!$C:$C,'SA007 2025.01-2026.05 '!$D632,[1]SA007!Q:Q)</f>
        <v>0</v>
      </c>
      <c r="AC632" s="19">
        <f t="shared" si="21"/>
        <v>0</v>
      </c>
      <c r="AD632" s="19">
        <f t="shared" si="22"/>
        <v>0</v>
      </c>
      <c r="AG632" s="21">
        <f>SUMIF([1]SO003!$H:$H,'SA007 2025.01-2026.05 '!$D632,[1]SO003!AF:AF)</f>
        <v>0</v>
      </c>
      <c r="AH632" s="21">
        <f>SUMIF([1]SO003!$H:$H,'SA007 2025.01-2026.05 '!$D632,[1]SO003!AH:AH)</f>
        <v>0</v>
      </c>
      <c r="AI632" s="21">
        <f>SUMIF([1]SO003!$H:$H,'SA007 2025.01-2026.05 '!$D632,[1]SO003!AJ:AJ)</f>
        <v>0</v>
      </c>
    </row>
    <row r="633" spans="1:35" x14ac:dyDescent="0.55000000000000004">
      <c r="A633" s="2" t="s">
        <v>507</v>
      </c>
      <c r="D633" s="22" t="s">
        <v>1178</v>
      </c>
      <c r="E633" s="2" t="s">
        <v>116</v>
      </c>
      <c r="F633" s="2" t="s">
        <v>116</v>
      </c>
      <c r="G633" s="3" t="s">
        <v>47</v>
      </c>
      <c r="H633" s="2" t="s">
        <v>402</v>
      </c>
      <c r="I633" s="17">
        <v>6</v>
      </c>
      <c r="J633" s="3">
        <v>172</v>
      </c>
      <c r="K633" s="3">
        <v>1219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8">
        <v>0</v>
      </c>
      <c r="R633" s="18">
        <v>0</v>
      </c>
      <c r="S633" s="18">
        <v>0</v>
      </c>
      <c r="T633" s="18">
        <v>0</v>
      </c>
      <c r="U633" s="18">
        <v>0</v>
      </c>
      <c r="V633" s="18">
        <v>0</v>
      </c>
      <c r="W633" s="18">
        <v>0</v>
      </c>
      <c r="X633" s="18">
        <v>0</v>
      </c>
      <c r="Y633" s="18">
        <v>0</v>
      </c>
      <c r="Z633" s="18">
        <v>0</v>
      </c>
      <c r="AA633" s="18">
        <f>SUMIF([1]SA007!$C:$C,'SA007 2025.01-2026.05 '!$D633,[1]SA007!P:P)</f>
        <v>0</v>
      </c>
      <c r="AB633" s="18">
        <f>SUMIF([1]SA007!$C:$C,'SA007 2025.01-2026.05 '!$D633,[1]SA007!Q:Q)</f>
        <v>0</v>
      </c>
      <c r="AC633" s="19">
        <f t="shared" si="21"/>
        <v>0</v>
      </c>
      <c r="AD633" s="19">
        <f t="shared" si="22"/>
        <v>0</v>
      </c>
      <c r="AG633" s="21">
        <f>SUMIF([1]SO003!$H:$H,'SA007 2025.01-2026.05 '!$D633,[1]SO003!AF:AF)</f>
        <v>0</v>
      </c>
      <c r="AH633" s="21">
        <f>SUMIF([1]SO003!$H:$H,'SA007 2025.01-2026.05 '!$D633,[1]SO003!AH:AH)</f>
        <v>0</v>
      </c>
      <c r="AI633" s="21">
        <f>SUMIF([1]SO003!$H:$H,'SA007 2025.01-2026.05 '!$D633,[1]SO003!AJ:AJ)</f>
        <v>0</v>
      </c>
    </row>
    <row r="634" spans="1:35" x14ac:dyDescent="0.55000000000000004">
      <c r="A634" s="2" t="s">
        <v>507</v>
      </c>
      <c r="D634" s="22" t="s">
        <v>1179</v>
      </c>
      <c r="E634" s="2" t="s">
        <v>116</v>
      </c>
      <c r="F634" s="2" t="s">
        <v>116</v>
      </c>
      <c r="G634" s="3" t="s">
        <v>47</v>
      </c>
      <c r="H634" s="2" t="s">
        <v>402</v>
      </c>
      <c r="I634" s="17">
        <v>6</v>
      </c>
      <c r="J634" s="3">
        <v>178</v>
      </c>
      <c r="K634" s="3">
        <v>1219</v>
      </c>
      <c r="L634" s="18">
        <v>0</v>
      </c>
      <c r="M634" s="18">
        <v>0</v>
      </c>
      <c r="N634" s="18">
        <v>0</v>
      </c>
      <c r="O634" s="18">
        <v>0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0</v>
      </c>
      <c r="X634" s="18">
        <v>0</v>
      </c>
      <c r="Y634" s="18">
        <v>0</v>
      </c>
      <c r="Z634" s="18">
        <v>0</v>
      </c>
      <c r="AA634" s="18">
        <f>SUMIF([1]SA007!$C:$C,'SA007 2025.01-2026.05 '!$D634,[1]SA007!P:P)</f>
        <v>0</v>
      </c>
      <c r="AB634" s="18">
        <f>SUMIF([1]SA007!$C:$C,'SA007 2025.01-2026.05 '!$D634,[1]SA007!Q:Q)</f>
        <v>0</v>
      </c>
      <c r="AC634" s="19">
        <f t="shared" si="21"/>
        <v>0</v>
      </c>
      <c r="AD634" s="19">
        <f t="shared" si="22"/>
        <v>0</v>
      </c>
      <c r="AG634" s="21">
        <f>SUMIF([1]SO003!$H:$H,'SA007 2025.01-2026.05 '!$D634,[1]SO003!AF:AF)</f>
        <v>0</v>
      </c>
      <c r="AH634" s="21">
        <f>SUMIF([1]SO003!$H:$H,'SA007 2025.01-2026.05 '!$D634,[1]SO003!AH:AH)</f>
        <v>0</v>
      </c>
      <c r="AI634" s="21">
        <f>SUMIF([1]SO003!$H:$H,'SA007 2025.01-2026.05 '!$D634,[1]SO003!AJ:AJ)</f>
        <v>0</v>
      </c>
    </row>
    <row r="635" spans="1:35" x14ac:dyDescent="0.55000000000000004">
      <c r="A635" s="2" t="s">
        <v>507</v>
      </c>
      <c r="D635" s="22">
        <v>77004906</v>
      </c>
      <c r="E635" s="2" t="s">
        <v>116</v>
      </c>
      <c r="F635" s="2" t="s">
        <v>116</v>
      </c>
      <c r="G635" s="3" t="s">
        <v>47</v>
      </c>
      <c r="H635" s="2" t="s">
        <v>402</v>
      </c>
      <c r="I635" s="17">
        <v>6</v>
      </c>
      <c r="J635" s="3">
        <v>180</v>
      </c>
      <c r="K635" s="3">
        <v>1219</v>
      </c>
      <c r="L635" s="18">
        <v>0</v>
      </c>
      <c r="M635" s="18">
        <v>0</v>
      </c>
      <c r="N635" s="18">
        <v>0</v>
      </c>
      <c r="O635" s="18">
        <v>0</v>
      </c>
      <c r="P635" s="18">
        <v>0</v>
      </c>
      <c r="Q635" s="18">
        <v>0</v>
      </c>
      <c r="R635" s="18">
        <v>0</v>
      </c>
      <c r="S635" s="18">
        <v>0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8">
        <v>0</v>
      </c>
      <c r="Z635" s="18">
        <v>0</v>
      </c>
      <c r="AA635" s="18">
        <f>SUMIF([1]SA007!$C:$C,'SA007 2025.01-2026.05 '!$D635,[1]SA007!P:P)</f>
        <v>0</v>
      </c>
      <c r="AB635" s="18">
        <f>SUMIF([1]SA007!$C:$C,'SA007 2025.01-2026.05 '!$D635,[1]SA007!Q:Q)</f>
        <v>0</v>
      </c>
      <c r="AC635" s="19">
        <f t="shared" si="21"/>
        <v>0</v>
      </c>
      <c r="AD635" s="19">
        <f t="shared" si="22"/>
        <v>0</v>
      </c>
      <c r="AG635" s="21">
        <f>SUMIF([1]SO003!$H:$H,'SA007 2025.01-2026.05 '!$D635,[1]SO003!AF:AF)</f>
        <v>0</v>
      </c>
      <c r="AH635" s="21">
        <f>SUMIF([1]SO003!$H:$H,'SA007 2025.01-2026.05 '!$D635,[1]SO003!AH:AH)</f>
        <v>0</v>
      </c>
      <c r="AI635" s="21">
        <f>SUMIF([1]SO003!$H:$H,'SA007 2025.01-2026.05 '!$D635,[1]SO003!AJ:AJ)</f>
        <v>0</v>
      </c>
    </row>
    <row r="636" spans="1:35" x14ac:dyDescent="0.55000000000000004">
      <c r="A636" s="2" t="s">
        <v>1080</v>
      </c>
      <c r="D636" s="22" t="s">
        <v>1180</v>
      </c>
      <c r="E636" s="2" t="s">
        <v>116</v>
      </c>
      <c r="F636" s="2" t="s">
        <v>116</v>
      </c>
      <c r="G636" s="3" t="s">
        <v>47</v>
      </c>
      <c r="H636" s="2" t="s">
        <v>402</v>
      </c>
      <c r="I636" s="17">
        <v>2.9</v>
      </c>
      <c r="J636" s="3">
        <v>182</v>
      </c>
      <c r="K636" s="3">
        <v>1219</v>
      </c>
      <c r="L636" s="18">
        <v>0</v>
      </c>
      <c r="M636" s="18">
        <v>0</v>
      </c>
      <c r="N636" s="18">
        <v>0</v>
      </c>
      <c r="O636" s="18">
        <v>0</v>
      </c>
      <c r="P636" s="18">
        <v>0</v>
      </c>
      <c r="Q636" s="18">
        <v>0</v>
      </c>
      <c r="R636" s="18">
        <v>0</v>
      </c>
      <c r="S636" s="18">
        <v>0</v>
      </c>
      <c r="T636" s="18">
        <v>0</v>
      </c>
      <c r="U636" s="18">
        <v>0</v>
      </c>
      <c r="V636" s="18">
        <v>0</v>
      </c>
      <c r="W636" s="18">
        <v>0</v>
      </c>
      <c r="X636" s="18">
        <v>0</v>
      </c>
      <c r="Y636" s="18">
        <v>0</v>
      </c>
      <c r="Z636" s="18">
        <v>0</v>
      </c>
      <c r="AA636" s="18">
        <f>SUMIF([1]SA007!$C:$C,'SA007 2025.01-2026.05 '!$D636,[1]SA007!P:P)</f>
        <v>0</v>
      </c>
      <c r="AB636" s="18">
        <f>SUMIF([1]SA007!$C:$C,'SA007 2025.01-2026.05 '!$D636,[1]SA007!Q:Q)</f>
        <v>0</v>
      </c>
      <c r="AC636" s="19">
        <f t="shared" si="21"/>
        <v>0</v>
      </c>
      <c r="AD636" s="19">
        <f t="shared" si="22"/>
        <v>0</v>
      </c>
      <c r="AG636" s="21">
        <f>SUMIF([1]SO003!$H:$H,'SA007 2025.01-2026.05 '!$D636,[1]SO003!AF:AF)</f>
        <v>0</v>
      </c>
      <c r="AH636" s="21">
        <f>SUMIF([1]SO003!$H:$H,'SA007 2025.01-2026.05 '!$D636,[1]SO003!AH:AH)</f>
        <v>0</v>
      </c>
      <c r="AI636" s="21">
        <f>SUMIF([1]SO003!$H:$H,'SA007 2025.01-2026.05 '!$D636,[1]SO003!AJ:AJ)</f>
        <v>0</v>
      </c>
    </row>
    <row r="637" spans="1:35" x14ac:dyDescent="0.55000000000000004">
      <c r="A637" s="2" t="s">
        <v>460</v>
      </c>
      <c r="D637" s="22" t="s">
        <v>1181</v>
      </c>
      <c r="E637" s="2" t="s">
        <v>116</v>
      </c>
      <c r="F637" s="2" t="s">
        <v>116</v>
      </c>
      <c r="G637" s="3" t="s">
        <v>47</v>
      </c>
      <c r="H637" s="2" t="s">
        <v>402</v>
      </c>
      <c r="I637" s="17">
        <v>3.2</v>
      </c>
      <c r="J637" s="3">
        <v>198</v>
      </c>
      <c r="K637" s="3">
        <v>1219</v>
      </c>
      <c r="L637" s="18">
        <v>0</v>
      </c>
      <c r="M637" s="18">
        <v>0</v>
      </c>
      <c r="N637" s="18">
        <v>0</v>
      </c>
      <c r="O637" s="18">
        <v>0</v>
      </c>
      <c r="P637" s="18">
        <v>0</v>
      </c>
      <c r="Q637" s="18">
        <v>0</v>
      </c>
      <c r="R637" s="18">
        <v>0</v>
      </c>
      <c r="S637" s="18">
        <v>0</v>
      </c>
      <c r="T637" s="18">
        <v>0</v>
      </c>
      <c r="U637" s="18">
        <v>0</v>
      </c>
      <c r="V637" s="18">
        <v>0</v>
      </c>
      <c r="W637" s="18">
        <v>0</v>
      </c>
      <c r="X637" s="18">
        <v>0</v>
      </c>
      <c r="Y637" s="18">
        <v>0</v>
      </c>
      <c r="Z637" s="18">
        <v>0</v>
      </c>
      <c r="AA637" s="18">
        <f>SUMIF([1]SA007!$C:$C,'SA007 2025.01-2026.05 '!$D637,[1]SA007!P:P)</f>
        <v>0</v>
      </c>
      <c r="AB637" s="18">
        <f>SUMIF([1]SA007!$C:$C,'SA007 2025.01-2026.05 '!$D637,[1]SA007!Q:Q)</f>
        <v>0</v>
      </c>
      <c r="AC637" s="19">
        <f t="shared" si="21"/>
        <v>0</v>
      </c>
      <c r="AD637" s="19">
        <f t="shared" si="22"/>
        <v>0</v>
      </c>
      <c r="AG637" s="21">
        <f>SUMIF([1]SO003!$H:$H,'SA007 2025.01-2026.05 '!$D637,[1]SO003!AF:AF)</f>
        <v>0</v>
      </c>
      <c r="AH637" s="21">
        <f>SUMIF([1]SO003!$H:$H,'SA007 2025.01-2026.05 '!$D637,[1]SO003!AH:AH)</f>
        <v>0</v>
      </c>
      <c r="AI637" s="21">
        <f>SUMIF([1]SO003!$H:$H,'SA007 2025.01-2026.05 '!$D637,[1]SO003!AJ:AJ)</f>
        <v>0</v>
      </c>
    </row>
    <row r="638" spans="1:35" x14ac:dyDescent="0.55000000000000004">
      <c r="A638" s="2" t="s">
        <v>1147</v>
      </c>
      <c r="D638" s="22" t="s">
        <v>1182</v>
      </c>
      <c r="E638" s="2" t="s">
        <v>116</v>
      </c>
      <c r="F638" s="2" t="s">
        <v>116</v>
      </c>
      <c r="G638" s="3" t="s">
        <v>47</v>
      </c>
      <c r="H638" s="2" t="s">
        <v>1149</v>
      </c>
      <c r="I638" s="17">
        <v>3.2</v>
      </c>
      <c r="J638" s="3">
        <v>199</v>
      </c>
      <c r="K638" s="3">
        <v>1219</v>
      </c>
      <c r="L638" s="18">
        <v>0</v>
      </c>
      <c r="M638" s="18">
        <v>0</v>
      </c>
      <c r="N638" s="18">
        <v>0</v>
      </c>
      <c r="O638" s="18">
        <v>0</v>
      </c>
      <c r="P638" s="18">
        <v>0</v>
      </c>
      <c r="Q638" s="18">
        <v>0</v>
      </c>
      <c r="R638" s="18">
        <v>0</v>
      </c>
      <c r="S638" s="18">
        <v>0</v>
      </c>
      <c r="T638" s="18">
        <v>0</v>
      </c>
      <c r="U638" s="18">
        <v>0</v>
      </c>
      <c r="V638" s="18">
        <v>0</v>
      </c>
      <c r="W638" s="18">
        <v>0</v>
      </c>
      <c r="X638" s="18">
        <v>0</v>
      </c>
      <c r="Y638" s="18">
        <v>0</v>
      </c>
      <c r="Z638" s="18">
        <v>0</v>
      </c>
      <c r="AA638" s="18">
        <f>SUMIF([1]SA007!$C:$C,'SA007 2025.01-2026.05 '!$D638,[1]SA007!P:P)</f>
        <v>0</v>
      </c>
      <c r="AB638" s="18">
        <f>SUMIF([1]SA007!$C:$C,'SA007 2025.01-2026.05 '!$D638,[1]SA007!Q:Q)</f>
        <v>0</v>
      </c>
      <c r="AC638" s="19">
        <f t="shared" si="21"/>
        <v>0</v>
      </c>
      <c r="AD638" s="19">
        <f t="shared" si="22"/>
        <v>0</v>
      </c>
      <c r="AG638" s="21">
        <f>SUMIF([1]SO003!$H:$H,'SA007 2025.01-2026.05 '!$D638,[1]SO003!AF:AF)</f>
        <v>0</v>
      </c>
      <c r="AH638" s="21">
        <f>SUMIF([1]SO003!$H:$H,'SA007 2025.01-2026.05 '!$D638,[1]SO003!AH:AH)</f>
        <v>0</v>
      </c>
      <c r="AI638" s="21">
        <f>SUMIF([1]SO003!$H:$H,'SA007 2025.01-2026.05 '!$D638,[1]SO003!AJ:AJ)</f>
        <v>0</v>
      </c>
    </row>
    <row r="639" spans="1:35" x14ac:dyDescent="0.55000000000000004">
      <c r="A639" s="2" t="s">
        <v>389</v>
      </c>
      <c r="D639" s="22" t="s">
        <v>1183</v>
      </c>
      <c r="E639" s="2" t="s">
        <v>116</v>
      </c>
      <c r="F639" s="2" t="s">
        <v>116</v>
      </c>
      <c r="G639" s="3" t="s">
        <v>47</v>
      </c>
      <c r="H639" s="2" t="s">
        <v>321</v>
      </c>
      <c r="I639" s="17">
        <v>2</v>
      </c>
      <c r="J639" s="3">
        <v>220</v>
      </c>
      <c r="K639" s="3">
        <v>1219</v>
      </c>
      <c r="L639" s="18">
        <v>0</v>
      </c>
      <c r="M639" s="18">
        <v>0</v>
      </c>
      <c r="N639" s="18">
        <v>0</v>
      </c>
      <c r="O639" s="18">
        <v>0</v>
      </c>
      <c r="P639" s="18">
        <v>0</v>
      </c>
      <c r="Q639" s="18">
        <v>0</v>
      </c>
      <c r="R639" s="18">
        <v>0</v>
      </c>
      <c r="S639" s="18">
        <v>0</v>
      </c>
      <c r="T639" s="18">
        <v>0</v>
      </c>
      <c r="U639" s="18">
        <v>0</v>
      </c>
      <c r="V639" s="18">
        <v>0</v>
      </c>
      <c r="W639" s="18">
        <v>0</v>
      </c>
      <c r="X639" s="18">
        <v>0</v>
      </c>
      <c r="Y639" s="18">
        <v>0</v>
      </c>
      <c r="Z639" s="18">
        <v>0</v>
      </c>
      <c r="AA639" s="18">
        <f>SUMIF([1]SA007!$C:$C,'SA007 2025.01-2026.05 '!$D639,[1]SA007!P:P)</f>
        <v>0</v>
      </c>
      <c r="AB639" s="18">
        <f>SUMIF([1]SA007!$C:$C,'SA007 2025.01-2026.05 '!$D639,[1]SA007!Q:Q)</f>
        <v>0</v>
      </c>
      <c r="AC639" s="19">
        <f t="shared" si="21"/>
        <v>0</v>
      </c>
      <c r="AD639" s="19">
        <f t="shared" si="22"/>
        <v>0</v>
      </c>
      <c r="AG639" s="21">
        <f>SUMIF([1]SO003!$H:$H,'SA007 2025.01-2026.05 '!$D639,[1]SO003!AF:AF)</f>
        <v>0</v>
      </c>
      <c r="AH639" s="21">
        <f>SUMIF([1]SO003!$H:$H,'SA007 2025.01-2026.05 '!$D639,[1]SO003!AH:AH)</f>
        <v>0</v>
      </c>
      <c r="AI639" s="21">
        <f>SUMIF([1]SO003!$H:$H,'SA007 2025.01-2026.05 '!$D639,[1]SO003!AJ:AJ)</f>
        <v>0</v>
      </c>
    </row>
    <row r="640" spans="1:35" x14ac:dyDescent="0.55000000000000004">
      <c r="A640" s="2" t="s">
        <v>1162</v>
      </c>
      <c r="D640" s="22" t="s">
        <v>1184</v>
      </c>
      <c r="E640" s="2" t="s">
        <v>116</v>
      </c>
      <c r="F640" s="2" t="s">
        <v>116</v>
      </c>
      <c r="G640" s="3" t="s">
        <v>47</v>
      </c>
      <c r="H640" s="2" t="s">
        <v>469</v>
      </c>
      <c r="I640" s="17">
        <v>3.2</v>
      </c>
      <c r="J640" s="3">
        <v>220</v>
      </c>
      <c r="K640" s="3">
        <v>1219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0</v>
      </c>
      <c r="U640" s="18">
        <v>0</v>
      </c>
      <c r="V640" s="18">
        <v>0</v>
      </c>
      <c r="W640" s="18">
        <v>0</v>
      </c>
      <c r="X640" s="18">
        <v>0</v>
      </c>
      <c r="Y640" s="18">
        <v>0</v>
      </c>
      <c r="Z640" s="18">
        <v>0</v>
      </c>
      <c r="AA640" s="18">
        <f>SUMIF([1]SA007!$C:$C,'SA007 2025.01-2026.05 '!$D640,[1]SA007!P:P)</f>
        <v>0</v>
      </c>
      <c r="AB640" s="18">
        <f>SUMIF([1]SA007!$C:$C,'SA007 2025.01-2026.05 '!$D640,[1]SA007!Q:Q)</f>
        <v>0</v>
      </c>
      <c r="AC640" s="19">
        <f t="shared" si="21"/>
        <v>0</v>
      </c>
      <c r="AD640" s="19">
        <f t="shared" si="22"/>
        <v>0</v>
      </c>
      <c r="AG640" s="21">
        <f>SUMIF([1]SO003!$H:$H,'SA007 2025.01-2026.05 '!$D640,[1]SO003!AF:AF)</f>
        <v>0</v>
      </c>
      <c r="AH640" s="21">
        <f>SUMIF([1]SO003!$H:$H,'SA007 2025.01-2026.05 '!$D640,[1]SO003!AH:AH)</f>
        <v>0</v>
      </c>
      <c r="AI640" s="21">
        <f>SUMIF([1]SO003!$H:$H,'SA007 2025.01-2026.05 '!$D640,[1]SO003!AJ:AJ)</f>
        <v>0</v>
      </c>
    </row>
    <row r="641" spans="1:35" x14ac:dyDescent="0.55000000000000004">
      <c r="A641" s="2" t="s">
        <v>361</v>
      </c>
      <c r="D641" s="22" t="s">
        <v>1185</v>
      </c>
      <c r="E641" s="2" t="s">
        <v>116</v>
      </c>
      <c r="F641" s="2" t="s">
        <v>116</v>
      </c>
      <c r="G641" s="3" t="s">
        <v>47</v>
      </c>
      <c r="H641" s="2" t="s">
        <v>402</v>
      </c>
      <c r="I641" s="17">
        <v>4.5</v>
      </c>
      <c r="J641" s="3">
        <v>225</v>
      </c>
      <c r="K641" s="3">
        <v>1219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0</v>
      </c>
      <c r="Z641" s="18">
        <v>0</v>
      </c>
      <c r="AA641" s="18">
        <f>SUMIF([1]SA007!$C:$C,'SA007 2025.01-2026.05 '!$D641,[1]SA007!P:P)</f>
        <v>0</v>
      </c>
      <c r="AB641" s="18">
        <f>SUMIF([1]SA007!$C:$C,'SA007 2025.01-2026.05 '!$D641,[1]SA007!Q:Q)</f>
        <v>0</v>
      </c>
      <c r="AC641" s="19">
        <f t="shared" si="21"/>
        <v>0</v>
      </c>
      <c r="AD641" s="19">
        <f t="shared" si="22"/>
        <v>0</v>
      </c>
      <c r="AG641" s="21">
        <f>SUMIF([1]SO003!$H:$H,'SA007 2025.01-2026.05 '!$D641,[1]SO003!AF:AF)</f>
        <v>0</v>
      </c>
      <c r="AH641" s="21">
        <f>SUMIF([1]SO003!$H:$H,'SA007 2025.01-2026.05 '!$D641,[1]SO003!AH:AH)</f>
        <v>0</v>
      </c>
      <c r="AI641" s="21">
        <f>SUMIF([1]SO003!$H:$H,'SA007 2025.01-2026.05 '!$D641,[1]SO003!AJ:AJ)</f>
        <v>0</v>
      </c>
    </row>
    <row r="642" spans="1:35" x14ac:dyDescent="0.55000000000000004">
      <c r="A642" s="2" t="s">
        <v>1080</v>
      </c>
      <c r="D642" s="22" t="s">
        <v>1186</v>
      </c>
      <c r="E642" s="2" t="s">
        <v>116</v>
      </c>
      <c r="F642" s="2" t="s">
        <v>116</v>
      </c>
      <c r="G642" s="3" t="s">
        <v>47</v>
      </c>
      <c r="H642" s="2" t="s">
        <v>402</v>
      </c>
      <c r="I642" s="17">
        <v>2.9</v>
      </c>
      <c r="J642" s="3">
        <v>234</v>
      </c>
      <c r="K642" s="3">
        <v>1219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0</v>
      </c>
      <c r="X642" s="18">
        <v>0</v>
      </c>
      <c r="Y642" s="18">
        <v>0</v>
      </c>
      <c r="Z642" s="18">
        <v>0</v>
      </c>
      <c r="AA642" s="18">
        <f>SUMIF([1]SA007!$C:$C,'SA007 2025.01-2026.05 '!$D642,[1]SA007!P:P)</f>
        <v>0</v>
      </c>
      <c r="AB642" s="18">
        <f>SUMIF([1]SA007!$C:$C,'SA007 2025.01-2026.05 '!$D642,[1]SA007!Q:Q)</f>
        <v>0</v>
      </c>
      <c r="AC642" s="19">
        <f t="shared" si="21"/>
        <v>0</v>
      </c>
      <c r="AD642" s="19">
        <f t="shared" si="22"/>
        <v>0</v>
      </c>
      <c r="AG642" s="21">
        <f>SUMIF([1]SO003!$H:$H,'SA007 2025.01-2026.05 '!$D642,[1]SO003!AF:AF)</f>
        <v>0</v>
      </c>
      <c r="AH642" s="21">
        <f>SUMIF([1]SO003!$H:$H,'SA007 2025.01-2026.05 '!$D642,[1]SO003!AH:AH)</f>
        <v>0</v>
      </c>
      <c r="AI642" s="21">
        <f>SUMIF([1]SO003!$H:$H,'SA007 2025.01-2026.05 '!$D642,[1]SO003!AJ:AJ)</f>
        <v>0</v>
      </c>
    </row>
    <row r="643" spans="1:35" x14ac:dyDescent="0.55000000000000004">
      <c r="A643" s="2" t="s">
        <v>1143</v>
      </c>
      <c r="D643" s="22" t="s">
        <v>1187</v>
      </c>
      <c r="E643" s="2" t="s">
        <v>116</v>
      </c>
      <c r="F643" s="2" t="s">
        <v>116</v>
      </c>
      <c r="G643" s="3" t="s">
        <v>63</v>
      </c>
      <c r="H643" s="2" t="s">
        <v>1145</v>
      </c>
      <c r="I643" s="17">
        <v>1.4</v>
      </c>
      <c r="J643" s="3">
        <v>265</v>
      </c>
      <c r="K643" s="3">
        <v>1219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212</v>
      </c>
      <c r="U643" s="18">
        <v>0</v>
      </c>
      <c r="V643" s="18">
        <v>0</v>
      </c>
      <c r="W643" s="18">
        <v>179</v>
      </c>
      <c r="X643" s="18">
        <v>0</v>
      </c>
      <c r="Y643" s="18">
        <v>0</v>
      </c>
      <c r="Z643" s="18">
        <v>0</v>
      </c>
      <c r="AA643" s="18">
        <f>SUMIF([1]SA007!$C:$C,'SA007 2025.01-2026.05 '!$D643,[1]SA007!P:P)</f>
        <v>0</v>
      </c>
      <c r="AB643" s="18">
        <f>SUMIF([1]SA007!$C:$C,'SA007 2025.01-2026.05 '!$D643,[1]SA007!Q:Q)</f>
        <v>0</v>
      </c>
      <c r="AC643" s="19">
        <f t="shared" si="21"/>
        <v>391</v>
      </c>
      <c r="AD643" s="19">
        <f t="shared" si="22"/>
        <v>23</v>
      </c>
      <c r="AG643" s="21">
        <f>SUMIF([1]SO003!$H:$H,'SA007 2025.01-2026.05 '!$D643,[1]SO003!AF:AF)</f>
        <v>0</v>
      </c>
      <c r="AH643" s="21">
        <f>SUMIF([1]SO003!$H:$H,'SA007 2025.01-2026.05 '!$D643,[1]SO003!AH:AH)</f>
        <v>0</v>
      </c>
      <c r="AI643" s="21">
        <f>SUMIF([1]SO003!$H:$H,'SA007 2025.01-2026.05 '!$D643,[1]SO003!AJ:AJ)</f>
        <v>0</v>
      </c>
    </row>
    <row r="644" spans="1:35" x14ac:dyDescent="0.55000000000000004">
      <c r="A644" s="2" t="s">
        <v>1188</v>
      </c>
      <c r="D644" s="22" t="s">
        <v>1189</v>
      </c>
      <c r="E644" s="2" t="s">
        <v>116</v>
      </c>
      <c r="F644" s="2" t="s">
        <v>116</v>
      </c>
      <c r="G644" s="3" t="s">
        <v>47</v>
      </c>
      <c r="H644" s="2" t="s">
        <v>213</v>
      </c>
      <c r="I644" s="17">
        <v>1.2</v>
      </c>
      <c r="J644" s="3">
        <v>1219</v>
      </c>
      <c r="K644" s="3">
        <v>2438</v>
      </c>
      <c r="L644" s="18">
        <v>0</v>
      </c>
      <c r="M644" s="18">
        <v>0</v>
      </c>
      <c r="N644" s="18">
        <v>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>
        <v>0</v>
      </c>
      <c r="U644" s="18">
        <v>0</v>
      </c>
      <c r="V644" s="18">
        <v>0</v>
      </c>
      <c r="W644" s="18">
        <v>0</v>
      </c>
      <c r="X644" s="18">
        <v>0</v>
      </c>
      <c r="Y644" s="18">
        <v>0</v>
      </c>
      <c r="Z644" s="18">
        <v>0</v>
      </c>
      <c r="AA644" s="18">
        <f>SUMIF([1]SA007!$C:$C,'SA007 2025.01-2026.05 '!$D644,[1]SA007!P:P)</f>
        <v>0</v>
      </c>
      <c r="AB644" s="18">
        <f>SUMIF([1]SA007!$C:$C,'SA007 2025.01-2026.05 '!$D644,[1]SA007!Q:Q)</f>
        <v>0</v>
      </c>
      <c r="AC644" s="19">
        <f t="shared" si="21"/>
        <v>0</v>
      </c>
      <c r="AD644" s="19">
        <f t="shared" si="22"/>
        <v>0</v>
      </c>
      <c r="AG644" s="21">
        <f>SUMIF([1]SO003!$H:$H,'SA007 2025.01-2026.05 '!$D644,[1]SO003!AF:AF)</f>
        <v>0</v>
      </c>
      <c r="AH644" s="21">
        <f>SUMIF([1]SO003!$H:$H,'SA007 2025.01-2026.05 '!$D644,[1]SO003!AH:AH)</f>
        <v>0</v>
      </c>
      <c r="AI644" s="21">
        <f>SUMIF([1]SO003!$H:$H,'SA007 2025.01-2026.05 '!$D644,[1]SO003!AJ:AJ)</f>
        <v>0</v>
      </c>
    </row>
    <row r="645" spans="1:35" x14ac:dyDescent="0.55000000000000004">
      <c r="A645" s="2" t="s">
        <v>1190</v>
      </c>
      <c r="D645" s="22" t="s">
        <v>1191</v>
      </c>
      <c r="E645" s="2" t="s">
        <v>116</v>
      </c>
      <c r="F645" s="2" t="s">
        <v>116</v>
      </c>
      <c r="G645" s="3" t="s">
        <v>63</v>
      </c>
      <c r="H645" s="2" t="s">
        <v>1192</v>
      </c>
      <c r="I645" s="17">
        <v>1.6</v>
      </c>
      <c r="J645" s="3">
        <v>1219</v>
      </c>
      <c r="K645" s="3">
        <v>2438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>
        <v>0</v>
      </c>
      <c r="U645" s="18">
        <v>0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f>SUMIF([1]SA007!$C:$C,'SA007 2025.01-2026.05 '!$D645,[1]SA007!P:P)</f>
        <v>0</v>
      </c>
      <c r="AB645" s="18">
        <f>SUMIF([1]SA007!$C:$C,'SA007 2025.01-2026.05 '!$D645,[1]SA007!Q:Q)</f>
        <v>0</v>
      </c>
      <c r="AC645" s="19">
        <f t="shared" si="21"/>
        <v>0</v>
      </c>
      <c r="AD645" s="19">
        <f t="shared" si="22"/>
        <v>0</v>
      </c>
      <c r="AG645" s="21">
        <f>SUMIF([1]SO003!$H:$H,'SA007 2025.01-2026.05 '!$D645,[1]SO003!AF:AF)</f>
        <v>0</v>
      </c>
      <c r="AH645" s="21">
        <f>SUMIF([1]SO003!$H:$H,'SA007 2025.01-2026.05 '!$D645,[1]SO003!AH:AH)</f>
        <v>0</v>
      </c>
      <c r="AI645" s="21">
        <f>SUMIF([1]SO003!$H:$H,'SA007 2025.01-2026.05 '!$D645,[1]SO003!AJ:AJ)</f>
        <v>0</v>
      </c>
    </row>
    <row r="646" spans="1:35" x14ac:dyDescent="0.55000000000000004">
      <c r="A646" s="2" t="s">
        <v>254</v>
      </c>
      <c r="B646" s="2" t="s">
        <v>44</v>
      </c>
      <c r="C646" s="2" t="s">
        <v>44</v>
      </c>
      <c r="D646" s="2" t="s">
        <v>1193</v>
      </c>
      <c r="E646" s="2" t="s">
        <v>256</v>
      </c>
      <c r="F646" s="2" t="s">
        <v>256</v>
      </c>
      <c r="G646" s="3" t="s">
        <v>47</v>
      </c>
      <c r="H646" s="2" t="s">
        <v>1194</v>
      </c>
      <c r="I646" s="17">
        <v>1.6</v>
      </c>
      <c r="J646" s="3">
        <v>185</v>
      </c>
      <c r="K646" s="3">
        <v>450</v>
      </c>
      <c r="L646" s="18">
        <v>3125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>
        <v>0</v>
      </c>
      <c r="U646" s="18">
        <v>0</v>
      </c>
      <c r="V646" s="18">
        <v>0</v>
      </c>
      <c r="W646" s="18">
        <v>0</v>
      </c>
      <c r="X646" s="18">
        <v>0</v>
      </c>
      <c r="Y646" s="18">
        <v>0</v>
      </c>
      <c r="Z646" s="18">
        <v>0</v>
      </c>
      <c r="AA646" s="18">
        <f>SUMIF([1]SA007!$C:$C,'SA007 2025.01-2026.05 '!$D646,[1]SA007!P:P)</f>
        <v>0</v>
      </c>
      <c r="AB646" s="18">
        <f>SUMIF([1]SA007!$C:$C,'SA007 2025.01-2026.05 '!$D646,[1]SA007!Q:Q)</f>
        <v>0</v>
      </c>
      <c r="AC646" s="19">
        <f t="shared" ref="AC646:AC709" si="23">SUM(L646:AB646)</f>
        <v>3125</v>
      </c>
      <c r="AD646" s="19">
        <f t="shared" ref="AD646:AD709" si="24">AVERAGE(L646:AB646)</f>
        <v>183.8235294117647</v>
      </c>
      <c r="AE646" s="20" t="s">
        <v>48</v>
      </c>
      <c r="AG646" s="21">
        <f>SUMIF([1]SO003!$H:$H,'SA007 2025.01-2026.05 '!$D646,[1]SO003!AF:AF)</f>
        <v>0</v>
      </c>
      <c r="AH646" s="21">
        <f>SUMIF([1]SO003!$H:$H,'SA007 2025.01-2026.05 '!$D646,[1]SO003!AH:AH)</f>
        <v>0</v>
      </c>
      <c r="AI646" s="21">
        <f>SUMIF([1]SO003!$H:$H,'SA007 2025.01-2026.05 '!$D646,[1]SO003!AJ:AJ)</f>
        <v>0</v>
      </c>
    </row>
    <row r="647" spans="1:35" x14ac:dyDescent="0.55000000000000004">
      <c r="A647" s="2" t="s">
        <v>254</v>
      </c>
      <c r="D647" s="22">
        <v>2110573709</v>
      </c>
      <c r="E647" s="2" t="s">
        <v>116</v>
      </c>
      <c r="F647" s="2" t="s">
        <v>116</v>
      </c>
      <c r="G647" s="3" t="s">
        <v>47</v>
      </c>
      <c r="H647" s="2" t="s">
        <v>50</v>
      </c>
      <c r="I647" s="17">
        <v>1.6</v>
      </c>
      <c r="J647" s="3">
        <v>117</v>
      </c>
      <c r="K647" s="3">
        <v>1219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0</v>
      </c>
      <c r="U647" s="18">
        <v>0</v>
      </c>
      <c r="V647" s="18">
        <v>0</v>
      </c>
      <c r="W647" s="18">
        <v>0</v>
      </c>
      <c r="X647" s="18">
        <v>0</v>
      </c>
      <c r="Y647" s="18">
        <v>0</v>
      </c>
      <c r="Z647" s="18">
        <v>0</v>
      </c>
      <c r="AA647" s="18">
        <f>SUMIF([1]SA007!$C:$C,'SA007 2025.01-2026.05 '!$D647,[1]SA007!P:P)</f>
        <v>0</v>
      </c>
      <c r="AB647" s="18">
        <f>SUMIF([1]SA007!$C:$C,'SA007 2025.01-2026.05 '!$D647,[1]SA007!Q:Q)</f>
        <v>0</v>
      </c>
      <c r="AC647" s="19">
        <f t="shared" si="23"/>
        <v>0</v>
      </c>
      <c r="AD647" s="19">
        <f t="shared" si="24"/>
        <v>0</v>
      </c>
      <c r="AG647" s="21">
        <f>SUMIF([1]SO003!$H:$H,'SA007 2025.01-2026.05 '!$D647,[1]SO003!AF:AF)</f>
        <v>0</v>
      </c>
      <c r="AH647" s="21">
        <f>SUMIF([1]SO003!$H:$H,'SA007 2025.01-2026.05 '!$D647,[1]SO003!AH:AH)</f>
        <v>0</v>
      </c>
      <c r="AI647" s="21">
        <f>SUMIF([1]SO003!$H:$H,'SA007 2025.01-2026.05 '!$D647,[1]SO003!AJ:AJ)</f>
        <v>0</v>
      </c>
    </row>
    <row r="648" spans="1:35" x14ac:dyDescent="0.55000000000000004">
      <c r="A648" s="2" t="s">
        <v>1160</v>
      </c>
      <c r="D648" s="22">
        <v>77004826</v>
      </c>
      <c r="E648" s="2" t="s">
        <v>116</v>
      </c>
      <c r="F648" s="2" t="s">
        <v>116</v>
      </c>
      <c r="G648" s="3" t="s">
        <v>47</v>
      </c>
      <c r="H648" s="2" t="s">
        <v>367</v>
      </c>
      <c r="I648" s="17">
        <v>2.6</v>
      </c>
      <c r="J648" s="3">
        <v>1219</v>
      </c>
      <c r="K648" s="3">
        <v>2438</v>
      </c>
      <c r="L648" s="18">
        <v>0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0</v>
      </c>
      <c r="U648" s="18">
        <v>0</v>
      </c>
      <c r="V648" s="18">
        <v>0</v>
      </c>
      <c r="W648" s="18">
        <v>0</v>
      </c>
      <c r="X648" s="18">
        <v>0</v>
      </c>
      <c r="Y648" s="18">
        <v>0</v>
      </c>
      <c r="Z648" s="18">
        <v>0</v>
      </c>
      <c r="AA648" s="18">
        <f>SUMIF([1]SA007!$C:$C,'SA007 2025.01-2026.05 '!$D648,[1]SA007!P:P)</f>
        <v>0</v>
      </c>
      <c r="AB648" s="18">
        <f>SUMIF([1]SA007!$C:$C,'SA007 2025.01-2026.05 '!$D648,[1]SA007!Q:Q)</f>
        <v>0</v>
      </c>
      <c r="AC648" s="19">
        <f t="shared" si="23"/>
        <v>0</v>
      </c>
      <c r="AD648" s="19">
        <f t="shared" si="24"/>
        <v>0</v>
      </c>
      <c r="AG648" s="21">
        <f>SUMIF([1]SO003!$H:$H,'SA007 2025.01-2026.05 '!$D648,[1]SO003!AF:AF)</f>
        <v>0</v>
      </c>
      <c r="AH648" s="21">
        <f>SUMIF([1]SO003!$H:$H,'SA007 2025.01-2026.05 '!$D648,[1]SO003!AH:AH)</f>
        <v>0</v>
      </c>
      <c r="AI648" s="21">
        <f>SUMIF([1]SO003!$H:$H,'SA007 2025.01-2026.05 '!$D648,[1]SO003!AJ:AJ)</f>
        <v>0</v>
      </c>
    </row>
    <row r="649" spans="1:35" x14ac:dyDescent="0.55000000000000004">
      <c r="A649" s="2" t="s">
        <v>1147</v>
      </c>
      <c r="D649" s="22" t="s">
        <v>1195</v>
      </c>
      <c r="E649" s="2" t="s">
        <v>116</v>
      </c>
      <c r="F649" s="2" t="s">
        <v>116</v>
      </c>
      <c r="G649" s="3" t="s">
        <v>47</v>
      </c>
      <c r="H649" s="2" t="s">
        <v>1149</v>
      </c>
      <c r="I649" s="17">
        <v>3.2</v>
      </c>
      <c r="J649" s="3">
        <v>1219</v>
      </c>
      <c r="K649" s="3">
        <v>2438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0</v>
      </c>
      <c r="X649" s="18">
        <v>0</v>
      </c>
      <c r="Y649" s="18">
        <v>0</v>
      </c>
      <c r="Z649" s="18">
        <v>0</v>
      </c>
      <c r="AA649" s="18">
        <f>SUMIF([1]SA007!$C:$C,'SA007 2025.01-2026.05 '!$D649,[1]SA007!P:P)</f>
        <v>0</v>
      </c>
      <c r="AB649" s="18">
        <f>SUMIF([1]SA007!$C:$C,'SA007 2025.01-2026.05 '!$D649,[1]SA007!Q:Q)</f>
        <v>0</v>
      </c>
      <c r="AC649" s="19">
        <f t="shared" si="23"/>
        <v>0</v>
      </c>
      <c r="AD649" s="19">
        <f t="shared" si="24"/>
        <v>0</v>
      </c>
      <c r="AG649" s="21">
        <f>SUMIF([1]SO003!$H:$H,'SA007 2025.01-2026.05 '!$D649,[1]SO003!AF:AF)</f>
        <v>0</v>
      </c>
      <c r="AH649" s="21">
        <f>SUMIF([1]SO003!$H:$H,'SA007 2025.01-2026.05 '!$D649,[1]SO003!AH:AH)</f>
        <v>0</v>
      </c>
      <c r="AI649" s="21">
        <f>SUMIF([1]SO003!$H:$H,'SA007 2025.01-2026.05 '!$D649,[1]SO003!AJ:AJ)</f>
        <v>0</v>
      </c>
    </row>
    <row r="650" spans="1:35" x14ac:dyDescent="0.55000000000000004">
      <c r="A650" s="2" t="s">
        <v>1164</v>
      </c>
      <c r="D650" s="22" t="s">
        <v>1196</v>
      </c>
      <c r="E650" s="2" t="s">
        <v>116</v>
      </c>
      <c r="F650" s="2" t="s">
        <v>116</v>
      </c>
      <c r="G650" s="3" t="s">
        <v>47</v>
      </c>
      <c r="H650" s="2" t="s">
        <v>1149</v>
      </c>
      <c r="I650" s="17">
        <v>4.5</v>
      </c>
      <c r="J650" s="3">
        <v>1219</v>
      </c>
      <c r="K650" s="3">
        <v>2438</v>
      </c>
      <c r="L650" s="18">
        <v>0</v>
      </c>
      <c r="M650" s="18">
        <v>0</v>
      </c>
      <c r="N650" s="18">
        <v>0</v>
      </c>
      <c r="O650" s="18">
        <v>0</v>
      </c>
      <c r="P650" s="18">
        <v>0</v>
      </c>
      <c r="Q650" s="18">
        <v>0</v>
      </c>
      <c r="R650" s="18">
        <v>0</v>
      </c>
      <c r="S650" s="18">
        <v>0</v>
      </c>
      <c r="T650" s="18">
        <v>0</v>
      </c>
      <c r="U650" s="18">
        <v>0</v>
      </c>
      <c r="V650" s="18">
        <v>0</v>
      </c>
      <c r="W650" s="18">
        <v>0</v>
      </c>
      <c r="X650" s="18">
        <v>0</v>
      </c>
      <c r="Y650" s="18">
        <v>0</v>
      </c>
      <c r="Z650" s="18">
        <v>0</v>
      </c>
      <c r="AA650" s="18">
        <f>SUMIF([1]SA007!$C:$C,'SA007 2025.01-2026.05 '!$D650,[1]SA007!P:P)</f>
        <v>0</v>
      </c>
      <c r="AB650" s="18">
        <f>SUMIF([1]SA007!$C:$C,'SA007 2025.01-2026.05 '!$D650,[1]SA007!Q:Q)</f>
        <v>0</v>
      </c>
      <c r="AC650" s="19">
        <f t="shared" si="23"/>
        <v>0</v>
      </c>
      <c r="AD650" s="19">
        <f t="shared" si="24"/>
        <v>0</v>
      </c>
      <c r="AG650" s="21">
        <f>SUMIF([1]SO003!$H:$H,'SA007 2025.01-2026.05 '!$D650,[1]SO003!AF:AF)</f>
        <v>0</v>
      </c>
      <c r="AH650" s="21">
        <f>SUMIF([1]SO003!$H:$H,'SA007 2025.01-2026.05 '!$D650,[1]SO003!AH:AH)</f>
        <v>0</v>
      </c>
      <c r="AI650" s="21">
        <f>SUMIF([1]SO003!$H:$H,'SA007 2025.01-2026.05 '!$D650,[1]SO003!AJ:AJ)</f>
        <v>0</v>
      </c>
    </row>
    <row r="651" spans="1:35" x14ac:dyDescent="0.55000000000000004">
      <c r="A651" s="2" t="s">
        <v>1162</v>
      </c>
      <c r="D651" s="22">
        <v>77004913</v>
      </c>
      <c r="E651" s="2" t="s">
        <v>116</v>
      </c>
      <c r="F651" s="2" t="s">
        <v>116</v>
      </c>
      <c r="G651" s="3" t="s">
        <v>47</v>
      </c>
      <c r="H651" s="2" t="s">
        <v>367</v>
      </c>
      <c r="I651" s="17">
        <v>3.2</v>
      </c>
      <c r="J651" s="3">
        <v>1280</v>
      </c>
      <c r="K651" s="3">
        <v>2438</v>
      </c>
      <c r="L651" s="18">
        <v>0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>
        <v>0</v>
      </c>
      <c r="U651" s="18">
        <v>0</v>
      </c>
      <c r="V651" s="18">
        <v>0</v>
      </c>
      <c r="W651" s="18">
        <v>0</v>
      </c>
      <c r="X651" s="18">
        <v>0</v>
      </c>
      <c r="Y651" s="18">
        <v>0</v>
      </c>
      <c r="Z651" s="18">
        <v>0</v>
      </c>
      <c r="AA651" s="18">
        <f>SUMIF([1]SA007!$C:$C,'SA007 2025.01-2026.05 '!$D651,[1]SA007!P:P)</f>
        <v>0</v>
      </c>
      <c r="AB651" s="18">
        <f>SUMIF([1]SA007!$C:$C,'SA007 2025.01-2026.05 '!$D651,[1]SA007!Q:Q)</f>
        <v>0</v>
      </c>
      <c r="AC651" s="19">
        <f t="shared" si="23"/>
        <v>0</v>
      </c>
      <c r="AD651" s="19">
        <f t="shared" si="24"/>
        <v>0</v>
      </c>
      <c r="AG651" s="21">
        <f>SUMIF([1]SO003!$H:$H,'SA007 2025.01-2026.05 '!$D651,[1]SO003!AF:AF)</f>
        <v>0</v>
      </c>
      <c r="AH651" s="21">
        <f>SUMIF([1]SO003!$H:$H,'SA007 2025.01-2026.05 '!$D651,[1]SO003!AH:AH)</f>
        <v>0</v>
      </c>
      <c r="AI651" s="21">
        <f>SUMIF([1]SO003!$H:$H,'SA007 2025.01-2026.05 '!$D651,[1]SO003!AJ:AJ)</f>
        <v>0</v>
      </c>
    </row>
    <row r="652" spans="1:35" x14ac:dyDescent="0.55000000000000004">
      <c r="A652" s="2" t="s">
        <v>99</v>
      </c>
      <c r="D652" s="22">
        <v>77004062</v>
      </c>
      <c r="E652" s="2" t="s">
        <v>116</v>
      </c>
      <c r="F652" s="2" t="s">
        <v>116</v>
      </c>
      <c r="G652" s="3" t="s">
        <v>63</v>
      </c>
      <c r="H652" s="2" t="s">
        <v>310</v>
      </c>
      <c r="I652" s="17">
        <v>0.5</v>
      </c>
      <c r="J652" s="3">
        <v>185</v>
      </c>
      <c r="K652" s="3">
        <v>1219</v>
      </c>
      <c r="L652" s="18">
        <v>0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0</v>
      </c>
      <c r="U652" s="18">
        <v>0</v>
      </c>
      <c r="V652" s="18">
        <v>0</v>
      </c>
      <c r="W652" s="18">
        <v>0</v>
      </c>
      <c r="X652" s="18">
        <v>0</v>
      </c>
      <c r="Y652" s="18">
        <v>0</v>
      </c>
      <c r="Z652" s="18">
        <v>0</v>
      </c>
      <c r="AA652" s="18">
        <f>SUMIF([1]SA007!$C:$C,'SA007 2025.01-2026.05 '!$D652,[1]SA007!P:P)</f>
        <v>0</v>
      </c>
      <c r="AB652" s="18">
        <f>SUMIF([1]SA007!$C:$C,'SA007 2025.01-2026.05 '!$D652,[1]SA007!Q:Q)</f>
        <v>0</v>
      </c>
      <c r="AC652" s="19">
        <f t="shared" si="23"/>
        <v>0</v>
      </c>
      <c r="AD652" s="19">
        <f t="shared" si="24"/>
        <v>0</v>
      </c>
      <c r="AG652" s="21">
        <f>SUMIF([1]SO003!$H:$H,'SA007 2025.01-2026.05 '!$D652,[1]SO003!AF:AF)</f>
        <v>0</v>
      </c>
      <c r="AH652" s="21">
        <f>SUMIF([1]SO003!$H:$H,'SA007 2025.01-2026.05 '!$D652,[1]SO003!AH:AH)</f>
        <v>0</v>
      </c>
      <c r="AI652" s="21">
        <f>SUMIF([1]SO003!$H:$H,'SA007 2025.01-2026.05 '!$D652,[1]SO003!AJ:AJ)</f>
        <v>0</v>
      </c>
    </row>
    <row r="653" spans="1:35" x14ac:dyDescent="0.55000000000000004">
      <c r="A653" s="2" t="s">
        <v>460</v>
      </c>
      <c r="D653" s="22" t="s">
        <v>1197</v>
      </c>
      <c r="E653" s="2" t="s">
        <v>116</v>
      </c>
      <c r="F653" s="2" t="s">
        <v>116</v>
      </c>
      <c r="G653" s="3" t="s">
        <v>47</v>
      </c>
      <c r="H653" s="2" t="s">
        <v>321</v>
      </c>
      <c r="I653" s="17">
        <v>3.2</v>
      </c>
      <c r="J653" s="3">
        <v>75</v>
      </c>
      <c r="K653" s="3">
        <v>1219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8">
        <v>0</v>
      </c>
      <c r="R653" s="18">
        <v>0</v>
      </c>
      <c r="S653" s="18">
        <v>0</v>
      </c>
      <c r="T653" s="18">
        <v>0</v>
      </c>
      <c r="U653" s="18">
        <v>0</v>
      </c>
      <c r="V653" s="18">
        <v>0</v>
      </c>
      <c r="W653" s="18">
        <v>0</v>
      </c>
      <c r="X653" s="18">
        <v>0</v>
      </c>
      <c r="Y653" s="18">
        <v>0</v>
      </c>
      <c r="Z653" s="18">
        <v>0</v>
      </c>
      <c r="AA653" s="18">
        <f>SUMIF([1]SA007!$C:$C,'SA007 2025.01-2026.05 '!$D653,[1]SA007!P:P)</f>
        <v>0</v>
      </c>
      <c r="AB653" s="18">
        <f>SUMIF([1]SA007!$C:$C,'SA007 2025.01-2026.05 '!$D653,[1]SA007!Q:Q)</f>
        <v>0</v>
      </c>
      <c r="AC653" s="19">
        <f t="shared" si="23"/>
        <v>0</v>
      </c>
      <c r="AD653" s="19">
        <f t="shared" si="24"/>
        <v>0</v>
      </c>
      <c r="AG653" s="21">
        <f>SUMIF([1]SO003!$H:$H,'SA007 2025.01-2026.05 '!$D653,[1]SO003!AF:AF)</f>
        <v>0</v>
      </c>
      <c r="AH653" s="21">
        <f>SUMIF([1]SO003!$H:$H,'SA007 2025.01-2026.05 '!$D653,[1]SO003!AH:AH)</f>
        <v>0</v>
      </c>
      <c r="AI653" s="21">
        <f>SUMIF([1]SO003!$H:$H,'SA007 2025.01-2026.05 '!$D653,[1]SO003!AJ:AJ)</f>
        <v>0</v>
      </c>
    </row>
    <row r="654" spans="1:35" x14ac:dyDescent="0.55000000000000004">
      <c r="A654" s="2" t="s">
        <v>460</v>
      </c>
      <c r="D654" s="22" t="s">
        <v>1198</v>
      </c>
      <c r="E654" s="2" t="s">
        <v>116</v>
      </c>
      <c r="F654" s="2" t="s">
        <v>116</v>
      </c>
      <c r="G654" s="3" t="s">
        <v>47</v>
      </c>
      <c r="H654" s="2" t="s">
        <v>321</v>
      </c>
      <c r="I654" s="17">
        <v>3.2</v>
      </c>
      <c r="J654" s="3">
        <v>79</v>
      </c>
      <c r="K654" s="3">
        <v>1219</v>
      </c>
      <c r="L654" s="18">
        <v>0</v>
      </c>
      <c r="M654" s="18">
        <v>0</v>
      </c>
      <c r="N654" s="18">
        <v>0</v>
      </c>
      <c r="O654" s="18">
        <v>0</v>
      </c>
      <c r="P654" s="18">
        <v>0</v>
      </c>
      <c r="Q654" s="18">
        <v>0</v>
      </c>
      <c r="R654" s="18">
        <v>0</v>
      </c>
      <c r="S654" s="18">
        <v>0</v>
      </c>
      <c r="T654" s="18">
        <v>0</v>
      </c>
      <c r="U654" s="18">
        <v>0</v>
      </c>
      <c r="V654" s="18">
        <v>0</v>
      </c>
      <c r="W654" s="18">
        <v>0</v>
      </c>
      <c r="X654" s="18">
        <v>0</v>
      </c>
      <c r="Y654" s="18">
        <v>0</v>
      </c>
      <c r="Z654" s="18">
        <v>0</v>
      </c>
      <c r="AA654" s="18">
        <f>SUMIF([1]SA007!$C:$C,'SA007 2025.01-2026.05 '!$D654,[1]SA007!P:P)</f>
        <v>0</v>
      </c>
      <c r="AB654" s="18">
        <f>SUMIF([1]SA007!$C:$C,'SA007 2025.01-2026.05 '!$D654,[1]SA007!Q:Q)</f>
        <v>0</v>
      </c>
      <c r="AC654" s="19">
        <f t="shared" si="23"/>
        <v>0</v>
      </c>
      <c r="AD654" s="19">
        <f t="shared" si="24"/>
        <v>0</v>
      </c>
      <c r="AG654" s="21">
        <f>SUMIF([1]SO003!$H:$H,'SA007 2025.01-2026.05 '!$D654,[1]SO003!AF:AF)</f>
        <v>0</v>
      </c>
      <c r="AH654" s="21">
        <f>SUMIF([1]SO003!$H:$H,'SA007 2025.01-2026.05 '!$D654,[1]SO003!AH:AH)</f>
        <v>0</v>
      </c>
      <c r="AI654" s="21">
        <f>SUMIF([1]SO003!$H:$H,'SA007 2025.01-2026.05 '!$D654,[1]SO003!AJ:AJ)</f>
        <v>0</v>
      </c>
    </row>
    <row r="655" spans="1:35" x14ac:dyDescent="0.55000000000000004">
      <c r="A655" s="2" t="s">
        <v>489</v>
      </c>
      <c r="D655" s="22" t="s">
        <v>1199</v>
      </c>
      <c r="E655" s="2" t="s">
        <v>116</v>
      </c>
      <c r="F655" s="2" t="s">
        <v>116</v>
      </c>
      <c r="G655" s="3" t="s">
        <v>47</v>
      </c>
      <c r="H655" s="2" t="s">
        <v>321</v>
      </c>
      <c r="I655" s="17">
        <v>2.2999999999999998</v>
      </c>
      <c r="J655" s="3">
        <v>110</v>
      </c>
      <c r="K655" s="3">
        <v>1219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  <c r="R655" s="18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0</v>
      </c>
      <c r="Y655" s="18">
        <v>0</v>
      </c>
      <c r="Z655" s="18">
        <v>0</v>
      </c>
      <c r="AA655" s="18">
        <f>SUMIF([1]SA007!$C:$C,'SA007 2025.01-2026.05 '!$D655,[1]SA007!P:P)</f>
        <v>0</v>
      </c>
      <c r="AB655" s="18">
        <f>SUMIF([1]SA007!$C:$C,'SA007 2025.01-2026.05 '!$D655,[1]SA007!Q:Q)</f>
        <v>0</v>
      </c>
      <c r="AC655" s="19">
        <f t="shared" si="23"/>
        <v>0</v>
      </c>
      <c r="AD655" s="19">
        <f t="shared" si="24"/>
        <v>0</v>
      </c>
      <c r="AG655" s="21">
        <f>SUMIF([1]SO003!$H:$H,'SA007 2025.01-2026.05 '!$D655,[1]SO003!AF:AF)</f>
        <v>0</v>
      </c>
      <c r="AH655" s="21">
        <f>SUMIF([1]SO003!$H:$H,'SA007 2025.01-2026.05 '!$D655,[1]SO003!AH:AH)</f>
        <v>0</v>
      </c>
      <c r="AI655" s="21">
        <f>SUMIF([1]SO003!$H:$H,'SA007 2025.01-2026.05 '!$D655,[1]SO003!AJ:AJ)</f>
        <v>0</v>
      </c>
    </row>
    <row r="656" spans="1:35" x14ac:dyDescent="0.55000000000000004">
      <c r="A656" s="2" t="s">
        <v>171</v>
      </c>
      <c r="B656" s="2" t="s">
        <v>172</v>
      </c>
      <c r="C656" s="2" t="s">
        <v>172</v>
      </c>
      <c r="D656" s="2" t="s">
        <v>172</v>
      </c>
      <c r="E656" s="2" t="s">
        <v>569</v>
      </c>
      <c r="F656" s="2" t="s">
        <v>569</v>
      </c>
      <c r="G656" s="3" t="s">
        <v>175</v>
      </c>
      <c r="H656" s="2" t="s">
        <v>172</v>
      </c>
      <c r="I656" s="17">
        <v>1.6</v>
      </c>
      <c r="J656" s="3">
        <v>550</v>
      </c>
      <c r="K656" s="3">
        <v>315</v>
      </c>
      <c r="L656" s="18">
        <v>1098</v>
      </c>
      <c r="M656" s="18">
        <v>0</v>
      </c>
      <c r="N656" s="18">
        <v>0</v>
      </c>
      <c r="O656" s="18">
        <v>2180</v>
      </c>
      <c r="P656" s="18">
        <v>0</v>
      </c>
      <c r="Q656" s="18">
        <v>0</v>
      </c>
      <c r="R656" s="18">
        <v>2150</v>
      </c>
      <c r="S656" s="18">
        <v>0</v>
      </c>
      <c r="T656" s="18">
        <v>0</v>
      </c>
      <c r="U656" s="18">
        <v>0</v>
      </c>
      <c r="V656" s="18">
        <v>2181</v>
      </c>
      <c r="W656" s="18">
        <v>0</v>
      </c>
      <c r="X656" s="18">
        <v>0</v>
      </c>
      <c r="Y656" s="18">
        <v>0</v>
      </c>
      <c r="Z656" s="18">
        <v>0</v>
      </c>
      <c r="AA656" s="18">
        <f>SUMIF([1]SA007!$C:$C,'SA007 2025.01-2026.05 '!$D656,[1]SA007!P:P)</f>
        <v>0</v>
      </c>
      <c r="AB656" s="18">
        <f>SUMIF([1]SA007!$C:$C,'SA007 2025.01-2026.05 '!$D656,[1]SA007!Q:Q)</f>
        <v>0</v>
      </c>
      <c r="AC656" s="19">
        <f t="shared" si="23"/>
        <v>7609</v>
      </c>
      <c r="AD656" s="19">
        <f t="shared" si="24"/>
        <v>447.58823529411762</v>
      </c>
      <c r="AE656" s="20" t="s">
        <v>116</v>
      </c>
      <c r="AG656" s="21">
        <f>SUMIF([1]SO003!$H:$H,'SA007 2025.01-2026.05 '!$D656,[1]SO003!AF:AF)</f>
        <v>0</v>
      </c>
      <c r="AH656" s="21">
        <f>SUMIF([1]SO003!$H:$H,'SA007 2025.01-2026.05 '!$D656,[1]SO003!AH:AH)</f>
        <v>0</v>
      </c>
      <c r="AI656" s="21">
        <f>SUMIF([1]SO003!$H:$H,'SA007 2025.01-2026.05 '!$D656,[1]SO003!AJ:AJ)</f>
        <v>0</v>
      </c>
    </row>
    <row r="657" spans="1:35" x14ac:dyDescent="0.55000000000000004">
      <c r="A657" s="2" t="s">
        <v>1096</v>
      </c>
      <c r="D657" s="22">
        <v>77004014</v>
      </c>
      <c r="E657" s="2" t="s">
        <v>116</v>
      </c>
      <c r="F657" s="2" t="s">
        <v>116</v>
      </c>
      <c r="G657" s="3" t="s">
        <v>47</v>
      </c>
      <c r="H657" s="2" t="s">
        <v>365</v>
      </c>
      <c r="I657" s="17">
        <v>2.9</v>
      </c>
      <c r="J657" s="3">
        <v>100</v>
      </c>
      <c r="K657" s="3">
        <v>1219</v>
      </c>
      <c r="L657" s="18">
        <v>0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0</v>
      </c>
      <c r="X657" s="18">
        <v>0</v>
      </c>
      <c r="Y657" s="18">
        <v>0</v>
      </c>
      <c r="Z657" s="18">
        <v>0</v>
      </c>
      <c r="AA657" s="18">
        <f>SUMIF([1]SA007!$C:$C,'SA007 2025.01-2026.05 '!$D657,[1]SA007!P:P)</f>
        <v>0</v>
      </c>
      <c r="AB657" s="18">
        <f>SUMIF([1]SA007!$C:$C,'SA007 2025.01-2026.05 '!$D657,[1]SA007!Q:Q)</f>
        <v>0</v>
      </c>
      <c r="AC657" s="19">
        <f t="shared" si="23"/>
        <v>0</v>
      </c>
      <c r="AD657" s="19">
        <f t="shared" si="24"/>
        <v>0</v>
      </c>
      <c r="AG657" s="21">
        <f>SUMIF([1]SO003!$H:$H,'SA007 2025.01-2026.05 '!$D657,[1]SO003!AF:AF)</f>
        <v>0</v>
      </c>
      <c r="AH657" s="21">
        <f>SUMIF([1]SO003!$H:$H,'SA007 2025.01-2026.05 '!$D657,[1]SO003!AH:AH)</f>
        <v>0</v>
      </c>
      <c r="AI657" s="21">
        <f>SUMIF([1]SO003!$H:$H,'SA007 2025.01-2026.05 '!$D657,[1]SO003!AJ:AJ)</f>
        <v>0</v>
      </c>
    </row>
    <row r="658" spans="1:35" x14ac:dyDescent="0.55000000000000004">
      <c r="A658" s="2" t="s">
        <v>212</v>
      </c>
      <c r="B658" s="2" t="s">
        <v>213</v>
      </c>
      <c r="C658" s="2" t="s">
        <v>213</v>
      </c>
      <c r="D658" s="2" t="s">
        <v>1200</v>
      </c>
      <c r="E658" s="2" t="s">
        <v>129</v>
      </c>
      <c r="F658" s="2" t="s">
        <v>129</v>
      </c>
      <c r="G658" s="3" t="s">
        <v>47</v>
      </c>
      <c r="H658" s="2" t="s">
        <v>1201</v>
      </c>
      <c r="I658" s="17">
        <v>1.6</v>
      </c>
      <c r="J658" s="3">
        <v>87</v>
      </c>
      <c r="K658" s="3">
        <v>550</v>
      </c>
      <c r="L658" s="18">
        <v>0</v>
      </c>
      <c r="M658" s="18">
        <v>0</v>
      </c>
      <c r="N658" s="18">
        <v>4515</v>
      </c>
      <c r="O658" s="18">
        <v>0</v>
      </c>
      <c r="P658" s="18">
        <v>0</v>
      </c>
      <c r="Q658" s="18">
        <v>4855</v>
      </c>
      <c r="R658" s="18">
        <v>0</v>
      </c>
      <c r="S658" s="18">
        <v>4816</v>
      </c>
      <c r="T658" s="18">
        <v>0</v>
      </c>
      <c r="U658" s="18">
        <v>0</v>
      </c>
      <c r="V658" s="18">
        <v>0</v>
      </c>
      <c r="W658" s="18">
        <v>0</v>
      </c>
      <c r="X658" s="18">
        <v>0</v>
      </c>
      <c r="Y658" s="18">
        <v>0</v>
      </c>
      <c r="Z658" s="18">
        <v>0</v>
      </c>
      <c r="AA658" s="18">
        <f>SUMIF([1]SA007!$C:$C,'SA007 2025.01-2026.05 '!$D658,[1]SA007!P:P)</f>
        <v>0</v>
      </c>
      <c r="AB658" s="18">
        <f>SUMIF([1]SA007!$C:$C,'SA007 2025.01-2026.05 '!$D658,[1]SA007!Q:Q)</f>
        <v>0</v>
      </c>
      <c r="AC658" s="19">
        <f t="shared" si="23"/>
        <v>14186</v>
      </c>
      <c r="AD658" s="19">
        <f t="shared" si="24"/>
        <v>834.47058823529414</v>
      </c>
      <c r="AE658" s="20" t="s">
        <v>459</v>
      </c>
      <c r="AG658" s="21">
        <f>SUMIF([1]SO003!$H:$H,'SA007 2025.01-2026.05 '!$D658,[1]SO003!AF:AF)</f>
        <v>0</v>
      </c>
      <c r="AH658" s="21">
        <f>SUMIF([1]SO003!$H:$H,'SA007 2025.01-2026.05 '!$D658,[1]SO003!AH:AH)</f>
        <v>0</v>
      </c>
      <c r="AI658" s="21">
        <f>SUMIF([1]SO003!$H:$H,'SA007 2025.01-2026.05 '!$D658,[1]SO003!AJ:AJ)</f>
        <v>0</v>
      </c>
    </row>
    <row r="659" spans="1:35" x14ac:dyDescent="0.55000000000000004">
      <c r="A659" s="2" t="s">
        <v>364</v>
      </c>
      <c r="D659" s="22" t="s">
        <v>1202</v>
      </c>
      <c r="E659" s="2" t="s">
        <v>116</v>
      </c>
      <c r="F659" s="2" t="s">
        <v>116</v>
      </c>
      <c r="G659" s="3" t="s">
        <v>47</v>
      </c>
      <c r="H659" s="2" t="s">
        <v>1131</v>
      </c>
      <c r="I659" s="17">
        <v>2</v>
      </c>
      <c r="J659" s="3">
        <v>117</v>
      </c>
      <c r="K659" s="3">
        <v>1219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0</v>
      </c>
      <c r="AA659" s="18">
        <f>SUMIF([1]SA007!$C:$C,'SA007 2025.01-2026.05 '!$D659,[1]SA007!P:P)</f>
        <v>0</v>
      </c>
      <c r="AB659" s="18">
        <f>SUMIF([1]SA007!$C:$C,'SA007 2025.01-2026.05 '!$D659,[1]SA007!Q:Q)</f>
        <v>0</v>
      </c>
      <c r="AC659" s="19">
        <f t="shared" si="23"/>
        <v>0</v>
      </c>
      <c r="AD659" s="19">
        <f t="shared" si="24"/>
        <v>0</v>
      </c>
      <c r="AG659" s="21">
        <f>SUMIF([1]SO003!$H:$H,'SA007 2025.01-2026.05 '!$D659,[1]SO003!AF:AF)</f>
        <v>0</v>
      </c>
      <c r="AH659" s="21">
        <f>SUMIF([1]SO003!$H:$H,'SA007 2025.01-2026.05 '!$D659,[1]SO003!AH:AH)</f>
        <v>0</v>
      </c>
      <c r="AI659" s="21">
        <f>SUMIF([1]SO003!$H:$H,'SA007 2025.01-2026.05 '!$D659,[1]SO003!AJ:AJ)</f>
        <v>0</v>
      </c>
    </row>
    <row r="660" spans="1:35" x14ac:dyDescent="0.55000000000000004">
      <c r="A660" s="2" t="s">
        <v>212</v>
      </c>
      <c r="B660" s="2" t="s">
        <v>213</v>
      </c>
      <c r="C660" s="2" t="s">
        <v>213</v>
      </c>
      <c r="D660" s="2" t="s">
        <v>1203</v>
      </c>
      <c r="E660" s="2" t="s">
        <v>129</v>
      </c>
      <c r="F660" s="2" t="s">
        <v>129</v>
      </c>
      <c r="G660" s="3" t="s">
        <v>47</v>
      </c>
      <c r="H660" s="2" t="s">
        <v>1201</v>
      </c>
      <c r="I660" s="17">
        <v>1.6</v>
      </c>
      <c r="J660" s="3">
        <v>84</v>
      </c>
      <c r="K660" s="3">
        <v>595</v>
      </c>
      <c r="L660" s="18">
        <v>2525</v>
      </c>
      <c r="M660" s="18">
        <v>0</v>
      </c>
      <c r="N660" s="18">
        <v>0</v>
      </c>
      <c r="O660" s="18">
        <v>0</v>
      </c>
      <c r="P660" s="18">
        <v>2473</v>
      </c>
      <c r="Q660" s="18">
        <v>0</v>
      </c>
      <c r="R660" s="18">
        <v>0</v>
      </c>
      <c r="S660" s="18">
        <v>2528</v>
      </c>
      <c r="T660" s="18">
        <v>0</v>
      </c>
      <c r="U660" s="18">
        <v>0</v>
      </c>
      <c r="V660" s="18">
        <v>0</v>
      </c>
      <c r="W660" s="18">
        <v>0</v>
      </c>
      <c r="X660" s="18">
        <v>0</v>
      </c>
      <c r="Y660" s="18">
        <v>0</v>
      </c>
      <c r="Z660" s="18">
        <v>0</v>
      </c>
      <c r="AA660" s="18">
        <f>SUMIF([1]SA007!$C:$C,'SA007 2025.01-2026.05 '!$D660,[1]SA007!P:P)</f>
        <v>0</v>
      </c>
      <c r="AB660" s="18">
        <f>SUMIF([1]SA007!$C:$C,'SA007 2025.01-2026.05 '!$D660,[1]SA007!Q:Q)</f>
        <v>0</v>
      </c>
      <c r="AC660" s="19">
        <f t="shared" si="23"/>
        <v>7526</v>
      </c>
      <c r="AD660" s="19">
        <f t="shared" si="24"/>
        <v>442.70588235294116</v>
      </c>
      <c r="AE660" s="20" t="s">
        <v>459</v>
      </c>
      <c r="AG660" s="21">
        <f>SUMIF([1]SO003!$H:$H,'SA007 2025.01-2026.05 '!$D660,[1]SO003!AF:AF)</f>
        <v>0</v>
      </c>
      <c r="AH660" s="21">
        <f>SUMIF([1]SO003!$H:$H,'SA007 2025.01-2026.05 '!$D660,[1]SO003!AH:AH)</f>
        <v>0</v>
      </c>
      <c r="AI660" s="21">
        <f>SUMIF([1]SO003!$H:$H,'SA007 2025.01-2026.05 '!$D660,[1]SO003!AJ:AJ)</f>
        <v>0</v>
      </c>
    </row>
    <row r="661" spans="1:35" x14ac:dyDescent="0.55000000000000004">
      <c r="A661" s="2" t="s">
        <v>433</v>
      </c>
      <c r="D661" s="22">
        <v>77004541</v>
      </c>
      <c r="E661" s="2" t="s">
        <v>555</v>
      </c>
      <c r="F661" s="2" t="s">
        <v>556</v>
      </c>
      <c r="G661" s="3" t="s">
        <v>47</v>
      </c>
      <c r="H661" s="2" t="s">
        <v>321</v>
      </c>
      <c r="I661" s="17">
        <v>2.6</v>
      </c>
      <c r="J661" s="3">
        <v>66</v>
      </c>
      <c r="K661" s="3">
        <v>1219</v>
      </c>
      <c r="L661" s="18">
        <v>166</v>
      </c>
      <c r="M661" s="18">
        <v>329</v>
      </c>
      <c r="N661" s="18">
        <v>172</v>
      </c>
      <c r="O661" s="18">
        <v>0</v>
      </c>
      <c r="P661" s="18">
        <v>244</v>
      </c>
      <c r="Q661" s="18">
        <v>0</v>
      </c>
      <c r="R661" s="18">
        <v>216</v>
      </c>
      <c r="S661" s="18">
        <v>0</v>
      </c>
      <c r="T661" s="18">
        <v>80</v>
      </c>
      <c r="U661" s="18">
        <v>166</v>
      </c>
      <c r="V661" s="18">
        <v>166</v>
      </c>
      <c r="W661" s="18">
        <v>0</v>
      </c>
      <c r="X661" s="18">
        <v>164</v>
      </c>
      <c r="Y661" s="18">
        <v>414</v>
      </c>
      <c r="Z661" s="18">
        <v>82</v>
      </c>
      <c r="AA661" s="18">
        <f>SUMIF([1]SA007!$C:$C,'SA007 2025.01-2026.05 '!$D661,[1]SA007!P:P)</f>
        <v>164</v>
      </c>
      <c r="AB661" s="18">
        <f>SUMIF([1]SA007!$C:$C,'SA007 2025.01-2026.05 '!$D661,[1]SA007!Q:Q)</f>
        <v>163</v>
      </c>
      <c r="AC661" s="19">
        <f t="shared" si="23"/>
        <v>2526</v>
      </c>
      <c r="AD661" s="19">
        <f t="shared" si="24"/>
        <v>148.58823529411765</v>
      </c>
      <c r="AG661" s="21">
        <f>SUMIF([1]SO003!$H:$H,'SA007 2025.01-2026.05 '!$D661,[1]SO003!AF:AF)</f>
        <v>246.30992099999997</v>
      </c>
      <c r="AH661" s="21">
        <f>SUMIF([1]SO003!$H:$H,'SA007 2025.01-2026.05 '!$D661,[1]SO003!AH:AH)</f>
        <v>246.30992099999997</v>
      </c>
      <c r="AI661" s="21">
        <f>SUMIF([1]SO003!$H:$H,'SA007 2025.01-2026.05 '!$D661,[1]SO003!AJ:AJ)</f>
        <v>0</v>
      </c>
    </row>
    <row r="662" spans="1:35" x14ac:dyDescent="0.55000000000000004">
      <c r="A662" s="2" t="s">
        <v>389</v>
      </c>
      <c r="D662" s="22">
        <v>77004149</v>
      </c>
      <c r="E662" s="2" t="s">
        <v>555</v>
      </c>
      <c r="F662" s="2" t="s">
        <v>556</v>
      </c>
      <c r="G662" s="3" t="s">
        <v>47</v>
      </c>
      <c r="H662" s="2" t="s">
        <v>321</v>
      </c>
      <c r="I662" s="17">
        <v>2</v>
      </c>
      <c r="J662" s="3">
        <v>88</v>
      </c>
      <c r="K662" s="3">
        <v>1219</v>
      </c>
      <c r="L662" s="18">
        <v>0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8">
        <v>420</v>
      </c>
      <c r="T662" s="18">
        <v>131</v>
      </c>
      <c r="U662" s="18">
        <v>339</v>
      </c>
      <c r="V662" s="18">
        <v>333</v>
      </c>
      <c r="W662" s="18">
        <v>550</v>
      </c>
      <c r="X662" s="18">
        <v>514</v>
      </c>
      <c r="Y662" s="18">
        <v>339</v>
      </c>
      <c r="Z662" s="18">
        <v>0</v>
      </c>
      <c r="AA662" s="18">
        <f>SUMIF([1]SA007!$C:$C,'SA007 2025.01-2026.05 '!$D662,[1]SA007!P:P)</f>
        <v>753</v>
      </c>
      <c r="AB662" s="18">
        <f>SUMIF([1]SA007!$C:$C,'SA007 2025.01-2026.05 '!$D662,[1]SA007!Q:Q)</f>
        <v>0</v>
      </c>
      <c r="AC662" s="19">
        <f t="shared" si="23"/>
        <v>3379</v>
      </c>
      <c r="AD662" s="19">
        <f t="shared" si="24"/>
        <v>198.76470588235293</v>
      </c>
      <c r="AG662" s="21">
        <f>SUMIF([1]SO003!$H:$H,'SA007 2025.01-2026.05 '!$D662,[1]SO003!AF:AF)</f>
        <v>0</v>
      </c>
      <c r="AH662" s="21">
        <f>SUMIF([1]SO003!$H:$H,'SA007 2025.01-2026.05 '!$D662,[1]SO003!AH:AH)</f>
        <v>0</v>
      </c>
      <c r="AI662" s="21">
        <f>SUMIF([1]SO003!$H:$H,'SA007 2025.01-2026.05 '!$D662,[1]SO003!AJ:AJ)</f>
        <v>0</v>
      </c>
    </row>
    <row r="663" spans="1:35" x14ac:dyDescent="0.55000000000000004">
      <c r="A663" s="2" t="s">
        <v>460</v>
      </c>
      <c r="D663" s="22">
        <v>77004559</v>
      </c>
      <c r="E663" s="2" t="s">
        <v>555</v>
      </c>
      <c r="F663" s="2" t="s">
        <v>556</v>
      </c>
      <c r="G663" s="3" t="s">
        <v>47</v>
      </c>
      <c r="H663" s="2" t="s">
        <v>321</v>
      </c>
      <c r="I663" s="17">
        <v>3.2</v>
      </c>
      <c r="J663" s="3">
        <v>78</v>
      </c>
      <c r="K663" s="3">
        <v>1219</v>
      </c>
      <c r="L663" s="18">
        <v>430</v>
      </c>
      <c r="M663" s="18">
        <v>1221</v>
      </c>
      <c r="N663" s="18">
        <v>1452</v>
      </c>
      <c r="O663" s="18">
        <v>369</v>
      </c>
      <c r="P663" s="18">
        <v>1089</v>
      </c>
      <c r="Q663" s="18">
        <v>735</v>
      </c>
      <c r="R663" s="18">
        <v>495</v>
      </c>
      <c r="S663" s="18">
        <v>1106</v>
      </c>
      <c r="T663" s="18">
        <v>1225</v>
      </c>
      <c r="U663" s="18">
        <v>486</v>
      </c>
      <c r="V663" s="18">
        <v>244</v>
      </c>
      <c r="W663" s="18">
        <v>238</v>
      </c>
      <c r="X663" s="18">
        <v>483</v>
      </c>
      <c r="Y663" s="18">
        <v>358</v>
      </c>
      <c r="Z663" s="18">
        <v>239</v>
      </c>
      <c r="AA663" s="18">
        <f>SUMIF([1]SA007!$C:$C,'SA007 2025.01-2026.05 '!$D663,[1]SA007!P:P)</f>
        <v>1433</v>
      </c>
      <c r="AB663" s="18">
        <f>SUMIF([1]SA007!$C:$C,'SA007 2025.01-2026.05 '!$D663,[1]SA007!Q:Q)</f>
        <v>720</v>
      </c>
      <c r="AC663" s="19">
        <f t="shared" si="23"/>
        <v>12323</v>
      </c>
      <c r="AD663" s="19">
        <f t="shared" si="24"/>
        <v>724.88235294117646</v>
      </c>
      <c r="AG663" s="21">
        <f>SUMIF([1]SO003!$H:$H,'SA007 2025.01-2026.05 '!$D663,[1]SO003!AF:AF)</f>
        <v>597.11496000000011</v>
      </c>
      <c r="AH663" s="21">
        <f>SUMIF([1]SO003!$H:$H,'SA007 2025.01-2026.05 '!$D663,[1]SO003!AH:AH)</f>
        <v>597.11496000000011</v>
      </c>
      <c r="AI663" s="21">
        <f>SUMIF([1]SO003!$H:$H,'SA007 2025.01-2026.05 '!$D663,[1]SO003!AJ:AJ)</f>
        <v>0</v>
      </c>
    </row>
    <row r="664" spans="1:35" x14ac:dyDescent="0.55000000000000004">
      <c r="A664" s="2" t="s">
        <v>212</v>
      </c>
      <c r="B664" s="2" t="s">
        <v>213</v>
      </c>
      <c r="C664" s="2" t="s">
        <v>213</v>
      </c>
      <c r="D664" s="2" t="s">
        <v>1204</v>
      </c>
      <c r="E664" s="2" t="s">
        <v>363</v>
      </c>
      <c r="F664" s="2" t="s">
        <v>363</v>
      </c>
      <c r="G664" s="3" t="s">
        <v>47</v>
      </c>
      <c r="H664" s="2" t="s">
        <v>402</v>
      </c>
      <c r="I664" s="17">
        <v>1.6</v>
      </c>
      <c r="J664" s="3">
        <v>110</v>
      </c>
      <c r="K664" s="3">
        <v>1220</v>
      </c>
      <c r="L664" s="18">
        <v>0</v>
      </c>
      <c r="M664" s="18">
        <v>167</v>
      </c>
      <c r="N664" s="18">
        <v>0</v>
      </c>
      <c r="O664" s="18">
        <v>0</v>
      </c>
      <c r="P664" s="18">
        <v>169</v>
      </c>
      <c r="Q664" s="18">
        <v>0</v>
      </c>
      <c r="R664" s="18">
        <v>0</v>
      </c>
      <c r="S664" s="18">
        <v>0</v>
      </c>
      <c r="T664" s="18">
        <v>0</v>
      </c>
      <c r="U664" s="18">
        <v>0</v>
      </c>
      <c r="V664" s="18">
        <v>0</v>
      </c>
      <c r="W664" s="18">
        <v>0</v>
      </c>
      <c r="X664" s="18">
        <v>0</v>
      </c>
      <c r="Y664" s="18">
        <v>0</v>
      </c>
      <c r="Z664" s="18">
        <v>0</v>
      </c>
      <c r="AA664" s="18">
        <f>SUMIF([1]SA007!$C:$C,'SA007 2025.01-2026.05 '!$D664,[1]SA007!P:P)</f>
        <v>0</v>
      </c>
      <c r="AB664" s="18">
        <f>SUMIF([1]SA007!$C:$C,'SA007 2025.01-2026.05 '!$D664,[1]SA007!Q:Q)</f>
        <v>0</v>
      </c>
      <c r="AC664" s="19">
        <f t="shared" si="23"/>
        <v>336</v>
      </c>
      <c r="AD664" s="19">
        <f t="shared" si="24"/>
        <v>19.764705882352942</v>
      </c>
      <c r="AE664" s="20" t="s">
        <v>116</v>
      </c>
      <c r="AG664" s="21">
        <f>SUMIF([1]SO003!$H:$H,'SA007 2025.01-2026.05 '!$D664,[1]SO003!AF:AF)</f>
        <v>0</v>
      </c>
      <c r="AH664" s="21">
        <f>SUMIF([1]SO003!$H:$H,'SA007 2025.01-2026.05 '!$D664,[1]SO003!AH:AH)</f>
        <v>0</v>
      </c>
      <c r="AI664" s="21">
        <f>SUMIF([1]SO003!$H:$H,'SA007 2025.01-2026.05 '!$D664,[1]SO003!AJ:AJ)</f>
        <v>0</v>
      </c>
    </row>
    <row r="665" spans="1:35" x14ac:dyDescent="0.55000000000000004">
      <c r="A665" s="2" t="s">
        <v>212</v>
      </c>
      <c r="B665" s="2" t="s">
        <v>213</v>
      </c>
      <c r="C665" s="2" t="s">
        <v>213</v>
      </c>
      <c r="D665" s="2" t="s">
        <v>1205</v>
      </c>
      <c r="E665" s="2" t="s">
        <v>363</v>
      </c>
      <c r="F665" s="2" t="s">
        <v>363</v>
      </c>
      <c r="G665" s="3" t="s">
        <v>47</v>
      </c>
      <c r="H665" s="2" t="s">
        <v>402</v>
      </c>
      <c r="I665" s="17">
        <v>1.6</v>
      </c>
      <c r="J665" s="3">
        <v>88</v>
      </c>
      <c r="K665" s="3">
        <v>1220</v>
      </c>
      <c r="L665" s="18">
        <v>0</v>
      </c>
      <c r="M665" s="18">
        <v>132</v>
      </c>
      <c r="N665" s="18">
        <v>0</v>
      </c>
      <c r="O665" s="18">
        <v>0</v>
      </c>
      <c r="P665" s="18">
        <v>202</v>
      </c>
      <c r="Q665" s="18">
        <v>270</v>
      </c>
      <c r="R665" s="18">
        <v>206</v>
      </c>
      <c r="S665" s="18">
        <v>134</v>
      </c>
      <c r="T665" s="18">
        <v>0</v>
      </c>
      <c r="U665" s="18">
        <v>0</v>
      </c>
      <c r="V665" s="18">
        <v>0</v>
      </c>
      <c r="W665" s="18">
        <v>404</v>
      </c>
      <c r="X665" s="18">
        <v>0</v>
      </c>
      <c r="Y665" s="18">
        <v>0</v>
      </c>
      <c r="Z665" s="18">
        <v>0</v>
      </c>
      <c r="AA665" s="18">
        <f>SUMIF([1]SA007!$C:$C,'SA007 2025.01-2026.05 '!$D665,[1]SA007!P:P)</f>
        <v>0</v>
      </c>
      <c r="AB665" s="18">
        <f>SUMIF([1]SA007!$C:$C,'SA007 2025.01-2026.05 '!$D665,[1]SA007!Q:Q)</f>
        <v>0</v>
      </c>
      <c r="AC665" s="19">
        <f t="shared" si="23"/>
        <v>1348</v>
      </c>
      <c r="AD665" s="19">
        <f t="shared" si="24"/>
        <v>79.294117647058826</v>
      </c>
      <c r="AE665" s="20" t="s">
        <v>116</v>
      </c>
      <c r="AG665" s="21">
        <f>SUMIF([1]SO003!$H:$H,'SA007 2025.01-2026.05 '!$D665,[1]SO003!AF:AF)</f>
        <v>0</v>
      </c>
      <c r="AH665" s="21">
        <f>SUMIF([1]SO003!$H:$H,'SA007 2025.01-2026.05 '!$D665,[1]SO003!AH:AH)</f>
        <v>0</v>
      </c>
      <c r="AI665" s="21">
        <f>SUMIF([1]SO003!$H:$H,'SA007 2025.01-2026.05 '!$D665,[1]SO003!AJ:AJ)</f>
        <v>0</v>
      </c>
    </row>
    <row r="666" spans="1:35" x14ac:dyDescent="0.55000000000000004">
      <c r="A666" s="2" t="s">
        <v>212</v>
      </c>
      <c r="B666" s="2" t="s">
        <v>213</v>
      </c>
      <c r="C666" s="2" t="s">
        <v>213</v>
      </c>
      <c r="D666" s="2" t="s">
        <v>1206</v>
      </c>
      <c r="E666" s="2" t="s">
        <v>363</v>
      </c>
      <c r="G666" s="3" t="s">
        <v>47</v>
      </c>
      <c r="H666" s="2" t="s">
        <v>402</v>
      </c>
      <c r="I666" s="17">
        <v>1.6</v>
      </c>
      <c r="J666" s="3">
        <v>60</v>
      </c>
      <c r="K666" s="3">
        <v>1220</v>
      </c>
      <c r="L666" s="18">
        <v>0</v>
      </c>
      <c r="M666" s="18">
        <v>0</v>
      </c>
      <c r="N666" s="18">
        <v>0</v>
      </c>
      <c r="O666" s="18">
        <v>94</v>
      </c>
      <c r="P666" s="18">
        <v>0</v>
      </c>
      <c r="Q666" s="18">
        <v>0</v>
      </c>
      <c r="R666" s="18">
        <v>0</v>
      </c>
      <c r="S666" s="18">
        <v>0</v>
      </c>
      <c r="T666" s="18">
        <v>0</v>
      </c>
      <c r="U666" s="18">
        <v>0</v>
      </c>
      <c r="V666" s="18">
        <v>0</v>
      </c>
      <c r="W666" s="18">
        <v>0</v>
      </c>
      <c r="X666" s="18">
        <v>0</v>
      </c>
      <c r="Y666" s="18">
        <v>0</v>
      </c>
      <c r="Z666" s="18">
        <v>0</v>
      </c>
      <c r="AA666" s="18">
        <f>SUMIF([1]SA007!$C:$C,'SA007 2025.01-2026.05 '!$D666,[1]SA007!P:P)</f>
        <v>0</v>
      </c>
      <c r="AB666" s="18">
        <f>SUMIF([1]SA007!$C:$C,'SA007 2025.01-2026.05 '!$D666,[1]SA007!Q:Q)</f>
        <v>0</v>
      </c>
      <c r="AC666" s="19">
        <f t="shared" si="23"/>
        <v>94</v>
      </c>
      <c r="AD666" s="19">
        <f t="shared" si="24"/>
        <v>5.5294117647058822</v>
      </c>
      <c r="AE666" s="20" t="s">
        <v>116</v>
      </c>
      <c r="AG666" s="21">
        <f>SUMIF([1]SO003!$H:$H,'SA007 2025.01-2026.05 '!$D666,[1]SO003!AF:AF)</f>
        <v>0</v>
      </c>
      <c r="AH666" s="21">
        <f>SUMIF([1]SO003!$H:$H,'SA007 2025.01-2026.05 '!$D666,[1]SO003!AH:AH)</f>
        <v>0</v>
      </c>
      <c r="AI666" s="21">
        <f>SUMIF([1]SO003!$H:$H,'SA007 2025.01-2026.05 '!$D666,[1]SO003!AJ:AJ)</f>
        <v>0</v>
      </c>
    </row>
    <row r="667" spans="1:35" x14ac:dyDescent="0.55000000000000004">
      <c r="A667" s="2" t="s">
        <v>212</v>
      </c>
      <c r="B667" s="2" t="s">
        <v>213</v>
      </c>
      <c r="C667" s="2" t="s">
        <v>213</v>
      </c>
      <c r="D667" s="2" t="s">
        <v>1207</v>
      </c>
      <c r="E667" s="2" t="s">
        <v>363</v>
      </c>
      <c r="G667" s="3" t="s">
        <v>47</v>
      </c>
      <c r="H667" s="2" t="s">
        <v>402</v>
      </c>
      <c r="I667" s="17">
        <v>1.6</v>
      </c>
      <c r="J667" s="3">
        <v>90</v>
      </c>
      <c r="K667" s="3">
        <v>1220</v>
      </c>
      <c r="L667" s="18">
        <v>0</v>
      </c>
      <c r="M667" s="18">
        <v>0</v>
      </c>
      <c r="N667" s="18">
        <v>0</v>
      </c>
      <c r="O667" s="18">
        <v>0</v>
      </c>
      <c r="P667" s="18">
        <v>137</v>
      </c>
      <c r="Q667" s="18">
        <v>0</v>
      </c>
      <c r="R667" s="18">
        <v>357</v>
      </c>
      <c r="S667" s="18">
        <v>207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8">
        <v>203</v>
      </c>
      <c r="Z667" s="18">
        <v>0</v>
      </c>
      <c r="AA667" s="18">
        <f>SUMIF([1]SA007!$C:$C,'SA007 2025.01-2026.05 '!$D667,[1]SA007!P:P)</f>
        <v>0</v>
      </c>
      <c r="AB667" s="18">
        <f>SUMIF([1]SA007!$C:$C,'SA007 2025.01-2026.05 '!$D667,[1]SA007!Q:Q)</f>
        <v>134</v>
      </c>
      <c r="AC667" s="19">
        <f t="shared" si="23"/>
        <v>1038</v>
      </c>
      <c r="AD667" s="19">
        <f t="shared" si="24"/>
        <v>61.058823529411768</v>
      </c>
      <c r="AE667" s="20" t="s">
        <v>116</v>
      </c>
      <c r="AG667" s="21">
        <f>SUMIF([1]SO003!$H:$H,'SA007 2025.01-2026.05 '!$D667,[1]SO003!AF:AF)</f>
        <v>0</v>
      </c>
      <c r="AH667" s="21">
        <f>SUMIF([1]SO003!$H:$H,'SA007 2025.01-2026.05 '!$D667,[1]SO003!AH:AH)</f>
        <v>0</v>
      </c>
      <c r="AI667" s="21">
        <f>SUMIF([1]SO003!$H:$H,'SA007 2025.01-2026.05 '!$D667,[1]SO003!AJ:AJ)</f>
        <v>0</v>
      </c>
    </row>
    <row r="668" spans="1:35" x14ac:dyDescent="0.55000000000000004">
      <c r="A668" s="2" t="s">
        <v>212</v>
      </c>
      <c r="D668" s="22" t="s">
        <v>1208</v>
      </c>
      <c r="E668" s="2" t="s">
        <v>116</v>
      </c>
      <c r="F668" s="2" t="s">
        <v>116</v>
      </c>
      <c r="G668" s="3" t="s">
        <v>47</v>
      </c>
      <c r="H668" s="2" t="s">
        <v>402</v>
      </c>
      <c r="I668" s="17">
        <v>1.6</v>
      </c>
      <c r="J668" s="3">
        <v>87</v>
      </c>
      <c r="K668" s="3">
        <v>1219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8">
        <v>0</v>
      </c>
      <c r="S668" s="18">
        <v>0</v>
      </c>
      <c r="T668" s="18">
        <v>0</v>
      </c>
      <c r="U668" s="18">
        <v>0</v>
      </c>
      <c r="V668" s="18">
        <v>0</v>
      </c>
      <c r="W668" s="18">
        <v>0</v>
      </c>
      <c r="X668" s="18">
        <v>0</v>
      </c>
      <c r="Y668" s="18">
        <v>0</v>
      </c>
      <c r="Z668" s="18">
        <v>0</v>
      </c>
      <c r="AA668" s="18">
        <f>SUMIF([1]SA007!$C:$C,'SA007 2025.01-2026.05 '!$D668,[1]SA007!P:P)</f>
        <v>0</v>
      </c>
      <c r="AB668" s="18">
        <f>SUMIF([1]SA007!$C:$C,'SA007 2025.01-2026.05 '!$D668,[1]SA007!Q:Q)</f>
        <v>0</v>
      </c>
      <c r="AC668" s="19">
        <f t="shared" si="23"/>
        <v>0</v>
      </c>
      <c r="AD668" s="19">
        <f t="shared" si="24"/>
        <v>0</v>
      </c>
      <c r="AG668" s="21">
        <f>SUMIF([1]SO003!$H:$H,'SA007 2025.01-2026.05 '!$D668,[1]SO003!AF:AF)</f>
        <v>0</v>
      </c>
      <c r="AH668" s="21">
        <f>SUMIF([1]SO003!$H:$H,'SA007 2025.01-2026.05 '!$D668,[1]SO003!AH:AH)</f>
        <v>0</v>
      </c>
      <c r="AI668" s="21">
        <f>SUMIF([1]SO003!$H:$H,'SA007 2025.01-2026.05 '!$D668,[1]SO003!AJ:AJ)</f>
        <v>0</v>
      </c>
    </row>
    <row r="669" spans="1:35" x14ac:dyDescent="0.55000000000000004">
      <c r="A669" s="2" t="s">
        <v>212</v>
      </c>
      <c r="D669" s="22" t="s">
        <v>1209</v>
      </c>
      <c r="E669" s="2" t="s">
        <v>363</v>
      </c>
      <c r="F669" s="2" t="s">
        <v>363</v>
      </c>
      <c r="G669" s="3" t="s">
        <v>47</v>
      </c>
      <c r="H669" s="2" t="s">
        <v>402</v>
      </c>
      <c r="I669" s="17">
        <v>1.6</v>
      </c>
      <c r="J669" s="3">
        <v>88</v>
      </c>
      <c r="K669" s="3" t="s">
        <v>819</v>
      </c>
      <c r="L669" s="21">
        <v>0</v>
      </c>
      <c r="M669" s="21">
        <v>0</v>
      </c>
      <c r="N669" s="21">
        <v>0</v>
      </c>
      <c r="O669" s="21">
        <v>0</v>
      </c>
      <c r="P669" s="21">
        <v>0</v>
      </c>
      <c r="Q669" s="21">
        <v>0</v>
      </c>
      <c r="R669" s="21">
        <v>0</v>
      </c>
      <c r="S669" s="21">
        <v>0</v>
      </c>
      <c r="T669" s="21">
        <v>0</v>
      </c>
      <c r="U669" s="21">
        <v>0</v>
      </c>
      <c r="V669" s="21">
        <v>0</v>
      </c>
      <c r="W669" s="21">
        <v>0</v>
      </c>
      <c r="X669" s="18">
        <v>0</v>
      </c>
      <c r="Y669" s="18">
        <v>132</v>
      </c>
      <c r="Z669" s="18">
        <v>0</v>
      </c>
      <c r="AA669" s="18">
        <f>SUMIF([1]SA007!$C:$C,'SA007 2025.01-2026.05 '!$D669,[1]SA007!P:P)</f>
        <v>0</v>
      </c>
      <c r="AB669" s="18">
        <f>SUMIF([1]SA007!$C:$C,'SA007 2025.01-2026.05 '!$D669,[1]SA007!Q:Q)</f>
        <v>0</v>
      </c>
      <c r="AC669" s="19">
        <f t="shared" si="23"/>
        <v>132</v>
      </c>
      <c r="AD669" s="19">
        <f t="shared" si="24"/>
        <v>7.7647058823529411</v>
      </c>
      <c r="AG669" s="21">
        <f>SUMIF([1]SO003!$H:$H,'SA007 2025.01-2026.05 '!$D669,[1]SO003!AF:AF)</f>
        <v>0</v>
      </c>
      <c r="AH669" s="21">
        <f>SUMIF([1]SO003!$H:$H,'SA007 2025.01-2026.05 '!$D669,[1]SO003!AH:AH)</f>
        <v>0</v>
      </c>
      <c r="AI669" s="21">
        <f>SUMIF([1]SO003!$H:$H,'SA007 2025.01-2026.05 '!$D669,[1]SO003!AJ:AJ)</f>
        <v>0</v>
      </c>
    </row>
    <row r="670" spans="1:35" x14ac:dyDescent="0.55000000000000004">
      <c r="A670" s="2" t="s">
        <v>867</v>
      </c>
      <c r="D670" s="22">
        <v>77004305</v>
      </c>
      <c r="E670" s="2" t="s">
        <v>555</v>
      </c>
      <c r="F670" s="2" t="s">
        <v>556</v>
      </c>
      <c r="G670" s="3" t="s">
        <v>63</v>
      </c>
      <c r="H670" s="2" t="s">
        <v>61</v>
      </c>
      <c r="I670" s="17">
        <v>1.2</v>
      </c>
      <c r="J670" s="3">
        <v>84</v>
      </c>
      <c r="K670" s="3">
        <v>1219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8">
        <v>0</v>
      </c>
      <c r="R670" s="18">
        <v>0</v>
      </c>
      <c r="S670" s="18">
        <v>0</v>
      </c>
      <c r="T670" s="18">
        <v>0</v>
      </c>
      <c r="U670" s="18">
        <v>20</v>
      </c>
      <c r="V670" s="18">
        <v>34</v>
      </c>
      <c r="W670" s="18">
        <v>0</v>
      </c>
      <c r="X670" s="18">
        <v>0</v>
      </c>
      <c r="Y670" s="18">
        <v>0</v>
      </c>
      <c r="Z670" s="18">
        <v>0</v>
      </c>
      <c r="AA670" s="18">
        <f>SUMIF([1]SA007!$C:$C,'SA007 2025.01-2026.05 '!$D670,[1]SA007!P:P)</f>
        <v>0</v>
      </c>
      <c r="AB670" s="18">
        <f>SUMIF([1]SA007!$C:$C,'SA007 2025.01-2026.05 '!$D670,[1]SA007!Q:Q)</f>
        <v>29</v>
      </c>
      <c r="AC670" s="19">
        <f t="shared" si="23"/>
        <v>83</v>
      </c>
      <c r="AD670" s="19">
        <f t="shared" si="24"/>
        <v>4.882352941176471</v>
      </c>
      <c r="AG670" s="21">
        <f>SUMIF([1]SO003!$H:$H,'SA007 2025.01-2026.05 '!$D670,[1]SO003!AF:AF)</f>
        <v>0</v>
      </c>
      <c r="AH670" s="21">
        <f>SUMIF([1]SO003!$H:$H,'SA007 2025.01-2026.05 '!$D670,[1]SO003!AH:AH)</f>
        <v>0</v>
      </c>
      <c r="AI670" s="21">
        <f>SUMIF([1]SO003!$H:$H,'SA007 2025.01-2026.05 '!$D670,[1]SO003!AJ:AJ)</f>
        <v>0</v>
      </c>
    </row>
    <row r="671" spans="1:35" x14ac:dyDescent="0.55000000000000004">
      <c r="A671" s="2" t="s">
        <v>212</v>
      </c>
      <c r="D671" s="22">
        <v>77004279</v>
      </c>
      <c r="E671" s="2" t="s">
        <v>116</v>
      </c>
      <c r="F671" s="2" t="s">
        <v>116</v>
      </c>
      <c r="G671" s="3" t="s">
        <v>47</v>
      </c>
      <c r="H671" s="2" t="s">
        <v>1210</v>
      </c>
      <c r="I671" s="17">
        <v>1.6</v>
      </c>
      <c r="J671" s="3">
        <v>1219</v>
      </c>
      <c r="K671" s="3">
        <v>84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</v>
      </c>
      <c r="W671" s="18">
        <v>0</v>
      </c>
      <c r="X671" s="18">
        <v>0</v>
      </c>
      <c r="Y671" s="18">
        <v>0</v>
      </c>
      <c r="Z671" s="18">
        <v>0</v>
      </c>
      <c r="AA671" s="18">
        <f>SUMIF([1]SA007!$C:$C,'SA007 2025.01-2026.05 '!$D671,[1]SA007!P:P)</f>
        <v>0</v>
      </c>
      <c r="AB671" s="18">
        <f>SUMIF([1]SA007!$C:$C,'SA007 2025.01-2026.05 '!$D671,[1]SA007!Q:Q)</f>
        <v>0</v>
      </c>
      <c r="AC671" s="19">
        <f t="shared" si="23"/>
        <v>0</v>
      </c>
      <c r="AD671" s="19">
        <f t="shared" si="24"/>
        <v>0</v>
      </c>
      <c r="AG671" s="21">
        <f>SUMIF([1]SO003!$H:$H,'SA007 2025.01-2026.05 '!$D671,[1]SO003!AF:AF)</f>
        <v>0</v>
      </c>
      <c r="AH671" s="21">
        <f>SUMIF([1]SO003!$H:$H,'SA007 2025.01-2026.05 '!$D671,[1]SO003!AH:AH)</f>
        <v>0</v>
      </c>
      <c r="AI671" s="21">
        <f>SUMIF([1]SO003!$H:$H,'SA007 2025.01-2026.05 '!$D671,[1]SO003!AJ:AJ)</f>
        <v>0</v>
      </c>
    </row>
    <row r="672" spans="1:35" x14ac:dyDescent="0.55000000000000004">
      <c r="A672" s="2" t="s">
        <v>198</v>
      </c>
      <c r="D672" s="22" t="s">
        <v>1211</v>
      </c>
      <c r="E672" s="2" t="s">
        <v>116</v>
      </c>
      <c r="F672" s="2" t="s">
        <v>116</v>
      </c>
      <c r="G672" s="3" t="s">
        <v>63</v>
      </c>
      <c r="H672" s="2" t="s">
        <v>199</v>
      </c>
      <c r="I672" s="17">
        <v>1</v>
      </c>
      <c r="J672" s="3">
        <v>205</v>
      </c>
      <c r="K672" s="3">
        <v>205</v>
      </c>
      <c r="L672" s="18">
        <v>0</v>
      </c>
      <c r="M672" s="18">
        <v>0</v>
      </c>
      <c r="N672" s="18">
        <v>0</v>
      </c>
      <c r="O672" s="18">
        <v>0</v>
      </c>
      <c r="P672" s="18">
        <v>0</v>
      </c>
      <c r="Q672" s="18">
        <v>0</v>
      </c>
      <c r="R672" s="18">
        <v>0</v>
      </c>
      <c r="S672" s="18">
        <v>0</v>
      </c>
      <c r="T672" s="18">
        <v>0</v>
      </c>
      <c r="U672" s="18">
        <v>0</v>
      </c>
      <c r="V672" s="18">
        <v>0</v>
      </c>
      <c r="W672" s="18">
        <v>0</v>
      </c>
      <c r="X672" s="18">
        <v>0</v>
      </c>
      <c r="Y672" s="18">
        <v>0</v>
      </c>
      <c r="Z672" s="18">
        <v>0</v>
      </c>
      <c r="AA672" s="18">
        <f>SUMIF([1]SA007!$C:$C,'SA007 2025.01-2026.05 '!$D672,[1]SA007!P:P)</f>
        <v>0</v>
      </c>
      <c r="AB672" s="18">
        <f>SUMIF([1]SA007!$C:$C,'SA007 2025.01-2026.05 '!$D672,[1]SA007!Q:Q)</f>
        <v>0</v>
      </c>
      <c r="AC672" s="19">
        <f t="shared" si="23"/>
        <v>0</v>
      </c>
      <c r="AD672" s="19">
        <f t="shared" si="24"/>
        <v>0</v>
      </c>
      <c r="AG672" s="21">
        <f>SUMIF([1]SO003!$H:$H,'SA007 2025.01-2026.05 '!$D672,[1]SO003!AF:AF)</f>
        <v>0</v>
      </c>
      <c r="AH672" s="21">
        <f>SUMIF([1]SO003!$H:$H,'SA007 2025.01-2026.05 '!$D672,[1]SO003!AH:AH)</f>
        <v>0</v>
      </c>
      <c r="AI672" s="21">
        <f>SUMIF([1]SO003!$H:$H,'SA007 2025.01-2026.05 '!$D672,[1]SO003!AJ:AJ)</f>
        <v>0</v>
      </c>
    </row>
    <row r="673" spans="1:35" x14ac:dyDescent="0.55000000000000004">
      <c r="A673" s="2" t="s">
        <v>460</v>
      </c>
      <c r="D673" s="22">
        <v>77004557</v>
      </c>
      <c r="E673" s="2" t="s">
        <v>116</v>
      </c>
      <c r="F673" s="2" t="s">
        <v>116</v>
      </c>
      <c r="G673" s="3" t="s">
        <v>47</v>
      </c>
      <c r="H673" s="2" t="s">
        <v>321</v>
      </c>
      <c r="I673" s="17">
        <v>3.2</v>
      </c>
      <c r="J673" s="3">
        <v>75</v>
      </c>
      <c r="K673" s="3">
        <v>1219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  <c r="S673" s="18">
        <v>0</v>
      </c>
      <c r="T673" s="18">
        <v>0</v>
      </c>
      <c r="U673" s="18">
        <v>0</v>
      </c>
      <c r="V673" s="18">
        <v>0</v>
      </c>
      <c r="W673" s="18">
        <v>0</v>
      </c>
      <c r="X673" s="18">
        <v>0</v>
      </c>
      <c r="Y673" s="18">
        <v>0</v>
      </c>
      <c r="Z673" s="18">
        <v>0</v>
      </c>
      <c r="AA673" s="18">
        <f>SUMIF([1]SA007!$C:$C,'SA007 2025.01-2026.05 '!$D673,[1]SA007!P:P)</f>
        <v>2293</v>
      </c>
      <c r="AB673" s="18">
        <f>SUMIF([1]SA007!$C:$C,'SA007 2025.01-2026.05 '!$D673,[1]SA007!Q:Q)</f>
        <v>2070</v>
      </c>
      <c r="AC673" s="19">
        <f t="shared" si="23"/>
        <v>4363</v>
      </c>
      <c r="AD673" s="19">
        <f t="shared" si="24"/>
        <v>256.64705882352939</v>
      </c>
      <c r="AG673" s="21">
        <f>SUMIF([1]SO003!$H:$H,'SA007 2025.01-2026.05 '!$D673,[1]SO003!AF:AF)</f>
        <v>1607.6172000000001</v>
      </c>
      <c r="AH673" s="21">
        <f>SUMIF([1]SO003!$H:$H,'SA007 2025.01-2026.05 '!$D673,[1]SO003!AH:AH)</f>
        <v>0</v>
      </c>
      <c r="AI673" s="21">
        <f>SUMIF([1]SO003!$H:$H,'SA007 2025.01-2026.05 '!$D673,[1]SO003!AJ:AJ)</f>
        <v>1607.6172000000001</v>
      </c>
    </row>
    <row r="674" spans="1:35" x14ac:dyDescent="0.55000000000000004">
      <c r="A674" s="2" t="s">
        <v>867</v>
      </c>
      <c r="D674" s="22">
        <v>77004298</v>
      </c>
      <c r="E674" s="2" t="s">
        <v>555</v>
      </c>
      <c r="F674" s="2" t="s">
        <v>556</v>
      </c>
      <c r="G674" s="3" t="s">
        <v>63</v>
      </c>
      <c r="H674" s="2" t="s">
        <v>310</v>
      </c>
      <c r="I674" s="17">
        <v>1.2</v>
      </c>
      <c r="J674" s="3">
        <v>72</v>
      </c>
      <c r="K674" s="3">
        <v>1219</v>
      </c>
      <c r="L674" s="18">
        <v>10</v>
      </c>
      <c r="M674" s="18">
        <v>8</v>
      </c>
      <c r="N674" s="18">
        <v>0</v>
      </c>
      <c r="O674" s="18">
        <v>0</v>
      </c>
      <c r="P674" s="18">
        <v>0</v>
      </c>
      <c r="Q674" s="18">
        <v>10</v>
      </c>
      <c r="R674" s="18">
        <v>10</v>
      </c>
      <c r="S674" s="18">
        <v>0</v>
      </c>
      <c r="T674" s="18">
        <v>0</v>
      </c>
      <c r="U674" s="18">
        <v>0</v>
      </c>
      <c r="V674" s="18">
        <v>16</v>
      </c>
      <c r="W674" s="18">
        <v>0</v>
      </c>
      <c r="X674" s="18">
        <v>8</v>
      </c>
      <c r="Y674" s="18">
        <v>0</v>
      </c>
      <c r="Z674" s="18">
        <v>0</v>
      </c>
      <c r="AA674" s="18">
        <f>SUMIF([1]SA007!$C:$C,'SA007 2025.01-2026.05 '!$D674,[1]SA007!P:P)</f>
        <v>6</v>
      </c>
      <c r="AB674" s="18">
        <f>SUMIF([1]SA007!$C:$C,'SA007 2025.01-2026.05 '!$D674,[1]SA007!Q:Q)</f>
        <v>0</v>
      </c>
      <c r="AC674" s="19">
        <f t="shared" si="23"/>
        <v>68</v>
      </c>
      <c r="AD674" s="19">
        <f t="shared" si="24"/>
        <v>4</v>
      </c>
      <c r="AG674" s="21">
        <f>SUMIF([1]SO003!$H:$H,'SA007 2025.01-2026.05 '!$D674,[1]SO003!AF:AF)</f>
        <v>8.2677456000000014</v>
      </c>
      <c r="AH674" s="21">
        <f>SUMIF([1]SO003!$H:$H,'SA007 2025.01-2026.05 '!$D674,[1]SO003!AH:AH)</f>
        <v>8.2677456000000014</v>
      </c>
      <c r="AI674" s="21">
        <f>SUMIF([1]SO003!$H:$H,'SA007 2025.01-2026.05 '!$D674,[1]SO003!AJ:AJ)</f>
        <v>0</v>
      </c>
    </row>
    <row r="675" spans="1:35" x14ac:dyDescent="0.55000000000000004">
      <c r="A675" s="2" t="s">
        <v>145</v>
      </c>
      <c r="D675" s="22">
        <v>77004072</v>
      </c>
      <c r="E675" s="2" t="s">
        <v>116</v>
      </c>
      <c r="F675" s="2" t="s">
        <v>116</v>
      </c>
      <c r="G675" s="3" t="s">
        <v>63</v>
      </c>
      <c r="H675" s="2" t="s">
        <v>310</v>
      </c>
      <c r="I675" s="17">
        <v>0.8</v>
      </c>
      <c r="J675" s="3">
        <v>30</v>
      </c>
      <c r="K675" s="3">
        <v>1219</v>
      </c>
      <c r="L675" s="18">
        <v>0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f>SUMIF([1]SA007!$C:$C,'SA007 2025.01-2026.05 '!$D675,[1]SA007!P:P)</f>
        <v>0</v>
      </c>
      <c r="AB675" s="18">
        <f>SUMIF([1]SA007!$C:$C,'SA007 2025.01-2026.05 '!$D675,[1]SA007!Q:Q)</f>
        <v>0</v>
      </c>
      <c r="AC675" s="19">
        <f t="shared" si="23"/>
        <v>0</v>
      </c>
      <c r="AD675" s="19">
        <f t="shared" si="24"/>
        <v>0</v>
      </c>
      <c r="AG675" s="21">
        <f>SUMIF([1]SO003!$H:$H,'SA007 2025.01-2026.05 '!$D675,[1]SO003!AF:AF)</f>
        <v>0</v>
      </c>
      <c r="AH675" s="21">
        <f>SUMIF([1]SO003!$H:$H,'SA007 2025.01-2026.05 '!$D675,[1]SO003!AH:AH)</f>
        <v>0</v>
      </c>
      <c r="AI675" s="21">
        <f>SUMIF([1]SO003!$H:$H,'SA007 2025.01-2026.05 '!$D675,[1]SO003!AJ:AJ)</f>
        <v>0</v>
      </c>
    </row>
    <row r="676" spans="1:35" x14ac:dyDescent="0.55000000000000004">
      <c r="A676" s="2" t="s">
        <v>212</v>
      </c>
      <c r="D676" s="22">
        <v>77004257</v>
      </c>
      <c r="E676" s="2" t="s">
        <v>116</v>
      </c>
      <c r="F676" s="2" t="s">
        <v>116</v>
      </c>
      <c r="G676" s="3" t="s">
        <v>47</v>
      </c>
      <c r="H676" s="2" t="s">
        <v>1210</v>
      </c>
      <c r="I676" s="17">
        <v>1.6</v>
      </c>
      <c r="J676" s="3">
        <v>1219</v>
      </c>
      <c r="K676" s="3">
        <v>49</v>
      </c>
      <c r="L676" s="18">
        <v>0</v>
      </c>
      <c r="M676" s="18">
        <v>0</v>
      </c>
      <c r="N676" s="18">
        <v>0</v>
      </c>
      <c r="O676" s="18">
        <v>0</v>
      </c>
      <c r="P676" s="18">
        <v>0</v>
      </c>
      <c r="Q676" s="18">
        <v>0</v>
      </c>
      <c r="R676" s="18">
        <v>0</v>
      </c>
      <c r="S676" s="18">
        <v>0</v>
      </c>
      <c r="T676" s="18">
        <v>0</v>
      </c>
      <c r="U676" s="18">
        <v>0</v>
      </c>
      <c r="V676" s="18">
        <v>0</v>
      </c>
      <c r="W676" s="18">
        <v>0</v>
      </c>
      <c r="X676" s="18">
        <v>0</v>
      </c>
      <c r="Y676" s="18">
        <v>0</v>
      </c>
      <c r="Z676" s="18">
        <v>0</v>
      </c>
      <c r="AA676" s="18">
        <f>SUMIF([1]SA007!$C:$C,'SA007 2025.01-2026.05 '!$D676,[1]SA007!P:P)</f>
        <v>0</v>
      </c>
      <c r="AB676" s="18">
        <f>SUMIF([1]SA007!$C:$C,'SA007 2025.01-2026.05 '!$D676,[1]SA007!Q:Q)</f>
        <v>0</v>
      </c>
      <c r="AC676" s="19">
        <f t="shared" si="23"/>
        <v>0</v>
      </c>
      <c r="AD676" s="19">
        <f t="shared" si="24"/>
        <v>0</v>
      </c>
      <c r="AG676" s="21">
        <f>SUMIF([1]SO003!$H:$H,'SA007 2025.01-2026.05 '!$D676,[1]SO003!AF:AF)</f>
        <v>0</v>
      </c>
      <c r="AH676" s="21">
        <f>SUMIF([1]SO003!$H:$H,'SA007 2025.01-2026.05 '!$D676,[1]SO003!AH:AH)</f>
        <v>0</v>
      </c>
      <c r="AI676" s="21">
        <f>SUMIF([1]SO003!$H:$H,'SA007 2025.01-2026.05 '!$D676,[1]SO003!AJ:AJ)</f>
        <v>0</v>
      </c>
    </row>
    <row r="677" spans="1:35" x14ac:dyDescent="0.55000000000000004">
      <c r="A677" s="2" t="s">
        <v>212</v>
      </c>
      <c r="B677" s="2" t="s">
        <v>213</v>
      </c>
      <c r="C677" s="2" t="s">
        <v>213</v>
      </c>
      <c r="D677" s="2" t="s">
        <v>1212</v>
      </c>
      <c r="E677" s="2" t="s">
        <v>363</v>
      </c>
      <c r="F677" s="2" t="s">
        <v>363</v>
      </c>
      <c r="G677" s="3" t="s">
        <v>47</v>
      </c>
      <c r="H677" s="2" t="s">
        <v>213</v>
      </c>
      <c r="I677" s="17">
        <v>1.6</v>
      </c>
      <c r="J677" s="3">
        <v>70</v>
      </c>
      <c r="K677" s="3">
        <v>1220</v>
      </c>
      <c r="L677" s="18">
        <v>0</v>
      </c>
      <c r="M677" s="18">
        <v>0</v>
      </c>
      <c r="N677" s="18">
        <v>108</v>
      </c>
      <c r="O677" s="18">
        <v>107</v>
      </c>
      <c r="P677" s="18">
        <v>0</v>
      </c>
      <c r="Q677" s="18">
        <v>0</v>
      </c>
      <c r="R677" s="18">
        <v>726</v>
      </c>
      <c r="S677" s="18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100</v>
      </c>
      <c r="Y677" s="18">
        <v>0</v>
      </c>
      <c r="Z677" s="18">
        <v>0</v>
      </c>
      <c r="AA677" s="18">
        <f>SUMIF([1]SA007!$C:$C,'SA007 2025.01-2026.05 '!$D677,[1]SA007!P:P)</f>
        <v>0</v>
      </c>
      <c r="AB677" s="18">
        <f>SUMIF([1]SA007!$C:$C,'SA007 2025.01-2026.05 '!$D677,[1]SA007!Q:Q)</f>
        <v>0</v>
      </c>
      <c r="AC677" s="19">
        <f t="shared" si="23"/>
        <v>1041</v>
      </c>
      <c r="AD677" s="19">
        <f t="shared" si="24"/>
        <v>61.235294117647058</v>
      </c>
      <c r="AE677" s="20" t="s">
        <v>116</v>
      </c>
      <c r="AG677" s="21">
        <f>SUMIF([1]SO003!$H:$H,'SA007 2025.01-2026.05 '!$D677,[1]SO003!AF:AF)</f>
        <v>0</v>
      </c>
      <c r="AH677" s="21">
        <f>SUMIF([1]SO003!$H:$H,'SA007 2025.01-2026.05 '!$D677,[1]SO003!AH:AH)</f>
        <v>0</v>
      </c>
      <c r="AI677" s="21">
        <f>SUMIF([1]SO003!$H:$H,'SA007 2025.01-2026.05 '!$D677,[1]SO003!AJ:AJ)</f>
        <v>0</v>
      </c>
    </row>
    <row r="678" spans="1:35" x14ac:dyDescent="0.55000000000000004">
      <c r="A678" s="2" t="s">
        <v>212</v>
      </c>
      <c r="B678" s="2" t="s">
        <v>213</v>
      </c>
      <c r="C678" s="2" t="s">
        <v>213</v>
      </c>
      <c r="D678" s="2" t="s">
        <v>1213</v>
      </c>
      <c r="E678" s="2" t="s">
        <v>363</v>
      </c>
      <c r="F678" s="2" t="s">
        <v>363</v>
      </c>
      <c r="G678" s="3" t="s">
        <v>47</v>
      </c>
      <c r="H678" s="2" t="s">
        <v>213</v>
      </c>
      <c r="I678" s="17">
        <v>1.6</v>
      </c>
      <c r="J678" s="3">
        <v>75</v>
      </c>
      <c r="K678" s="3">
        <v>1220</v>
      </c>
      <c r="L678" s="18">
        <v>0</v>
      </c>
      <c r="M678" s="18">
        <v>0</v>
      </c>
      <c r="N678" s="18">
        <v>0</v>
      </c>
      <c r="O678" s="18">
        <v>116</v>
      </c>
      <c r="P678" s="18">
        <v>0</v>
      </c>
      <c r="Q678" s="18">
        <v>0</v>
      </c>
      <c r="R678" s="18">
        <v>60</v>
      </c>
      <c r="S678" s="18">
        <v>0</v>
      </c>
      <c r="T678" s="18">
        <v>0</v>
      </c>
      <c r="U678" s="18">
        <v>0</v>
      </c>
      <c r="V678" s="18">
        <v>0</v>
      </c>
      <c r="W678" s="18">
        <v>0</v>
      </c>
      <c r="X678" s="18">
        <v>0</v>
      </c>
      <c r="Y678" s="18">
        <v>0</v>
      </c>
      <c r="Z678" s="18">
        <v>57</v>
      </c>
      <c r="AA678" s="18">
        <f>SUMIF([1]SA007!$C:$C,'SA007 2025.01-2026.05 '!$D678,[1]SA007!P:P)</f>
        <v>0</v>
      </c>
      <c r="AB678" s="18">
        <f>SUMIF([1]SA007!$C:$C,'SA007 2025.01-2026.05 '!$D678,[1]SA007!Q:Q)</f>
        <v>0</v>
      </c>
      <c r="AC678" s="19">
        <f t="shared" si="23"/>
        <v>233</v>
      </c>
      <c r="AD678" s="19">
        <f t="shared" si="24"/>
        <v>13.705882352941176</v>
      </c>
      <c r="AE678" s="20" t="s">
        <v>116</v>
      </c>
      <c r="AG678" s="21">
        <f>SUMIF([1]SO003!$H:$H,'SA007 2025.01-2026.05 '!$D678,[1]SO003!AF:AF)</f>
        <v>114.92400000000001</v>
      </c>
      <c r="AH678" s="21">
        <f>SUMIF([1]SO003!$H:$H,'SA007 2025.01-2026.05 '!$D678,[1]SO003!AH:AH)</f>
        <v>114.92400000000001</v>
      </c>
      <c r="AI678" s="21">
        <f>SUMIF([1]SO003!$H:$H,'SA007 2025.01-2026.05 '!$D678,[1]SO003!AJ:AJ)</f>
        <v>0</v>
      </c>
    </row>
    <row r="679" spans="1:35" x14ac:dyDescent="0.55000000000000004">
      <c r="A679" s="2" t="s">
        <v>212</v>
      </c>
      <c r="B679" s="2" t="s">
        <v>213</v>
      </c>
      <c r="C679" s="2" t="s">
        <v>213</v>
      </c>
      <c r="D679" s="2" t="s">
        <v>1214</v>
      </c>
      <c r="E679" s="2" t="s">
        <v>363</v>
      </c>
      <c r="F679" s="2" t="s">
        <v>363</v>
      </c>
      <c r="G679" s="3" t="s">
        <v>47</v>
      </c>
      <c r="H679" s="2" t="s">
        <v>213</v>
      </c>
      <c r="I679" s="17">
        <v>1.6</v>
      </c>
      <c r="J679" s="3">
        <v>65</v>
      </c>
      <c r="K679" s="3">
        <v>1220</v>
      </c>
      <c r="L679" s="18">
        <v>0</v>
      </c>
      <c r="M679" s="18">
        <v>2291</v>
      </c>
      <c r="N679" s="18">
        <v>2095</v>
      </c>
      <c r="O679" s="18">
        <v>0</v>
      </c>
      <c r="P679" s="18">
        <v>0</v>
      </c>
      <c r="Q679" s="18">
        <v>0</v>
      </c>
      <c r="R679" s="18">
        <v>2241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498</v>
      </c>
      <c r="Y679" s="18">
        <v>1569</v>
      </c>
      <c r="Z679" s="18">
        <v>0</v>
      </c>
      <c r="AA679" s="18">
        <f>SUMIF([1]SA007!$C:$C,'SA007 2025.01-2026.05 '!$D679,[1]SA007!P:P)</f>
        <v>1394</v>
      </c>
      <c r="AB679" s="18">
        <f>SUMIF([1]SA007!$C:$C,'SA007 2025.01-2026.05 '!$D679,[1]SA007!Q:Q)</f>
        <v>0</v>
      </c>
      <c r="AC679" s="19">
        <f t="shared" si="23"/>
        <v>10088</v>
      </c>
      <c r="AD679" s="19">
        <f t="shared" si="24"/>
        <v>593.41176470588232</v>
      </c>
      <c r="AE679" s="20" t="s">
        <v>116</v>
      </c>
      <c r="AG679" s="21">
        <f>SUMIF([1]SO003!$H:$H,'SA007 2025.01-2026.05 '!$D679,[1]SO003!AF:AF)</f>
        <v>0</v>
      </c>
      <c r="AH679" s="21">
        <f>SUMIF([1]SO003!$H:$H,'SA007 2025.01-2026.05 '!$D679,[1]SO003!AH:AH)</f>
        <v>0</v>
      </c>
      <c r="AI679" s="21">
        <f>SUMIF([1]SO003!$H:$H,'SA007 2025.01-2026.05 '!$D679,[1]SO003!AJ:AJ)</f>
        <v>0</v>
      </c>
    </row>
    <row r="680" spans="1:35" x14ac:dyDescent="0.55000000000000004">
      <c r="A680" s="2" t="s">
        <v>389</v>
      </c>
      <c r="D680" s="22">
        <v>77004139</v>
      </c>
      <c r="E680" s="2" t="s">
        <v>116</v>
      </c>
      <c r="F680" s="2" t="s">
        <v>116</v>
      </c>
      <c r="G680" s="3" t="s">
        <v>47</v>
      </c>
      <c r="H680" s="2" t="s">
        <v>1215</v>
      </c>
      <c r="I680" s="17">
        <v>2</v>
      </c>
      <c r="J680" s="3">
        <v>44</v>
      </c>
      <c r="K680" s="3">
        <v>1219</v>
      </c>
      <c r="L680" s="18">
        <v>0</v>
      </c>
      <c r="M680" s="18">
        <v>0</v>
      </c>
      <c r="N680" s="18">
        <v>0</v>
      </c>
      <c r="O680" s="18">
        <v>0</v>
      </c>
      <c r="P680" s="18">
        <v>0</v>
      </c>
      <c r="Q680" s="18">
        <v>0</v>
      </c>
      <c r="R680" s="18">
        <v>0</v>
      </c>
      <c r="S680" s="18">
        <v>0</v>
      </c>
      <c r="T680" s="18">
        <v>0</v>
      </c>
      <c r="U680" s="18">
        <v>0</v>
      </c>
      <c r="V680" s="18">
        <v>0</v>
      </c>
      <c r="W680" s="18">
        <v>0</v>
      </c>
      <c r="X680" s="18">
        <v>0</v>
      </c>
      <c r="Y680" s="18">
        <v>0</v>
      </c>
      <c r="Z680" s="18">
        <v>0</v>
      </c>
      <c r="AA680" s="18">
        <f>SUMIF([1]SA007!$C:$C,'SA007 2025.01-2026.05 '!$D680,[1]SA007!P:P)</f>
        <v>0</v>
      </c>
      <c r="AB680" s="18">
        <f>SUMIF([1]SA007!$C:$C,'SA007 2025.01-2026.05 '!$D680,[1]SA007!Q:Q)</f>
        <v>0</v>
      </c>
      <c r="AC680" s="19">
        <f t="shared" si="23"/>
        <v>0</v>
      </c>
      <c r="AD680" s="19">
        <f t="shared" si="24"/>
        <v>0</v>
      </c>
      <c r="AG680" s="21">
        <f>SUMIF([1]SO003!$H:$H,'SA007 2025.01-2026.05 '!$D680,[1]SO003!AF:AF)</f>
        <v>0</v>
      </c>
      <c r="AH680" s="21">
        <f>SUMIF([1]SO003!$H:$H,'SA007 2025.01-2026.05 '!$D680,[1]SO003!AH:AH)</f>
        <v>0</v>
      </c>
      <c r="AI680" s="21">
        <f>SUMIF([1]SO003!$H:$H,'SA007 2025.01-2026.05 '!$D680,[1]SO003!AJ:AJ)</f>
        <v>0</v>
      </c>
    </row>
    <row r="681" spans="1:35" x14ac:dyDescent="0.55000000000000004">
      <c r="A681" s="2" t="s">
        <v>389</v>
      </c>
      <c r="D681" s="22">
        <v>77004144</v>
      </c>
      <c r="E681" s="2" t="s">
        <v>116</v>
      </c>
      <c r="F681" s="2" t="s">
        <v>116</v>
      </c>
      <c r="G681" s="3" t="s">
        <v>47</v>
      </c>
      <c r="H681" s="2" t="s">
        <v>1215</v>
      </c>
      <c r="I681" s="17">
        <v>2</v>
      </c>
      <c r="J681" s="3">
        <v>68</v>
      </c>
      <c r="K681" s="3">
        <v>1219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8">
        <v>0</v>
      </c>
      <c r="S681" s="18">
        <v>0</v>
      </c>
      <c r="T681" s="18">
        <v>0</v>
      </c>
      <c r="U681" s="18">
        <v>0</v>
      </c>
      <c r="V681" s="18">
        <v>0</v>
      </c>
      <c r="W681" s="18">
        <v>0</v>
      </c>
      <c r="X681" s="18">
        <v>0</v>
      </c>
      <c r="Y681" s="18">
        <v>0</v>
      </c>
      <c r="Z681" s="18">
        <v>0</v>
      </c>
      <c r="AA681" s="18">
        <f>SUMIF([1]SA007!$C:$C,'SA007 2025.01-2026.05 '!$D681,[1]SA007!P:P)</f>
        <v>0</v>
      </c>
      <c r="AB681" s="18">
        <f>SUMIF([1]SA007!$C:$C,'SA007 2025.01-2026.05 '!$D681,[1]SA007!Q:Q)</f>
        <v>0</v>
      </c>
      <c r="AC681" s="19">
        <f t="shared" si="23"/>
        <v>0</v>
      </c>
      <c r="AD681" s="19">
        <f t="shared" si="24"/>
        <v>0</v>
      </c>
      <c r="AG681" s="21">
        <f>SUMIF([1]SO003!$H:$H,'SA007 2025.01-2026.05 '!$D681,[1]SO003!AF:AF)</f>
        <v>0</v>
      </c>
      <c r="AH681" s="21">
        <f>SUMIF([1]SO003!$H:$H,'SA007 2025.01-2026.05 '!$D681,[1]SO003!AH:AH)</f>
        <v>0</v>
      </c>
      <c r="AI681" s="21">
        <f>SUMIF([1]SO003!$H:$H,'SA007 2025.01-2026.05 '!$D681,[1]SO003!AJ:AJ)</f>
        <v>0</v>
      </c>
    </row>
    <row r="682" spans="1:35" x14ac:dyDescent="0.55000000000000004">
      <c r="A682" s="2" t="s">
        <v>212</v>
      </c>
      <c r="B682" s="2" t="s">
        <v>213</v>
      </c>
      <c r="C682" s="2" t="s">
        <v>213</v>
      </c>
      <c r="D682" s="2" t="s">
        <v>1216</v>
      </c>
      <c r="E682" s="2" t="s">
        <v>363</v>
      </c>
      <c r="F682" s="2" t="s">
        <v>363</v>
      </c>
      <c r="G682" s="3" t="s">
        <v>47</v>
      </c>
      <c r="H682" s="2" t="s">
        <v>213</v>
      </c>
      <c r="I682" s="17">
        <v>1.6</v>
      </c>
      <c r="J682" s="3">
        <v>112</v>
      </c>
      <c r="K682" s="3">
        <v>1220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>
        <v>181</v>
      </c>
      <c r="S682" s="18">
        <v>0</v>
      </c>
      <c r="T682" s="18">
        <v>0</v>
      </c>
      <c r="U682" s="18">
        <v>0</v>
      </c>
      <c r="V682" s="18">
        <v>0</v>
      </c>
      <c r="W682" s="18">
        <v>256</v>
      </c>
      <c r="X682" s="18">
        <v>0</v>
      </c>
      <c r="Y682" s="18">
        <v>0</v>
      </c>
      <c r="Z682" s="18">
        <v>0</v>
      </c>
      <c r="AA682" s="18">
        <f>SUMIF([1]SA007!$C:$C,'SA007 2025.01-2026.05 '!$D682,[1]SA007!P:P)</f>
        <v>0</v>
      </c>
      <c r="AB682" s="18">
        <f>SUMIF([1]SA007!$C:$C,'SA007 2025.01-2026.05 '!$D682,[1]SA007!Q:Q)</f>
        <v>0</v>
      </c>
      <c r="AC682" s="19">
        <f t="shared" si="23"/>
        <v>437</v>
      </c>
      <c r="AD682" s="19">
        <f t="shared" si="24"/>
        <v>25.705882352941178</v>
      </c>
      <c r="AE682" s="20" t="s">
        <v>116</v>
      </c>
      <c r="AG682" s="21">
        <f>SUMIF([1]SO003!$H:$H,'SA007 2025.01-2026.05 '!$D682,[1]SO003!AF:AF)</f>
        <v>0</v>
      </c>
      <c r="AH682" s="21">
        <f>SUMIF([1]SO003!$H:$H,'SA007 2025.01-2026.05 '!$D682,[1]SO003!AH:AH)</f>
        <v>0</v>
      </c>
      <c r="AI682" s="21">
        <f>SUMIF([1]SO003!$H:$H,'SA007 2025.01-2026.05 '!$D682,[1]SO003!AJ:AJ)</f>
        <v>0</v>
      </c>
    </row>
    <row r="683" spans="1:35" x14ac:dyDescent="0.55000000000000004">
      <c r="A683" s="2" t="s">
        <v>212</v>
      </c>
      <c r="B683" s="2" t="s">
        <v>213</v>
      </c>
      <c r="C683" s="2" t="s">
        <v>213</v>
      </c>
      <c r="D683" s="2" t="s">
        <v>1217</v>
      </c>
      <c r="E683" s="2" t="s">
        <v>363</v>
      </c>
      <c r="G683" s="3" t="s">
        <v>47</v>
      </c>
      <c r="H683" s="2" t="s">
        <v>213</v>
      </c>
      <c r="I683" s="17">
        <v>1.6</v>
      </c>
      <c r="J683" s="3">
        <v>80</v>
      </c>
      <c r="K683" s="3">
        <v>1220</v>
      </c>
      <c r="L683" s="18">
        <v>0</v>
      </c>
      <c r="M683" s="18">
        <v>0</v>
      </c>
      <c r="N683" s="18">
        <v>0</v>
      </c>
      <c r="O683" s="18">
        <v>122</v>
      </c>
      <c r="P683" s="18">
        <v>0</v>
      </c>
      <c r="Q683" s="18">
        <v>0</v>
      </c>
      <c r="R683" s="18">
        <v>257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f>SUMIF([1]SA007!$C:$C,'SA007 2025.01-2026.05 '!$D683,[1]SA007!P:P)</f>
        <v>0</v>
      </c>
      <c r="AB683" s="18">
        <f>SUMIF([1]SA007!$C:$C,'SA007 2025.01-2026.05 '!$D683,[1]SA007!Q:Q)</f>
        <v>0</v>
      </c>
      <c r="AC683" s="19">
        <f t="shared" si="23"/>
        <v>379</v>
      </c>
      <c r="AD683" s="19">
        <f t="shared" si="24"/>
        <v>22.294117647058822</v>
      </c>
      <c r="AE683" s="20" t="s">
        <v>48</v>
      </c>
      <c r="AG683" s="21">
        <f>SUMIF([1]SO003!$H:$H,'SA007 2025.01-2026.05 '!$D683,[1]SO003!AF:AF)</f>
        <v>0</v>
      </c>
      <c r="AH683" s="21">
        <f>SUMIF([1]SO003!$H:$H,'SA007 2025.01-2026.05 '!$D683,[1]SO003!AH:AH)</f>
        <v>0</v>
      </c>
      <c r="AI683" s="21">
        <f>SUMIF([1]SO003!$H:$H,'SA007 2025.01-2026.05 '!$D683,[1]SO003!AJ:AJ)</f>
        <v>0</v>
      </c>
    </row>
    <row r="684" spans="1:35" x14ac:dyDescent="0.55000000000000004">
      <c r="A684" s="2" t="s">
        <v>1097</v>
      </c>
      <c r="D684" s="22">
        <v>77004750</v>
      </c>
      <c r="E684" s="2" t="s">
        <v>116</v>
      </c>
      <c r="F684" s="2" t="s">
        <v>116</v>
      </c>
      <c r="G684" s="3" t="s">
        <v>63</v>
      </c>
      <c r="H684" s="2" t="s">
        <v>310</v>
      </c>
      <c r="I684" s="17">
        <v>1.4</v>
      </c>
      <c r="J684" s="3">
        <v>58</v>
      </c>
      <c r="K684" s="3">
        <v>1219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8">
        <v>0</v>
      </c>
      <c r="V684" s="18">
        <v>0</v>
      </c>
      <c r="W684" s="18">
        <v>0</v>
      </c>
      <c r="X684" s="18">
        <v>0</v>
      </c>
      <c r="Y684" s="18">
        <v>0</v>
      </c>
      <c r="Z684" s="18">
        <v>0</v>
      </c>
      <c r="AA684" s="18">
        <f>SUMIF([1]SA007!$C:$C,'SA007 2025.01-2026.05 '!$D684,[1]SA007!P:P)</f>
        <v>0</v>
      </c>
      <c r="AB684" s="18">
        <f>SUMIF([1]SA007!$C:$C,'SA007 2025.01-2026.05 '!$D684,[1]SA007!Q:Q)</f>
        <v>0</v>
      </c>
      <c r="AC684" s="19">
        <f t="shared" si="23"/>
        <v>0</v>
      </c>
      <c r="AD684" s="19">
        <f t="shared" si="24"/>
        <v>0</v>
      </c>
      <c r="AG684" s="21">
        <f>SUMIF([1]SO003!$H:$H,'SA007 2025.01-2026.05 '!$D684,[1]SO003!AF:AF)</f>
        <v>0</v>
      </c>
      <c r="AH684" s="21">
        <f>SUMIF([1]SO003!$H:$H,'SA007 2025.01-2026.05 '!$D684,[1]SO003!AH:AH)</f>
        <v>0</v>
      </c>
      <c r="AI684" s="21">
        <f>SUMIF([1]SO003!$H:$H,'SA007 2025.01-2026.05 '!$D684,[1]SO003!AJ:AJ)</f>
        <v>0</v>
      </c>
    </row>
    <row r="685" spans="1:35" x14ac:dyDescent="0.55000000000000004">
      <c r="A685" s="2" t="s">
        <v>356</v>
      </c>
      <c r="D685" s="22">
        <v>77004308</v>
      </c>
      <c r="E685" s="2" t="s">
        <v>116</v>
      </c>
      <c r="F685" s="2" t="s">
        <v>116</v>
      </c>
      <c r="G685" s="3" t="s">
        <v>63</v>
      </c>
      <c r="H685" s="2" t="s">
        <v>310</v>
      </c>
      <c r="I685" s="17">
        <v>2</v>
      </c>
      <c r="J685" s="3">
        <v>82</v>
      </c>
      <c r="K685" s="3">
        <v>1219</v>
      </c>
      <c r="L685" s="18">
        <v>0</v>
      </c>
      <c r="M685" s="18">
        <v>0</v>
      </c>
      <c r="N685" s="18">
        <v>0</v>
      </c>
      <c r="O685" s="18">
        <v>0</v>
      </c>
      <c r="P685" s="18">
        <v>0</v>
      </c>
      <c r="Q685" s="18">
        <v>0</v>
      </c>
      <c r="R685" s="18">
        <v>0</v>
      </c>
      <c r="S685" s="18">
        <v>0</v>
      </c>
      <c r="T685" s="18">
        <v>0</v>
      </c>
      <c r="U685" s="18">
        <v>0</v>
      </c>
      <c r="V685" s="18">
        <v>0</v>
      </c>
      <c r="W685" s="18">
        <v>0</v>
      </c>
      <c r="X685" s="18">
        <v>0</v>
      </c>
      <c r="Y685" s="18">
        <v>0</v>
      </c>
      <c r="Z685" s="18">
        <v>0</v>
      </c>
      <c r="AA685" s="18">
        <f>SUMIF([1]SA007!$C:$C,'SA007 2025.01-2026.05 '!$D685,[1]SA007!P:P)</f>
        <v>0</v>
      </c>
      <c r="AB685" s="18">
        <f>SUMIF([1]SA007!$C:$C,'SA007 2025.01-2026.05 '!$D685,[1]SA007!Q:Q)</f>
        <v>0</v>
      </c>
      <c r="AC685" s="19">
        <f t="shared" si="23"/>
        <v>0</v>
      </c>
      <c r="AD685" s="19">
        <f t="shared" si="24"/>
        <v>0</v>
      </c>
      <c r="AG685" s="21">
        <f>SUMIF([1]SO003!$H:$H,'SA007 2025.01-2026.05 '!$D685,[1]SO003!AF:AF)</f>
        <v>0</v>
      </c>
      <c r="AH685" s="21">
        <f>SUMIF([1]SO003!$H:$H,'SA007 2025.01-2026.05 '!$D685,[1]SO003!AH:AH)</f>
        <v>0</v>
      </c>
      <c r="AI685" s="21">
        <f>SUMIF([1]SO003!$H:$H,'SA007 2025.01-2026.05 '!$D685,[1]SO003!AJ:AJ)</f>
        <v>0</v>
      </c>
    </row>
    <row r="686" spans="1:35" x14ac:dyDescent="0.55000000000000004">
      <c r="A686" s="2" t="s">
        <v>206</v>
      </c>
      <c r="D686" s="22">
        <v>77004272</v>
      </c>
      <c r="E686" s="2" t="s">
        <v>555</v>
      </c>
      <c r="F686" s="2" t="s">
        <v>556</v>
      </c>
      <c r="G686" s="3" t="s">
        <v>63</v>
      </c>
      <c r="H686" s="2" t="s">
        <v>310</v>
      </c>
      <c r="I686" s="17">
        <v>1</v>
      </c>
      <c r="J686" s="3">
        <v>90</v>
      </c>
      <c r="K686" s="3">
        <v>1219</v>
      </c>
      <c r="L686" s="18">
        <v>0</v>
      </c>
      <c r="M686" s="18">
        <v>27</v>
      </c>
      <c r="N686" s="18">
        <v>32</v>
      </c>
      <c r="O686" s="18">
        <v>0</v>
      </c>
      <c r="P686" s="18">
        <v>0</v>
      </c>
      <c r="Q686" s="18">
        <v>0</v>
      </c>
      <c r="R686" s="18">
        <v>0</v>
      </c>
      <c r="S686" s="18">
        <v>0</v>
      </c>
      <c r="T686" s="18">
        <v>0</v>
      </c>
      <c r="U686" s="18">
        <v>0</v>
      </c>
      <c r="V686" s="18">
        <v>0</v>
      </c>
      <c r="W686" s="18">
        <v>17</v>
      </c>
      <c r="X686" s="18">
        <v>0</v>
      </c>
      <c r="Y686" s="18">
        <v>17</v>
      </c>
      <c r="Z686" s="18">
        <v>0</v>
      </c>
      <c r="AA686" s="18">
        <f>SUMIF([1]SA007!$C:$C,'SA007 2025.01-2026.05 '!$D686,[1]SA007!P:P)</f>
        <v>0</v>
      </c>
      <c r="AB686" s="18">
        <f>SUMIF([1]SA007!$C:$C,'SA007 2025.01-2026.05 '!$D686,[1]SA007!Q:Q)</f>
        <v>0</v>
      </c>
      <c r="AC686" s="19">
        <f t="shared" si="23"/>
        <v>93</v>
      </c>
      <c r="AD686" s="19">
        <f t="shared" si="24"/>
        <v>5.4705882352941178</v>
      </c>
      <c r="AG686" s="21">
        <f>SUMIF([1]SO003!$H:$H,'SA007 2025.01-2026.05 '!$D686,[1]SO003!AF:AF)</f>
        <v>0</v>
      </c>
      <c r="AH686" s="21">
        <f>SUMIF([1]SO003!$H:$H,'SA007 2025.01-2026.05 '!$D686,[1]SO003!AH:AH)</f>
        <v>0</v>
      </c>
      <c r="AI686" s="21">
        <f>SUMIF([1]SO003!$H:$H,'SA007 2025.01-2026.05 '!$D686,[1]SO003!AJ:AJ)</f>
        <v>0</v>
      </c>
    </row>
    <row r="687" spans="1:35" x14ac:dyDescent="0.55000000000000004">
      <c r="A687" s="2" t="s">
        <v>1143</v>
      </c>
      <c r="D687" s="22" t="s">
        <v>1218</v>
      </c>
      <c r="E687" s="2" t="s">
        <v>116</v>
      </c>
      <c r="F687" s="2" t="s">
        <v>116</v>
      </c>
      <c r="G687" s="3" t="s">
        <v>47</v>
      </c>
      <c r="H687" s="2" t="s">
        <v>1219</v>
      </c>
      <c r="I687" s="17">
        <v>1.4</v>
      </c>
      <c r="J687" s="3">
        <v>80</v>
      </c>
      <c r="K687" s="3">
        <v>1219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8">
        <v>0</v>
      </c>
      <c r="S687" s="18">
        <v>0</v>
      </c>
      <c r="T687" s="18">
        <v>0</v>
      </c>
      <c r="U687" s="18">
        <v>0</v>
      </c>
      <c r="V687" s="18">
        <v>0</v>
      </c>
      <c r="W687" s="18">
        <v>0</v>
      </c>
      <c r="X687" s="18">
        <v>0</v>
      </c>
      <c r="Y687" s="18">
        <v>0</v>
      </c>
      <c r="Z687" s="18">
        <v>0</v>
      </c>
      <c r="AA687" s="18">
        <f>SUMIF([1]SA007!$C:$C,'SA007 2025.01-2026.05 '!$D687,[1]SA007!P:P)</f>
        <v>0</v>
      </c>
      <c r="AB687" s="18">
        <f>SUMIF([1]SA007!$C:$C,'SA007 2025.01-2026.05 '!$D687,[1]SA007!Q:Q)</f>
        <v>0</v>
      </c>
      <c r="AC687" s="19">
        <f t="shared" si="23"/>
        <v>0</v>
      </c>
      <c r="AD687" s="19">
        <f t="shared" si="24"/>
        <v>0</v>
      </c>
      <c r="AG687" s="21">
        <f>SUMIF([1]SO003!$H:$H,'SA007 2025.01-2026.05 '!$D687,[1]SO003!AF:AF)</f>
        <v>0</v>
      </c>
      <c r="AH687" s="21">
        <f>SUMIF([1]SO003!$H:$H,'SA007 2025.01-2026.05 '!$D687,[1]SO003!AH:AH)</f>
        <v>0</v>
      </c>
      <c r="AI687" s="21">
        <f>SUMIF([1]SO003!$H:$H,'SA007 2025.01-2026.05 '!$D687,[1]SO003!AJ:AJ)</f>
        <v>0</v>
      </c>
    </row>
    <row r="688" spans="1:35" x14ac:dyDescent="0.55000000000000004">
      <c r="A688" s="2" t="s">
        <v>1143</v>
      </c>
      <c r="D688" s="22" t="s">
        <v>1220</v>
      </c>
      <c r="E688" s="2" t="s">
        <v>116</v>
      </c>
      <c r="F688" s="2" t="s">
        <v>116</v>
      </c>
      <c r="G688" s="3" t="s">
        <v>47</v>
      </c>
      <c r="H688" s="2" t="s">
        <v>1219</v>
      </c>
      <c r="I688" s="17">
        <v>1.4</v>
      </c>
      <c r="J688" s="3">
        <v>248</v>
      </c>
      <c r="K688" s="3">
        <v>1219</v>
      </c>
      <c r="L688" s="18">
        <v>0</v>
      </c>
      <c r="M688" s="18">
        <v>0</v>
      </c>
      <c r="N688" s="18">
        <v>0</v>
      </c>
      <c r="O688" s="18">
        <v>0</v>
      </c>
      <c r="P688" s="18">
        <v>0</v>
      </c>
      <c r="Q688" s="18">
        <v>0</v>
      </c>
      <c r="R688" s="18">
        <v>0</v>
      </c>
      <c r="S688" s="18">
        <v>0</v>
      </c>
      <c r="T688" s="18">
        <v>0</v>
      </c>
      <c r="U688" s="18">
        <v>0</v>
      </c>
      <c r="V688" s="18">
        <v>0</v>
      </c>
      <c r="W688" s="18">
        <v>0</v>
      </c>
      <c r="X688" s="18">
        <v>0</v>
      </c>
      <c r="Y688" s="18">
        <v>0</v>
      </c>
      <c r="Z688" s="18">
        <v>0</v>
      </c>
      <c r="AA688" s="18">
        <f>SUMIF([1]SA007!$C:$C,'SA007 2025.01-2026.05 '!$D688,[1]SA007!P:P)</f>
        <v>0</v>
      </c>
      <c r="AB688" s="18">
        <f>SUMIF([1]SA007!$C:$C,'SA007 2025.01-2026.05 '!$D688,[1]SA007!Q:Q)</f>
        <v>0</v>
      </c>
      <c r="AC688" s="19">
        <f t="shared" si="23"/>
        <v>0</v>
      </c>
      <c r="AD688" s="19">
        <f t="shared" si="24"/>
        <v>0</v>
      </c>
      <c r="AG688" s="21">
        <f>SUMIF([1]SO003!$H:$H,'SA007 2025.01-2026.05 '!$D688,[1]SO003!AF:AF)</f>
        <v>0</v>
      </c>
      <c r="AH688" s="21">
        <f>SUMIF([1]SO003!$H:$H,'SA007 2025.01-2026.05 '!$D688,[1]SO003!AH:AH)</f>
        <v>0</v>
      </c>
      <c r="AI688" s="21">
        <f>SUMIF([1]SO003!$H:$H,'SA007 2025.01-2026.05 '!$D688,[1]SO003!AJ:AJ)</f>
        <v>0</v>
      </c>
    </row>
    <row r="689" spans="1:35" x14ac:dyDescent="0.55000000000000004">
      <c r="A689" s="2" t="s">
        <v>1143</v>
      </c>
      <c r="D689" s="22" t="s">
        <v>1221</v>
      </c>
      <c r="E689" s="2" t="s">
        <v>116</v>
      </c>
      <c r="F689" s="2" t="s">
        <v>116</v>
      </c>
      <c r="G689" s="3" t="s">
        <v>47</v>
      </c>
      <c r="H689" s="2" t="s">
        <v>1219</v>
      </c>
      <c r="I689" s="17">
        <v>1.4</v>
      </c>
      <c r="J689" s="3">
        <v>136</v>
      </c>
      <c r="K689" s="3">
        <v>1219</v>
      </c>
      <c r="L689" s="18">
        <v>0</v>
      </c>
      <c r="M689" s="18">
        <v>0</v>
      </c>
      <c r="N689" s="18">
        <v>0</v>
      </c>
      <c r="O689" s="18">
        <v>0</v>
      </c>
      <c r="P689" s="18">
        <v>0</v>
      </c>
      <c r="Q689" s="18">
        <v>0</v>
      </c>
      <c r="R689" s="18">
        <v>0</v>
      </c>
      <c r="S689" s="18">
        <v>0</v>
      </c>
      <c r="T689" s="18">
        <v>0</v>
      </c>
      <c r="U689" s="18">
        <v>0</v>
      </c>
      <c r="V689" s="18">
        <v>0</v>
      </c>
      <c r="W689" s="18">
        <v>0</v>
      </c>
      <c r="X689" s="18">
        <v>0</v>
      </c>
      <c r="Y689" s="18">
        <v>0</v>
      </c>
      <c r="Z689" s="18">
        <v>0</v>
      </c>
      <c r="AA689" s="18">
        <f>SUMIF([1]SA007!$C:$C,'SA007 2025.01-2026.05 '!$D689,[1]SA007!P:P)</f>
        <v>0</v>
      </c>
      <c r="AB689" s="18">
        <f>SUMIF([1]SA007!$C:$C,'SA007 2025.01-2026.05 '!$D689,[1]SA007!Q:Q)</f>
        <v>0</v>
      </c>
      <c r="AC689" s="19">
        <f t="shared" si="23"/>
        <v>0</v>
      </c>
      <c r="AD689" s="19">
        <f t="shared" si="24"/>
        <v>0</v>
      </c>
      <c r="AG689" s="21">
        <f>SUMIF([1]SO003!$H:$H,'SA007 2025.01-2026.05 '!$D689,[1]SO003!AF:AF)</f>
        <v>0</v>
      </c>
      <c r="AH689" s="21">
        <f>SUMIF([1]SO003!$H:$H,'SA007 2025.01-2026.05 '!$D689,[1]SO003!AH:AH)</f>
        <v>0</v>
      </c>
      <c r="AI689" s="21">
        <f>SUMIF([1]SO003!$H:$H,'SA007 2025.01-2026.05 '!$D689,[1]SO003!AJ:AJ)</f>
        <v>0</v>
      </c>
    </row>
    <row r="690" spans="1:35" x14ac:dyDescent="0.55000000000000004">
      <c r="A690" s="2" t="s">
        <v>99</v>
      </c>
      <c r="D690" s="22">
        <v>77004040</v>
      </c>
      <c r="E690" s="2" t="s">
        <v>116</v>
      </c>
      <c r="F690" s="2" t="s">
        <v>116</v>
      </c>
      <c r="G690" s="3" t="s">
        <v>63</v>
      </c>
      <c r="H690" s="2" t="s">
        <v>310</v>
      </c>
      <c r="I690" s="17">
        <v>0.5</v>
      </c>
      <c r="J690" s="3">
        <v>188</v>
      </c>
      <c r="K690" s="3" t="s">
        <v>315</v>
      </c>
      <c r="L690" s="18">
        <v>0</v>
      </c>
      <c r="M690" s="18">
        <v>0</v>
      </c>
      <c r="N690" s="18">
        <v>0</v>
      </c>
      <c r="O690" s="18">
        <v>0</v>
      </c>
      <c r="P690" s="18">
        <v>0</v>
      </c>
      <c r="Q690" s="18">
        <v>0</v>
      </c>
      <c r="R690" s="18">
        <v>0</v>
      </c>
      <c r="S690" s="18">
        <v>0</v>
      </c>
      <c r="T690" s="18">
        <v>0</v>
      </c>
      <c r="U690" s="18">
        <v>0</v>
      </c>
      <c r="V690" s="18">
        <v>0</v>
      </c>
      <c r="W690" s="18">
        <v>0</v>
      </c>
      <c r="X690" s="18">
        <v>0</v>
      </c>
      <c r="Y690" s="18">
        <v>0</v>
      </c>
      <c r="Z690" s="18">
        <v>0</v>
      </c>
      <c r="AA690" s="18">
        <f>SUMIF([1]SA007!$C:$C,'SA007 2025.01-2026.05 '!$D690,[1]SA007!P:P)</f>
        <v>0</v>
      </c>
      <c r="AB690" s="18">
        <f>SUMIF([1]SA007!$C:$C,'SA007 2025.01-2026.05 '!$D690,[1]SA007!Q:Q)</f>
        <v>0</v>
      </c>
      <c r="AC690" s="19">
        <f t="shared" si="23"/>
        <v>0</v>
      </c>
      <c r="AD690" s="19">
        <f t="shared" si="24"/>
        <v>0</v>
      </c>
      <c r="AG690" s="21">
        <f>SUMIF([1]SO003!$H:$H,'SA007 2025.01-2026.05 '!$D690,[1]SO003!AF:AF)</f>
        <v>0</v>
      </c>
      <c r="AH690" s="21">
        <f>SUMIF([1]SO003!$H:$H,'SA007 2025.01-2026.05 '!$D690,[1]SO003!AH:AH)</f>
        <v>0</v>
      </c>
      <c r="AI690" s="21">
        <f>SUMIF([1]SO003!$H:$H,'SA007 2025.01-2026.05 '!$D690,[1]SO003!AJ:AJ)</f>
        <v>0</v>
      </c>
    </row>
    <row r="691" spans="1:35" x14ac:dyDescent="0.55000000000000004">
      <c r="A691" s="2" t="s">
        <v>212</v>
      </c>
      <c r="B691" s="2" t="s">
        <v>213</v>
      </c>
      <c r="C691" s="2" t="s">
        <v>213</v>
      </c>
      <c r="D691" s="2" t="s">
        <v>1222</v>
      </c>
      <c r="E691" s="2" t="s">
        <v>363</v>
      </c>
      <c r="G691" s="3" t="s">
        <v>47</v>
      </c>
      <c r="H691" s="2" t="s">
        <v>213</v>
      </c>
      <c r="I691" s="17">
        <v>1.6</v>
      </c>
      <c r="J691" s="3">
        <v>124</v>
      </c>
      <c r="K691" s="3">
        <v>1220</v>
      </c>
      <c r="L691" s="18">
        <v>0</v>
      </c>
      <c r="M691" s="18">
        <v>0</v>
      </c>
      <c r="N691" s="18">
        <v>0</v>
      </c>
      <c r="O691" s="18">
        <v>190</v>
      </c>
      <c r="P691" s="18">
        <v>0</v>
      </c>
      <c r="Q691" s="18">
        <v>0</v>
      </c>
      <c r="R691" s="18">
        <v>0</v>
      </c>
      <c r="S691" s="18">
        <v>0</v>
      </c>
      <c r="T691" s="18">
        <v>0</v>
      </c>
      <c r="U691" s="18">
        <v>0</v>
      </c>
      <c r="V691" s="18">
        <v>0</v>
      </c>
      <c r="W691" s="18">
        <v>0</v>
      </c>
      <c r="X691" s="18">
        <v>0</v>
      </c>
      <c r="Y691" s="18">
        <v>0</v>
      </c>
      <c r="Z691" s="18">
        <v>0</v>
      </c>
      <c r="AA691" s="18">
        <f>SUMIF([1]SA007!$C:$C,'SA007 2025.01-2026.05 '!$D691,[1]SA007!P:P)</f>
        <v>0</v>
      </c>
      <c r="AB691" s="18">
        <f>SUMIF([1]SA007!$C:$C,'SA007 2025.01-2026.05 '!$D691,[1]SA007!Q:Q)</f>
        <v>0</v>
      </c>
      <c r="AC691" s="19">
        <f t="shared" si="23"/>
        <v>190</v>
      </c>
      <c r="AD691" s="19">
        <f t="shared" si="24"/>
        <v>11.176470588235293</v>
      </c>
      <c r="AE691" s="20" t="s">
        <v>48</v>
      </c>
      <c r="AG691" s="21">
        <f>SUMIF([1]SO003!$H:$H,'SA007 2025.01-2026.05 '!$D691,[1]SO003!AF:AF)</f>
        <v>0</v>
      </c>
      <c r="AH691" s="21">
        <f>SUMIF([1]SO003!$H:$H,'SA007 2025.01-2026.05 '!$D691,[1]SO003!AH:AH)</f>
        <v>0</v>
      </c>
      <c r="AI691" s="21">
        <f>SUMIF([1]SO003!$H:$H,'SA007 2025.01-2026.05 '!$D691,[1]SO003!AJ:AJ)</f>
        <v>0</v>
      </c>
    </row>
    <row r="692" spans="1:35" x14ac:dyDescent="0.55000000000000004">
      <c r="A692" s="2" t="s">
        <v>212</v>
      </c>
      <c r="B692" s="2" t="s">
        <v>213</v>
      </c>
      <c r="C692" s="2" t="s">
        <v>213</v>
      </c>
      <c r="D692" s="2" t="s">
        <v>1223</v>
      </c>
      <c r="E692" s="2" t="s">
        <v>363</v>
      </c>
      <c r="G692" s="3" t="s">
        <v>47</v>
      </c>
      <c r="H692" s="2" t="s">
        <v>213</v>
      </c>
      <c r="I692" s="17">
        <v>1.6</v>
      </c>
      <c r="J692" s="3">
        <v>80</v>
      </c>
      <c r="K692" s="3">
        <v>1220</v>
      </c>
      <c r="L692" s="18">
        <v>0</v>
      </c>
      <c r="M692" s="18">
        <v>0</v>
      </c>
      <c r="N692" s="18">
        <v>0</v>
      </c>
      <c r="O692" s="18">
        <v>122</v>
      </c>
      <c r="P692" s="18">
        <v>0</v>
      </c>
      <c r="Q692" s="18">
        <v>0</v>
      </c>
      <c r="R692" s="18">
        <v>63</v>
      </c>
      <c r="S692" s="18">
        <v>0</v>
      </c>
      <c r="T692" s="18">
        <v>0</v>
      </c>
      <c r="U692" s="18">
        <v>0</v>
      </c>
      <c r="V692" s="18">
        <v>0</v>
      </c>
      <c r="W692" s="18">
        <v>0</v>
      </c>
      <c r="X692" s="18">
        <v>0</v>
      </c>
      <c r="Y692" s="18">
        <v>0</v>
      </c>
      <c r="Z692" s="18">
        <v>0</v>
      </c>
      <c r="AA692" s="18">
        <f>SUMIF([1]SA007!$C:$C,'SA007 2025.01-2026.05 '!$D692,[1]SA007!P:P)</f>
        <v>0</v>
      </c>
      <c r="AB692" s="18">
        <f>SUMIF([1]SA007!$C:$C,'SA007 2025.01-2026.05 '!$D692,[1]SA007!Q:Q)</f>
        <v>0</v>
      </c>
      <c r="AC692" s="19">
        <f t="shared" si="23"/>
        <v>185</v>
      </c>
      <c r="AD692" s="19">
        <f t="shared" si="24"/>
        <v>10.882352941176471</v>
      </c>
      <c r="AE692" s="20" t="s">
        <v>48</v>
      </c>
      <c r="AG692" s="21">
        <f>SUMIF([1]SO003!$H:$H,'SA007 2025.01-2026.05 '!$D692,[1]SO003!AF:AF)</f>
        <v>0</v>
      </c>
      <c r="AH692" s="21">
        <f>SUMIF([1]SO003!$H:$H,'SA007 2025.01-2026.05 '!$D692,[1]SO003!AH:AH)</f>
        <v>0</v>
      </c>
      <c r="AI692" s="21">
        <f>SUMIF([1]SO003!$H:$H,'SA007 2025.01-2026.05 '!$D692,[1]SO003!AJ:AJ)</f>
        <v>0</v>
      </c>
    </row>
    <row r="693" spans="1:35" x14ac:dyDescent="0.55000000000000004">
      <c r="A693" s="2" t="s">
        <v>361</v>
      </c>
      <c r="D693" s="22">
        <v>50002365</v>
      </c>
      <c r="E693" s="2" t="s">
        <v>116</v>
      </c>
      <c r="F693" s="2" t="s">
        <v>116</v>
      </c>
      <c r="G693" s="3" t="s">
        <v>47</v>
      </c>
      <c r="H693" s="2" t="s">
        <v>213</v>
      </c>
      <c r="I693" s="17">
        <v>4.5</v>
      </c>
      <c r="J693" s="3">
        <v>245</v>
      </c>
      <c r="K693" s="3">
        <v>1219</v>
      </c>
      <c r="L693" s="18">
        <v>0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8">
        <f>SUMIF([1]SA007!$C:$C,'SA007 2025.01-2026.05 '!$D693,[1]SA007!P:P)</f>
        <v>0</v>
      </c>
      <c r="AB693" s="18">
        <f>SUMIF([1]SA007!$C:$C,'SA007 2025.01-2026.05 '!$D693,[1]SA007!Q:Q)</f>
        <v>0</v>
      </c>
      <c r="AC693" s="19">
        <f t="shared" si="23"/>
        <v>0</v>
      </c>
      <c r="AD693" s="19">
        <f t="shared" si="24"/>
        <v>0</v>
      </c>
      <c r="AG693" s="21">
        <f>SUMIF([1]SO003!$H:$H,'SA007 2025.01-2026.05 '!$D693,[1]SO003!AF:AF)</f>
        <v>0</v>
      </c>
      <c r="AH693" s="21">
        <f>SUMIF([1]SO003!$H:$H,'SA007 2025.01-2026.05 '!$D693,[1]SO003!AH:AH)</f>
        <v>0</v>
      </c>
      <c r="AI693" s="21">
        <f>SUMIF([1]SO003!$H:$H,'SA007 2025.01-2026.05 '!$D693,[1]SO003!AJ:AJ)</f>
        <v>0</v>
      </c>
    </row>
    <row r="694" spans="1:35" x14ac:dyDescent="0.55000000000000004">
      <c r="A694" s="2" t="s">
        <v>212</v>
      </c>
      <c r="B694" s="2" t="s">
        <v>213</v>
      </c>
      <c r="C694" s="2" t="s">
        <v>213</v>
      </c>
      <c r="D694" s="2" t="s">
        <v>1224</v>
      </c>
      <c r="E694" s="2" t="s">
        <v>363</v>
      </c>
      <c r="G694" s="3" t="s">
        <v>47</v>
      </c>
      <c r="H694" s="2" t="s">
        <v>213</v>
      </c>
      <c r="I694" s="17">
        <v>1.6</v>
      </c>
      <c r="J694" s="3">
        <v>78</v>
      </c>
      <c r="K694" s="3">
        <v>1220</v>
      </c>
      <c r="L694" s="18">
        <v>0</v>
      </c>
      <c r="M694" s="18">
        <v>0</v>
      </c>
      <c r="N694" s="18">
        <v>0</v>
      </c>
      <c r="O694" s="18">
        <v>0</v>
      </c>
      <c r="P694" s="18">
        <v>119</v>
      </c>
      <c r="Q694" s="18">
        <v>0</v>
      </c>
      <c r="R694" s="18">
        <v>187</v>
      </c>
      <c r="S694" s="18">
        <v>0</v>
      </c>
      <c r="T694" s="18">
        <v>0</v>
      </c>
      <c r="U694" s="18">
        <v>0</v>
      </c>
      <c r="V694" s="18">
        <v>0</v>
      </c>
      <c r="W694" s="18">
        <v>0</v>
      </c>
      <c r="X694" s="18">
        <v>0</v>
      </c>
      <c r="Y694" s="18">
        <v>0</v>
      </c>
      <c r="Z694" s="18">
        <v>0</v>
      </c>
      <c r="AA694" s="18">
        <f>SUMIF([1]SA007!$C:$C,'SA007 2025.01-2026.05 '!$D694,[1]SA007!P:P)</f>
        <v>0</v>
      </c>
      <c r="AB694" s="18">
        <f>SUMIF([1]SA007!$C:$C,'SA007 2025.01-2026.05 '!$D694,[1]SA007!Q:Q)</f>
        <v>0</v>
      </c>
      <c r="AC694" s="19">
        <f t="shared" si="23"/>
        <v>306</v>
      </c>
      <c r="AD694" s="19">
        <f t="shared" si="24"/>
        <v>18</v>
      </c>
      <c r="AE694" s="20" t="s">
        <v>48</v>
      </c>
      <c r="AG694" s="21">
        <f>SUMIF([1]SO003!$H:$H,'SA007 2025.01-2026.05 '!$D694,[1]SO003!AF:AF)</f>
        <v>0</v>
      </c>
      <c r="AH694" s="21">
        <f>SUMIF([1]SO003!$H:$H,'SA007 2025.01-2026.05 '!$D694,[1]SO003!AH:AH)</f>
        <v>0</v>
      </c>
      <c r="AI694" s="21">
        <f>SUMIF([1]SO003!$H:$H,'SA007 2025.01-2026.05 '!$D694,[1]SO003!AJ:AJ)</f>
        <v>0</v>
      </c>
    </row>
    <row r="695" spans="1:35" x14ac:dyDescent="0.55000000000000004">
      <c r="A695" s="2" t="s">
        <v>867</v>
      </c>
      <c r="D695" s="22" t="s">
        <v>1225</v>
      </c>
      <c r="E695" s="2" t="s">
        <v>116</v>
      </c>
      <c r="F695" s="2" t="s">
        <v>116</v>
      </c>
      <c r="G695" s="3" t="s">
        <v>63</v>
      </c>
      <c r="H695" s="2" t="s">
        <v>61</v>
      </c>
      <c r="I695" s="17">
        <v>1.2</v>
      </c>
      <c r="J695" s="3">
        <v>74</v>
      </c>
      <c r="K695" s="3">
        <v>1219</v>
      </c>
      <c r="L695" s="18">
        <v>0</v>
      </c>
      <c r="M695" s="18">
        <v>0</v>
      </c>
      <c r="N695" s="18">
        <v>48</v>
      </c>
      <c r="O695" s="18">
        <v>0</v>
      </c>
      <c r="P695" s="18">
        <v>0</v>
      </c>
      <c r="Q695" s="18">
        <v>42</v>
      </c>
      <c r="R695" s="18">
        <v>0</v>
      </c>
      <c r="S695" s="18">
        <v>49</v>
      </c>
      <c r="T695" s="18">
        <v>0</v>
      </c>
      <c r="U695" s="18">
        <v>43</v>
      </c>
      <c r="V695" s="18">
        <v>0</v>
      </c>
      <c r="W695" s="18">
        <v>40</v>
      </c>
      <c r="X695" s="18">
        <v>33</v>
      </c>
      <c r="Y695" s="18">
        <v>0</v>
      </c>
      <c r="Z695" s="18">
        <v>43</v>
      </c>
      <c r="AA695" s="18">
        <f>SUMIF([1]SA007!$C:$C,'SA007 2025.01-2026.05 '!$D695,[1]SA007!P:P)</f>
        <v>45</v>
      </c>
      <c r="AB695" s="18">
        <f>SUMIF([1]SA007!$C:$C,'SA007 2025.01-2026.05 '!$D695,[1]SA007!Q:Q)</f>
        <v>43</v>
      </c>
      <c r="AC695" s="19">
        <f t="shared" si="23"/>
        <v>386</v>
      </c>
      <c r="AD695" s="19">
        <f t="shared" si="24"/>
        <v>22.705882352941178</v>
      </c>
      <c r="AG695" s="21">
        <f>SUMIF([1]SO003!$H:$H,'SA007 2025.01-2026.05 '!$D695,[1]SO003!AF:AF)</f>
        <v>0</v>
      </c>
      <c r="AH695" s="21">
        <f>SUMIF([1]SO003!$H:$H,'SA007 2025.01-2026.05 '!$D695,[1]SO003!AH:AH)</f>
        <v>0</v>
      </c>
      <c r="AI695" s="21">
        <f>SUMIF([1]SO003!$H:$H,'SA007 2025.01-2026.05 '!$D695,[1]SO003!AJ:AJ)</f>
        <v>0</v>
      </c>
    </row>
    <row r="696" spans="1:35" x14ac:dyDescent="0.55000000000000004">
      <c r="A696" s="2" t="s">
        <v>389</v>
      </c>
      <c r="D696" s="22">
        <v>30052580</v>
      </c>
      <c r="E696" s="2" t="s">
        <v>116</v>
      </c>
      <c r="F696" s="2" t="s">
        <v>116</v>
      </c>
      <c r="G696" s="3" t="s">
        <v>47</v>
      </c>
      <c r="H696" s="2" t="s">
        <v>321</v>
      </c>
      <c r="I696" s="17">
        <v>2</v>
      </c>
      <c r="J696" s="3">
        <v>123</v>
      </c>
      <c r="K696" s="3">
        <v>1219</v>
      </c>
      <c r="L696" s="18">
        <v>0</v>
      </c>
      <c r="M696" s="18">
        <v>0</v>
      </c>
      <c r="N696" s="18">
        <v>0</v>
      </c>
      <c r="O696" s="18">
        <v>0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8">
        <v>0</v>
      </c>
      <c r="V696" s="18">
        <v>0</v>
      </c>
      <c r="W696" s="18">
        <v>0</v>
      </c>
      <c r="X696" s="18">
        <v>0</v>
      </c>
      <c r="Y696" s="18">
        <v>0</v>
      </c>
      <c r="Z696" s="18">
        <v>0</v>
      </c>
      <c r="AA696" s="18">
        <f>SUMIF([1]SA007!$C:$C,'SA007 2025.01-2026.05 '!$D696,[1]SA007!P:P)</f>
        <v>0</v>
      </c>
      <c r="AB696" s="18">
        <f>SUMIF([1]SA007!$C:$C,'SA007 2025.01-2026.05 '!$D696,[1]SA007!Q:Q)</f>
        <v>0</v>
      </c>
      <c r="AC696" s="19">
        <f t="shared" si="23"/>
        <v>0</v>
      </c>
      <c r="AD696" s="19">
        <f t="shared" si="24"/>
        <v>0</v>
      </c>
      <c r="AG696" s="21">
        <f>SUMIF([1]SO003!$H:$H,'SA007 2025.01-2026.05 '!$D696,[1]SO003!AF:AF)</f>
        <v>0</v>
      </c>
      <c r="AH696" s="21">
        <f>SUMIF([1]SO003!$H:$H,'SA007 2025.01-2026.05 '!$D696,[1]SO003!AH:AH)</f>
        <v>0</v>
      </c>
      <c r="AI696" s="21">
        <f>SUMIF([1]SO003!$H:$H,'SA007 2025.01-2026.05 '!$D696,[1]SO003!AJ:AJ)</f>
        <v>0</v>
      </c>
    </row>
    <row r="697" spans="1:35" x14ac:dyDescent="0.55000000000000004">
      <c r="A697" s="2" t="s">
        <v>212</v>
      </c>
      <c r="B697" s="2" t="s">
        <v>213</v>
      </c>
      <c r="C697" s="2" t="s">
        <v>213</v>
      </c>
      <c r="D697" s="2" t="s">
        <v>1226</v>
      </c>
      <c r="E697" s="2" t="s">
        <v>363</v>
      </c>
      <c r="G697" s="3" t="s">
        <v>47</v>
      </c>
      <c r="H697" s="2" t="s">
        <v>213</v>
      </c>
      <c r="I697" s="17">
        <v>1.6</v>
      </c>
      <c r="J697" s="3">
        <v>120</v>
      </c>
      <c r="K697" s="3">
        <v>1220</v>
      </c>
      <c r="L697" s="18">
        <v>0</v>
      </c>
      <c r="M697" s="18">
        <v>0</v>
      </c>
      <c r="N697" s="18">
        <v>0</v>
      </c>
      <c r="O697" s="18">
        <v>0</v>
      </c>
      <c r="P697" s="18">
        <v>367</v>
      </c>
      <c r="Q697" s="18">
        <v>558</v>
      </c>
      <c r="R697" s="18">
        <v>375</v>
      </c>
      <c r="S697" s="18">
        <v>0</v>
      </c>
      <c r="T697" s="18">
        <v>0</v>
      </c>
      <c r="U697" s="18">
        <v>0</v>
      </c>
      <c r="V697" s="18">
        <v>0</v>
      </c>
      <c r="W697" s="18">
        <v>547</v>
      </c>
      <c r="X697" s="18">
        <v>0</v>
      </c>
      <c r="Y697" s="18">
        <v>272</v>
      </c>
      <c r="Z697" s="18">
        <v>0</v>
      </c>
      <c r="AA697" s="18">
        <f>SUMIF([1]SA007!$C:$C,'SA007 2025.01-2026.05 '!$D697,[1]SA007!P:P)</f>
        <v>0</v>
      </c>
      <c r="AB697" s="18">
        <f>SUMIF([1]SA007!$C:$C,'SA007 2025.01-2026.05 '!$D697,[1]SA007!Q:Q)</f>
        <v>0</v>
      </c>
      <c r="AC697" s="19">
        <f t="shared" si="23"/>
        <v>2119</v>
      </c>
      <c r="AD697" s="19">
        <f t="shared" si="24"/>
        <v>124.64705882352941</v>
      </c>
      <c r="AE697" s="20" t="s">
        <v>48</v>
      </c>
      <c r="AG697" s="21">
        <f>SUMIF([1]SO003!$H:$H,'SA007 2025.01-2026.05 '!$D697,[1]SO003!AF:AF)</f>
        <v>0</v>
      </c>
      <c r="AH697" s="21">
        <f>SUMIF([1]SO003!$H:$H,'SA007 2025.01-2026.05 '!$D697,[1]SO003!AH:AH)</f>
        <v>0</v>
      </c>
      <c r="AI697" s="21">
        <f>SUMIF([1]SO003!$H:$H,'SA007 2025.01-2026.05 '!$D697,[1]SO003!AJ:AJ)</f>
        <v>0</v>
      </c>
    </row>
    <row r="698" spans="1:35" x14ac:dyDescent="0.55000000000000004">
      <c r="A698" s="2" t="s">
        <v>389</v>
      </c>
      <c r="D698" s="22">
        <v>30052583.199999999</v>
      </c>
      <c r="E698" s="2" t="s">
        <v>116</v>
      </c>
      <c r="F698" s="2" t="s">
        <v>116</v>
      </c>
      <c r="G698" s="3" t="s">
        <v>47</v>
      </c>
      <c r="H698" s="2" t="s">
        <v>321</v>
      </c>
      <c r="I698" s="17">
        <v>2</v>
      </c>
      <c r="J698" s="3">
        <v>92</v>
      </c>
      <c r="K698" s="3" t="s">
        <v>819</v>
      </c>
      <c r="L698" s="18">
        <v>0</v>
      </c>
      <c r="M698" s="18">
        <v>0</v>
      </c>
      <c r="N698" s="18">
        <v>0</v>
      </c>
      <c r="O698" s="18">
        <v>0</v>
      </c>
      <c r="P698" s="18">
        <v>0</v>
      </c>
      <c r="Q698" s="18">
        <v>0</v>
      </c>
      <c r="R698" s="18">
        <v>0</v>
      </c>
      <c r="S698" s="18">
        <v>0</v>
      </c>
      <c r="T698" s="18">
        <v>0</v>
      </c>
      <c r="U698" s="18">
        <v>0</v>
      </c>
      <c r="V698" s="18">
        <v>0</v>
      </c>
      <c r="W698" s="18">
        <v>0</v>
      </c>
      <c r="X698" s="18">
        <v>0</v>
      </c>
      <c r="Y698" s="18">
        <v>0</v>
      </c>
      <c r="Z698" s="18">
        <v>0</v>
      </c>
      <c r="AA698" s="18">
        <f>SUMIF([1]SA007!$C:$C,'SA007 2025.01-2026.05 '!$D698,[1]SA007!P:P)</f>
        <v>0</v>
      </c>
      <c r="AB698" s="18">
        <f>SUMIF([1]SA007!$C:$C,'SA007 2025.01-2026.05 '!$D698,[1]SA007!Q:Q)</f>
        <v>0</v>
      </c>
      <c r="AC698" s="19">
        <f t="shared" si="23"/>
        <v>0</v>
      </c>
      <c r="AD698" s="19">
        <f t="shared" si="24"/>
        <v>0</v>
      </c>
      <c r="AG698" s="21">
        <f>SUMIF([1]SO003!$H:$H,'SA007 2025.01-2026.05 '!$D698,[1]SO003!AF:AF)</f>
        <v>0</v>
      </c>
      <c r="AH698" s="21">
        <f>SUMIF([1]SO003!$H:$H,'SA007 2025.01-2026.05 '!$D698,[1]SO003!AH:AH)</f>
        <v>0</v>
      </c>
      <c r="AI698" s="21">
        <f>SUMIF([1]SO003!$H:$H,'SA007 2025.01-2026.05 '!$D698,[1]SO003!AJ:AJ)</f>
        <v>0</v>
      </c>
    </row>
    <row r="699" spans="1:35" x14ac:dyDescent="0.55000000000000004">
      <c r="A699" s="2" t="s">
        <v>1097</v>
      </c>
      <c r="D699" s="22">
        <v>30052590.300000001</v>
      </c>
      <c r="E699" s="2" t="s">
        <v>116</v>
      </c>
      <c r="F699" s="2" t="s">
        <v>116</v>
      </c>
      <c r="G699" s="3" t="s">
        <v>63</v>
      </c>
      <c r="H699" s="2" t="s">
        <v>310</v>
      </c>
      <c r="I699" s="17">
        <v>1.4</v>
      </c>
      <c r="J699" s="3">
        <v>1220</v>
      </c>
      <c r="K699" s="3" t="s">
        <v>1227</v>
      </c>
      <c r="L699" s="18">
        <v>0</v>
      </c>
      <c r="M699" s="18">
        <v>0</v>
      </c>
      <c r="N699" s="18">
        <v>0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>
        <v>0</v>
      </c>
      <c r="U699" s="18">
        <v>0</v>
      </c>
      <c r="V699" s="18">
        <v>0</v>
      </c>
      <c r="W699" s="18">
        <v>0</v>
      </c>
      <c r="X699" s="18">
        <v>0</v>
      </c>
      <c r="Y699" s="18">
        <v>0</v>
      </c>
      <c r="Z699" s="18">
        <v>0</v>
      </c>
      <c r="AA699" s="18">
        <f>SUMIF([1]SA007!$C:$C,'SA007 2025.01-2026.05 '!$D699,[1]SA007!P:P)</f>
        <v>0</v>
      </c>
      <c r="AB699" s="18">
        <f>SUMIF([1]SA007!$C:$C,'SA007 2025.01-2026.05 '!$D699,[1]SA007!Q:Q)</f>
        <v>0</v>
      </c>
      <c r="AC699" s="19">
        <f t="shared" si="23"/>
        <v>0</v>
      </c>
      <c r="AD699" s="19">
        <f t="shared" si="24"/>
        <v>0</v>
      </c>
      <c r="AG699" s="21">
        <f>SUMIF([1]SO003!$H:$H,'SA007 2025.01-2026.05 '!$D699,[1]SO003!AF:AF)</f>
        <v>0</v>
      </c>
      <c r="AH699" s="21">
        <f>SUMIF([1]SO003!$H:$H,'SA007 2025.01-2026.05 '!$D699,[1]SO003!AH:AH)</f>
        <v>0</v>
      </c>
      <c r="AI699" s="21">
        <f>SUMIF([1]SO003!$H:$H,'SA007 2025.01-2026.05 '!$D699,[1]SO003!AJ:AJ)</f>
        <v>0</v>
      </c>
    </row>
    <row r="700" spans="1:35" x14ac:dyDescent="0.55000000000000004">
      <c r="A700" s="2" t="s">
        <v>1097</v>
      </c>
      <c r="D700" s="22">
        <v>77004747</v>
      </c>
      <c r="E700" s="2" t="s">
        <v>116</v>
      </c>
      <c r="F700" s="2" t="s">
        <v>116</v>
      </c>
      <c r="G700" s="3" t="s">
        <v>63</v>
      </c>
      <c r="H700" s="2" t="s">
        <v>310</v>
      </c>
      <c r="I700" s="17">
        <v>1.4</v>
      </c>
      <c r="J700" s="3">
        <v>48</v>
      </c>
      <c r="K700" s="3" t="s">
        <v>731</v>
      </c>
      <c r="L700" s="18">
        <v>0</v>
      </c>
      <c r="M700" s="18">
        <v>0</v>
      </c>
      <c r="N700" s="18">
        <v>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>
        <v>0</v>
      </c>
      <c r="U700" s="18">
        <v>0</v>
      </c>
      <c r="V700" s="18">
        <v>0</v>
      </c>
      <c r="W700" s="18">
        <v>0</v>
      </c>
      <c r="X700" s="18">
        <v>0</v>
      </c>
      <c r="Y700" s="18">
        <v>0</v>
      </c>
      <c r="Z700" s="18">
        <v>0</v>
      </c>
      <c r="AA700" s="18">
        <f>SUMIF([1]SA007!$C:$C,'SA007 2025.01-2026.05 '!$D700,[1]SA007!P:P)</f>
        <v>0</v>
      </c>
      <c r="AB700" s="18">
        <f>SUMIF([1]SA007!$C:$C,'SA007 2025.01-2026.05 '!$D700,[1]SA007!Q:Q)</f>
        <v>0</v>
      </c>
      <c r="AC700" s="19">
        <f t="shared" si="23"/>
        <v>0</v>
      </c>
      <c r="AD700" s="19">
        <f t="shared" si="24"/>
        <v>0</v>
      </c>
      <c r="AG700" s="21">
        <f>SUMIF([1]SO003!$H:$H,'SA007 2025.01-2026.05 '!$D700,[1]SO003!AF:AF)</f>
        <v>0</v>
      </c>
      <c r="AH700" s="21">
        <f>SUMIF([1]SO003!$H:$H,'SA007 2025.01-2026.05 '!$D700,[1]SO003!AH:AH)</f>
        <v>0</v>
      </c>
      <c r="AI700" s="21">
        <f>SUMIF([1]SO003!$H:$H,'SA007 2025.01-2026.05 '!$D700,[1]SO003!AJ:AJ)</f>
        <v>0</v>
      </c>
    </row>
    <row r="701" spans="1:35" x14ac:dyDescent="0.55000000000000004">
      <c r="A701" s="2" t="s">
        <v>1228</v>
      </c>
      <c r="D701" s="22" t="s">
        <v>1229</v>
      </c>
      <c r="E701" s="2" t="s">
        <v>116</v>
      </c>
      <c r="F701" s="2" t="s">
        <v>116</v>
      </c>
      <c r="G701" s="3" t="s">
        <v>47</v>
      </c>
      <c r="H701" s="2" t="s">
        <v>751</v>
      </c>
      <c r="I701" s="17">
        <v>2.2999999999999998</v>
      </c>
      <c r="J701" s="3">
        <v>305</v>
      </c>
      <c r="K701" s="3">
        <v>1219</v>
      </c>
      <c r="L701" s="18">
        <v>0</v>
      </c>
      <c r="M701" s="18">
        <v>0</v>
      </c>
      <c r="N701" s="18">
        <v>0</v>
      </c>
      <c r="O701" s="18">
        <v>0</v>
      </c>
      <c r="P701" s="18">
        <v>0</v>
      </c>
      <c r="Q701" s="18">
        <v>0</v>
      </c>
      <c r="R701" s="18">
        <v>0</v>
      </c>
      <c r="S701" s="18">
        <v>0</v>
      </c>
      <c r="T701" s="18">
        <v>0</v>
      </c>
      <c r="U701" s="18">
        <v>0</v>
      </c>
      <c r="V701" s="18">
        <v>0</v>
      </c>
      <c r="W701" s="18">
        <v>0</v>
      </c>
      <c r="X701" s="18">
        <v>0</v>
      </c>
      <c r="Y701" s="18">
        <v>0</v>
      </c>
      <c r="Z701" s="18">
        <v>0</v>
      </c>
      <c r="AA701" s="18">
        <f>SUMIF([1]SA007!$C:$C,'SA007 2025.01-2026.05 '!$D701,[1]SA007!P:P)</f>
        <v>0</v>
      </c>
      <c r="AB701" s="18">
        <f>SUMIF([1]SA007!$C:$C,'SA007 2025.01-2026.05 '!$D701,[1]SA007!Q:Q)</f>
        <v>0</v>
      </c>
      <c r="AC701" s="19">
        <f t="shared" si="23"/>
        <v>0</v>
      </c>
      <c r="AD701" s="19">
        <f t="shared" si="24"/>
        <v>0</v>
      </c>
      <c r="AG701" s="21">
        <f>SUMIF([1]SO003!$H:$H,'SA007 2025.01-2026.05 '!$D701,[1]SO003!AF:AF)</f>
        <v>0</v>
      </c>
      <c r="AH701" s="21">
        <f>SUMIF([1]SO003!$H:$H,'SA007 2025.01-2026.05 '!$D701,[1]SO003!AH:AH)</f>
        <v>0</v>
      </c>
      <c r="AI701" s="21">
        <f>SUMIF([1]SO003!$H:$H,'SA007 2025.01-2026.05 '!$D701,[1]SO003!AJ:AJ)</f>
        <v>0</v>
      </c>
    </row>
    <row r="702" spans="1:35" x14ac:dyDescent="0.55000000000000004">
      <c r="A702" s="2" t="s">
        <v>475</v>
      </c>
      <c r="D702" s="22" t="s">
        <v>1230</v>
      </c>
      <c r="E702" s="2" t="s">
        <v>116</v>
      </c>
      <c r="F702" s="2" t="s">
        <v>116</v>
      </c>
      <c r="G702" s="3" t="s">
        <v>47</v>
      </c>
      <c r="H702" s="2" t="s">
        <v>213</v>
      </c>
      <c r="I702" s="17">
        <v>4</v>
      </c>
      <c r="J702" s="3">
        <v>121</v>
      </c>
      <c r="K702" s="3">
        <v>1219</v>
      </c>
      <c r="L702" s="18">
        <v>0</v>
      </c>
      <c r="M702" s="18">
        <v>0</v>
      </c>
      <c r="N702" s="18">
        <v>0</v>
      </c>
      <c r="O702" s="18">
        <v>0</v>
      </c>
      <c r="P702" s="18">
        <v>0</v>
      </c>
      <c r="Q702" s="18">
        <v>0</v>
      </c>
      <c r="R702" s="18">
        <v>0</v>
      </c>
      <c r="S702" s="18">
        <v>0</v>
      </c>
      <c r="T702" s="18">
        <v>0</v>
      </c>
      <c r="U702" s="18">
        <v>0</v>
      </c>
      <c r="V702" s="18">
        <v>0</v>
      </c>
      <c r="W702" s="18">
        <v>0</v>
      </c>
      <c r="X702" s="18">
        <v>0</v>
      </c>
      <c r="Y702" s="18">
        <v>0</v>
      </c>
      <c r="Z702" s="18">
        <v>0</v>
      </c>
      <c r="AA702" s="18">
        <f>SUMIF([1]SA007!$C:$C,'SA007 2025.01-2026.05 '!$D702,[1]SA007!P:P)</f>
        <v>0</v>
      </c>
      <c r="AB702" s="18">
        <f>SUMIF([1]SA007!$C:$C,'SA007 2025.01-2026.05 '!$D702,[1]SA007!Q:Q)</f>
        <v>0</v>
      </c>
      <c r="AC702" s="19">
        <f t="shared" si="23"/>
        <v>0</v>
      </c>
      <c r="AD702" s="19">
        <f t="shared" si="24"/>
        <v>0</v>
      </c>
      <c r="AG702" s="21">
        <f>SUMIF([1]SO003!$H:$H,'SA007 2025.01-2026.05 '!$D702,[1]SO003!AF:AF)</f>
        <v>0</v>
      </c>
      <c r="AH702" s="21">
        <f>SUMIF([1]SO003!$H:$H,'SA007 2025.01-2026.05 '!$D702,[1]SO003!AH:AH)</f>
        <v>0</v>
      </c>
      <c r="AI702" s="21">
        <f>SUMIF([1]SO003!$H:$H,'SA007 2025.01-2026.05 '!$D702,[1]SO003!AJ:AJ)</f>
        <v>0</v>
      </c>
    </row>
    <row r="703" spans="1:35" x14ac:dyDescent="0.55000000000000004">
      <c r="A703" s="2" t="s">
        <v>389</v>
      </c>
      <c r="D703" s="22" t="s">
        <v>1231</v>
      </c>
      <c r="E703" s="2" t="s">
        <v>116</v>
      </c>
      <c r="F703" s="2" t="s">
        <v>116</v>
      </c>
      <c r="G703" s="3" t="s">
        <v>47</v>
      </c>
      <c r="H703" s="2" t="s">
        <v>213</v>
      </c>
      <c r="I703" s="17">
        <v>2</v>
      </c>
      <c r="J703" s="3">
        <v>52</v>
      </c>
      <c r="K703" s="3">
        <v>1219</v>
      </c>
      <c r="L703" s="18">
        <v>0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8">
        <v>0</v>
      </c>
      <c r="S703" s="18">
        <v>0</v>
      </c>
      <c r="T703" s="18">
        <v>0</v>
      </c>
      <c r="U703" s="18">
        <v>0</v>
      </c>
      <c r="V703" s="18">
        <v>0</v>
      </c>
      <c r="W703" s="18">
        <v>0</v>
      </c>
      <c r="X703" s="18">
        <v>0</v>
      </c>
      <c r="Y703" s="18">
        <v>0</v>
      </c>
      <c r="Z703" s="18">
        <v>0</v>
      </c>
      <c r="AA703" s="18">
        <f>SUMIF([1]SA007!$C:$C,'SA007 2025.01-2026.05 '!$D703,[1]SA007!P:P)</f>
        <v>0</v>
      </c>
      <c r="AB703" s="18">
        <f>SUMIF([1]SA007!$C:$C,'SA007 2025.01-2026.05 '!$D703,[1]SA007!Q:Q)</f>
        <v>0</v>
      </c>
      <c r="AC703" s="19">
        <f t="shared" si="23"/>
        <v>0</v>
      </c>
      <c r="AD703" s="19">
        <f t="shared" si="24"/>
        <v>0</v>
      </c>
      <c r="AG703" s="21">
        <f>SUMIF([1]SO003!$H:$H,'SA007 2025.01-2026.05 '!$D703,[1]SO003!AF:AF)</f>
        <v>0</v>
      </c>
      <c r="AH703" s="21">
        <f>SUMIF([1]SO003!$H:$H,'SA007 2025.01-2026.05 '!$D703,[1]SO003!AH:AH)</f>
        <v>0</v>
      </c>
      <c r="AI703" s="21">
        <f>SUMIF([1]SO003!$H:$H,'SA007 2025.01-2026.05 '!$D703,[1]SO003!AJ:AJ)</f>
        <v>0</v>
      </c>
    </row>
    <row r="704" spans="1:35" x14ac:dyDescent="0.55000000000000004">
      <c r="A704" s="2" t="s">
        <v>361</v>
      </c>
      <c r="D704" s="22" t="s">
        <v>1232</v>
      </c>
      <c r="E704" s="2" t="s">
        <v>116</v>
      </c>
      <c r="F704" s="2" t="s">
        <v>116</v>
      </c>
      <c r="G704" s="3" t="s">
        <v>47</v>
      </c>
      <c r="H704" s="2" t="s">
        <v>1233</v>
      </c>
      <c r="I704" s="17">
        <v>4.5</v>
      </c>
      <c r="J704" s="3">
        <v>192</v>
      </c>
      <c r="K704" s="3">
        <v>1219</v>
      </c>
      <c r="L704" s="18">
        <v>0</v>
      </c>
      <c r="M704" s="18">
        <v>0</v>
      </c>
      <c r="N704" s="18">
        <v>0</v>
      </c>
      <c r="O704" s="18">
        <v>0</v>
      </c>
      <c r="P704" s="18">
        <v>0</v>
      </c>
      <c r="Q704" s="18">
        <v>0</v>
      </c>
      <c r="R704" s="18">
        <v>0</v>
      </c>
      <c r="S704" s="18">
        <v>0</v>
      </c>
      <c r="T704" s="18">
        <v>0</v>
      </c>
      <c r="U704" s="18">
        <v>0</v>
      </c>
      <c r="V704" s="18">
        <v>0</v>
      </c>
      <c r="W704" s="18">
        <v>0</v>
      </c>
      <c r="X704" s="18">
        <v>0</v>
      </c>
      <c r="Y704" s="18">
        <v>0</v>
      </c>
      <c r="Z704" s="18">
        <v>0</v>
      </c>
      <c r="AA704" s="18">
        <f>SUMIF([1]SA007!$C:$C,'SA007 2025.01-2026.05 '!$D704,[1]SA007!P:P)</f>
        <v>0</v>
      </c>
      <c r="AB704" s="18">
        <f>SUMIF([1]SA007!$C:$C,'SA007 2025.01-2026.05 '!$D704,[1]SA007!Q:Q)</f>
        <v>0</v>
      </c>
      <c r="AC704" s="19">
        <f t="shared" si="23"/>
        <v>0</v>
      </c>
      <c r="AD704" s="19">
        <f t="shared" si="24"/>
        <v>0</v>
      </c>
      <c r="AG704" s="21">
        <f>SUMIF([1]SO003!$H:$H,'SA007 2025.01-2026.05 '!$D704,[1]SO003!AF:AF)</f>
        <v>0</v>
      </c>
      <c r="AH704" s="21">
        <f>SUMIF([1]SO003!$H:$H,'SA007 2025.01-2026.05 '!$D704,[1]SO003!AH:AH)</f>
        <v>0</v>
      </c>
      <c r="AI704" s="21">
        <f>SUMIF([1]SO003!$H:$H,'SA007 2025.01-2026.05 '!$D704,[1]SO003!AJ:AJ)</f>
        <v>0</v>
      </c>
    </row>
    <row r="705" spans="1:35" x14ac:dyDescent="0.55000000000000004">
      <c r="A705" s="2" t="s">
        <v>489</v>
      </c>
      <c r="D705" s="22" t="s">
        <v>1234</v>
      </c>
      <c r="E705" s="2" t="s">
        <v>116</v>
      </c>
      <c r="F705" s="2" t="s">
        <v>116</v>
      </c>
      <c r="G705" s="3" t="s">
        <v>47</v>
      </c>
      <c r="H705" s="2" t="s">
        <v>321</v>
      </c>
      <c r="I705" s="17">
        <v>2.2999999999999998</v>
      </c>
      <c r="J705" s="3">
        <v>85</v>
      </c>
      <c r="K705" s="3">
        <v>1219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8">
        <v>0</v>
      </c>
      <c r="R705" s="18">
        <v>0</v>
      </c>
      <c r="S705" s="18">
        <v>0</v>
      </c>
      <c r="T705" s="18">
        <v>0</v>
      </c>
      <c r="U705" s="18">
        <v>0</v>
      </c>
      <c r="V705" s="18">
        <v>0</v>
      </c>
      <c r="W705" s="18">
        <v>0</v>
      </c>
      <c r="X705" s="18">
        <v>0</v>
      </c>
      <c r="Y705" s="18">
        <v>0</v>
      </c>
      <c r="Z705" s="18">
        <v>0</v>
      </c>
      <c r="AA705" s="18">
        <f>SUMIF([1]SA007!$C:$C,'SA007 2025.01-2026.05 '!$D705,[1]SA007!P:P)</f>
        <v>0</v>
      </c>
      <c r="AB705" s="18">
        <f>SUMIF([1]SA007!$C:$C,'SA007 2025.01-2026.05 '!$D705,[1]SA007!Q:Q)</f>
        <v>0</v>
      </c>
      <c r="AC705" s="19">
        <f t="shared" si="23"/>
        <v>0</v>
      </c>
      <c r="AD705" s="19">
        <f t="shared" si="24"/>
        <v>0</v>
      </c>
      <c r="AG705" s="21">
        <f>SUMIF([1]SO003!$H:$H,'SA007 2025.01-2026.05 '!$D705,[1]SO003!AF:AF)</f>
        <v>0</v>
      </c>
      <c r="AH705" s="21">
        <f>SUMIF([1]SO003!$H:$H,'SA007 2025.01-2026.05 '!$D705,[1]SO003!AH:AH)</f>
        <v>0</v>
      </c>
      <c r="AI705" s="21">
        <f>SUMIF([1]SO003!$H:$H,'SA007 2025.01-2026.05 '!$D705,[1]SO003!AJ:AJ)</f>
        <v>0</v>
      </c>
    </row>
    <row r="706" spans="1:35" x14ac:dyDescent="0.55000000000000004">
      <c r="A706" s="2" t="s">
        <v>99</v>
      </c>
      <c r="D706" s="22" t="s">
        <v>1235</v>
      </c>
      <c r="E706" s="2" t="s">
        <v>116</v>
      </c>
      <c r="F706" s="2" t="s">
        <v>116</v>
      </c>
      <c r="G706" s="3" t="s">
        <v>63</v>
      </c>
      <c r="H706" s="2" t="s">
        <v>61</v>
      </c>
      <c r="I706" s="17">
        <v>0.5</v>
      </c>
      <c r="J706" s="3">
        <v>14</v>
      </c>
      <c r="K706" s="3">
        <v>438</v>
      </c>
      <c r="L706" s="18">
        <v>0</v>
      </c>
      <c r="M706" s="18">
        <v>0</v>
      </c>
      <c r="N706" s="18">
        <v>0</v>
      </c>
      <c r="O706" s="18">
        <v>0</v>
      </c>
      <c r="P706" s="18">
        <v>0</v>
      </c>
      <c r="Q706" s="18">
        <v>0</v>
      </c>
      <c r="R706" s="18">
        <v>0</v>
      </c>
      <c r="S706" s="18">
        <v>0</v>
      </c>
      <c r="T706" s="18">
        <v>0</v>
      </c>
      <c r="U706" s="18">
        <v>0</v>
      </c>
      <c r="V706" s="18">
        <v>0</v>
      </c>
      <c r="W706" s="18">
        <v>0</v>
      </c>
      <c r="X706" s="18">
        <v>0</v>
      </c>
      <c r="Y706" s="18">
        <v>0</v>
      </c>
      <c r="Z706" s="18">
        <v>0</v>
      </c>
      <c r="AA706" s="18">
        <f>SUMIF([1]SA007!$C:$C,'SA007 2025.01-2026.05 '!$D706,[1]SA007!P:P)</f>
        <v>0</v>
      </c>
      <c r="AB706" s="18">
        <f>SUMIF([1]SA007!$C:$C,'SA007 2025.01-2026.05 '!$D706,[1]SA007!Q:Q)</f>
        <v>0</v>
      </c>
      <c r="AC706" s="19">
        <f t="shared" si="23"/>
        <v>0</v>
      </c>
      <c r="AD706" s="19">
        <f t="shared" si="24"/>
        <v>0</v>
      </c>
      <c r="AG706" s="21">
        <f>SUMIF([1]SO003!$H:$H,'SA007 2025.01-2026.05 '!$D706,[1]SO003!AF:AF)</f>
        <v>0</v>
      </c>
      <c r="AH706" s="21">
        <f>SUMIF([1]SO003!$H:$H,'SA007 2025.01-2026.05 '!$D706,[1]SO003!AH:AH)</f>
        <v>0</v>
      </c>
      <c r="AI706" s="21">
        <f>SUMIF([1]SO003!$H:$H,'SA007 2025.01-2026.05 '!$D706,[1]SO003!AJ:AJ)</f>
        <v>0</v>
      </c>
    </row>
    <row r="707" spans="1:35" x14ac:dyDescent="0.55000000000000004">
      <c r="A707" s="2" t="s">
        <v>212</v>
      </c>
      <c r="B707" s="2" t="s">
        <v>213</v>
      </c>
      <c r="C707" s="2" t="s">
        <v>213</v>
      </c>
      <c r="D707" s="2" t="s">
        <v>1236</v>
      </c>
      <c r="E707" s="2" t="s">
        <v>363</v>
      </c>
      <c r="G707" s="3" t="s">
        <v>47</v>
      </c>
      <c r="H707" s="2" t="s">
        <v>213</v>
      </c>
      <c r="I707" s="17">
        <v>1.6</v>
      </c>
      <c r="J707" s="3">
        <v>74</v>
      </c>
      <c r="K707" s="3">
        <v>1220</v>
      </c>
      <c r="L707" s="18">
        <v>0</v>
      </c>
      <c r="M707" s="18">
        <v>0</v>
      </c>
      <c r="N707" s="18">
        <v>0</v>
      </c>
      <c r="O707" s="18">
        <v>0</v>
      </c>
      <c r="P707" s="18">
        <v>114</v>
      </c>
      <c r="Q707" s="18">
        <v>117</v>
      </c>
      <c r="R707" s="18">
        <v>57</v>
      </c>
      <c r="S707" s="18">
        <v>0</v>
      </c>
      <c r="T707" s="18">
        <v>0</v>
      </c>
      <c r="U707" s="18">
        <v>0</v>
      </c>
      <c r="V707" s="18">
        <v>0</v>
      </c>
      <c r="W707" s="18">
        <v>113</v>
      </c>
      <c r="X707" s="18">
        <v>0</v>
      </c>
      <c r="Y707" s="18">
        <v>112</v>
      </c>
      <c r="Z707" s="18">
        <v>0</v>
      </c>
      <c r="AA707" s="18">
        <f>SUMIF([1]SA007!$C:$C,'SA007 2025.01-2026.05 '!$D707,[1]SA007!P:P)</f>
        <v>0</v>
      </c>
      <c r="AB707" s="18">
        <f>SUMIF([1]SA007!$C:$C,'SA007 2025.01-2026.05 '!$D707,[1]SA007!Q:Q)</f>
        <v>0</v>
      </c>
      <c r="AC707" s="19">
        <f t="shared" si="23"/>
        <v>513</v>
      </c>
      <c r="AD707" s="19">
        <f t="shared" si="24"/>
        <v>30.176470588235293</v>
      </c>
      <c r="AE707" s="20" t="s">
        <v>48</v>
      </c>
      <c r="AG707" s="21">
        <f>SUMIF([1]SO003!$H:$H,'SA007 2025.01-2026.05 '!$D707,[1]SO003!AF:AF)</f>
        <v>0</v>
      </c>
      <c r="AH707" s="21">
        <f>SUMIF([1]SO003!$H:$H,'SA007 2025.01-2026.05 '!$D707,[1]SO003!AH:AH)</f>
        <v>0</v>
      </c>
      <c r="AI707" s="21">
        <f>SUMIF([1]SO003!$H:$H,'SA007 2025.01-2026.05 '!$D707,[1]SO003!AJ:AJ)</f>
        <v>0</v>
      </c>
    </row>
    <row r="708" spans="1:35" x14ac:dyDescent="0.55000000000000004">
      <c r="A708" s="2" t="s">
        <v>1228</v>
      </c>
      <c r="D708" s="22" t="s">
        <v>1237</v>
      </c>
      <c r="E708" s="2" t="s">
        <v>116</v>
      </c>
      <c r="F708" s="2" t="s">
        <v>116</v>
      </c>
      <c r="G708" s="3" t="s">
        <v>47</v>
      </c>
      <c r="H708" s="2" t="s">
        <v>751</v>
      </c>
      <c r="I708" s="17">
        <v>2.2999999999999998</v>
      </c>
      <c r="J708" s="3">
        <v>1219</v>
      </c>
      <c r="K708" s="3">
        <v>2438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8">
        <v>0</v>
      </c>
      <c r="Z708" s="18">
        <v>0</v>
      </c>
      <c r="AA708" s="18">
        <f>SUMIF([1]SA007!$C:$C,'SA007 2025.01-2026.05 '!$D708,[1]SA007!P:P)</f>
        <v>0</v>
      </c>
      <c r="AB708" s="18">
        <f>SUMIF([1]SA007!$C:$C,'SA007 2025.01-2026.05 '!$D708,[1]SA007!Q:Q)</f>
        <v>0</v>
      </c>
      <c r="AC708" s="19">
        <f t="shared" si="23"/>
        <v>0</v>
      </c>
      <c r="AD708" s="19">
        <f t="shared" si="24"/>
        <v>0</v>
      </c>
      <c r="AG708" s="21">
        <f>SUMIF([1]SO003!$H:$H,'SA007 2025.01-2026.05 '!$D708,[1]SO003!AF:AF)</f>
        <v>0</v>
      </c>
      <c r="AH708" s="21">
        <f>SUMIF([1]SO003!$H:$H,'SA007 2025.01-2026.05 '!$D708,[1]SO003!AH:AH)</f>
        <v>0</v>
      </c>
      <c r="AI708" s="21">
        <f>SUMIF([1]SO003!$H:$H,'SA007 2025.01-2026.05 '!$D708,[1]SO003!AJ:AJ)</f>
        <v>0</v>
      </c>
    </row>
    <row r="709" spans="1:35" x14ac:dyDescent="0.55000000000000004">
      <c r="A709" s="2" t="s">
        <v>76</v>
      </c>
      <c r="D709" s="22" t="s">
        <v>1238</v>
      </c>
      <c r="E709" s="2" t="s">
        <v>116</v>
      </c>
      <c r="F709" s="2" t="s">
        <v>116</v>
      </c>
      <c r="G709" s="3" t="s">
        <v>39</v>
      </c>
      <c r="H709" s="2" t="s">
        <v>1239</v>
      </c>
      <c r="I709" s="17">
        <v>0.8</v>
      </c>
      <c r="J709" s="3">
        <v>301</v>
      </c>
      <c r="K709" s="3">
        <v>440</v>
      </c>
      <c r="L709" s="18">
        <v>0</v>
      </c>
      <c r="M709" s="18">
        <v>0</v>
      </c>
      <c r="N709" s="18">
        <v>0</v>
      </c>
      <c r="O709" s="18">
        <v>0</v>
      </c>
      <c r="P709" s="18">
        <v>0</v>
      </c>
      <c r="Q709" s="18">
        <v>0</v>
      </c>
      <c r="R709" s="18">
        <v>0</v>
      </c>
      <c r="S709" s="18">
        <v>0</v>
      </c>
      <c r="T709" s="18">
        <v>0</v>
      </c>
      <c r="U709" s="18">
        <v>0</v>
      </c>
      <c r="V709" s="18">
        <v>0</v>
      </c>
      <c r="W709" s="18">
        <v>0</v>
      </c>
      <c r="X709" s="18">
        <v>0</v>
      </c>
      <c r="Y709" s="18">
        <v>0</v>
      </c>
      <c r="Z709" s="18">
        <v>0</v>
      </c>
      <c r="AA709" s="18">
        <f>SUMIF([1]SA007!$C:$C,'SA007 2025.01-2026.05 '!$D709,[1]SA007!P:P)</f>
        <v>0</v>
      </c>
      <c r="AB709" s="18">
        <f>SUMIF([1]SA007!$C:$C,'SA007 2025.01-2026.05 '!$D709,[1]SA007!Q:Q)</f>
        <v>0</v>
      </c>
      <c r="AC709" s="19">
        <f t="shared" si="23"/>
        <v>0</v>
      </c>
      <c r="AD709" s="19">
        <f t="shared" si="24"/>
        <v>0</v>
      </c>
      <c r="AG709" s="21">
        <f>SUMIF([1]SO003!$H:$H,'SA007 2025.01-2026.05 '!$D709,[1]SO003!AF:AF)</f>
        <v>0</v>
      </c>
      <c r="AH709" s="21">
        <f>SUMIF([1]SO003!$H:$H,'SA007 2025.01-2026.05 '!$D709,[1]SO003!AH:AH)</f>
        <v>0</v>
      </c>
      <c r="AI709" s="21">
        <f>SUMIF([1]SO003!$H:$H,'SA007 2025.01-2026.05 '!$D709,[1]SO003!AJ:AJ)</f>
        <v>0</v>
      </c>
    </row>
    <row r="710" spans="1:35" x14ac:dyDescent="0.55000000000000004">
      <c r="A710" s="2" t="s">
        <v>76</v>
      </c>
      <c r="D710" s="22" t="s">
        <v>1240</v>
      </c>
      <c r="E710" s="2" t="s">
        <v>116</v>
      </c>
      <c r="F710" s="2" t="s">
        <v>116</v>
      </c>
      <c r="G710" s="3" t="s">
        <v>39</v>
      </c>
      <c r="H710" s="2" t="s">
        <v>1241</v>
      </c>
      <c r="I710" s="17">
        <v>0.8</v>
      </c>
      <c r="J710" s="3">
        <v>1219</v>
      </c>
      <c r="K710" s="3">
        <v>2438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8">
        <v>0</v>
      </c>
      <c r="Z710" s="18">
        <v>0</v>
      </c>
      <c r="AA710" s="18">
        <f>SUMIF([1]SA007!$C:$C,'SA007 2025.01-2026.05 '!$D710,[1]SA007!P:P)</f>
        <v>0</v>
      </c>
      <c r="AB710" s="18">
        <f>SUMIF([1]SA007!$C:$C,'SA007 2025.01-2026.05 '!$D710,[1]SA007!Q:Q)</f>
        <v>0</v>
      </c>
      <c r="AC710" s="19">
        <f t="shared" ref="AC710:AC773" si="25">SUM(L710:AB710)</f>
        <v>0</v>
      </c>
      <c r="AD710" s="19">
        <f t="shared" ref="AD710:AD773" si="26">AVERAGE(L710:AB710)</f>
        <v>0</v>
      </c>
      <c r="AG710" s="21">
        <f>SUMIF([1]SO003!$H:$H,'SA007 2025.01-2026.05 '!$D710,[1]SO003!AF:AF)</f>
        <v>0</v>
      </c>
      <c r="AH710" s="21">
        <f>SUMIF([1]SO003!$H:$H,'SA007 2025.01-2026.05 '!$D710,[1]SO003!AH:AH)</f>
        <v>0</v>
      </c>
      <c r="AI710" s="21">
        <f>SUMIF([1]SO003!$H:$H,'SA007 2025.01-2026.05 '!$D710,[1]SO003!AJ:AJ)</f>
        <v>0</v>
      </c>
    </row>
    <row r="711" spans="1:35" x14ac:dyDescent="0.55000000000000004">
      <c r="A711" s="2" t="s">
        <v>99</v>
      </c>
      <c r="D711" s="22" t="s">
        <v>1242</v>
      </c>
      <c r="E711" s="2" t="s">
        <v>116</v>
      </c>
      <c r="F711" s="2" t="s">
        <v>116</v>
      </c>
      <c r="G711" s="3" t="s">
        <v>63</v>
      </c>
      <c r="H711" s="2" t="s">
        <v>61</v>
      </c>
      <c r="I711" s="17">
        <v>0.5</v>
      </c>
      <c r="J711" s="3">
        <v>29</v>
      </c>
      <c r="K711" s="3">
        <v>422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0</v>
      </c>
      <c r="R711" s="18">
        <v>0</v>
      </c>
      <c r="S711" s="18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8">
        <v>0</v>
      </c>
      <c r="Z711" s="18">
        <v>0</v>
      </c>
      <c r="AA711" s="18">
        <f>SUMIF([1]SA007!$C:$C,'SA007 2025.01-2026.05 '!$D711,[1]SA007!P:P)</f>
        <v>0</v>
      </c>
      <c r="AB711" s="18">
        <f>SUMIF([1]SA007!$C:$C,'SA007 2025.01-2026.05 '!$D711,[1]SA007!Q:Q)</f>
        <v>0</v>
      </c>
      <c r="AC711" s="19">
        <f t="shared" si="25"/>
        <v>0</v>
      </c>
      <c r="AD711" s="19">
        <f t="shared" si="26"/>
        <v>0</v>
      </c>
      <c r="AG711" s="21">
        <f>SUMIF([1]SO003!$H:$H,'SA007 2025.01-2026.05 '!$D711,[1]SO003!AF:AF)</f>
        <v>0</v>
      </c>
      <c r="AH711" s="21">
        <f>SUMIF([1]SO003!$H:$H,'SA007 2025.01-2026.05 '!$D711,[1]SO003!AH:AH)</f>
        <v>0</v>
      </c>
      <c r="AI711" s="21">
        <f>SUMIF([1]SO003!$H:$H,'SA007 2025.01-2026.05 '!$D711,[1]SO003!AJ:AJ)</f>
        <v>0</v>
      </c>
    </row>
    <row r="712" spans="1:35" x14ac:dyDescent="0.55000000000000004">
      <c r="A712" s="2" t="s">
        <v>126</v>
      </c>
      <c r="D712" s="22" t="s">
        <v>1243</v>
      </c>
      <c r="E712" s="2" t="s">
        <v>116</v>
      </c>
      <c r="F712" s="2" t="s">
        <v>116</v>
      </c>
      <c r="G712" s="3" t="s">
        <v>63</v>
      </c>
      <c r="H712" s="2" t="s">
        <v>61</v>
      </c>
      <c r="I712" s="17">
        <v>0.6</v>
      </c>
      <c r="J712" s="3">
        <v>1219</v>
      </c>
      <c r="K712" s="3">
        <v>2438</v>
      </c>
      <c r="L712" s="18">
        <v>0</v>
      </c>
      <c r="M712" s="18">
        <v>0</v>
      </c>
      <c r="N712" s="18">
        <v>0</v>
      </c>
      <c r="O712" s="18">
        <v>0</v>
      </c>
      <c r="P712" s="18">
        <v>0</v>
      </c>
      <c r="Q712" s="18">
        <v>0</v>
      </c>
      <c r="R712" s="18">
        <v>0</v>
      </c>
      <c r="S712" s="18">
        <v>0</v>
      </c>
      <c r="T712" s="18">
        <v>0</v>
      </c>
      <c r="U712" s="18">
        <v>0</v>
      </c>
      <c r="V712" s="18">
        <v>0</v>
      </c>
      <c r="W712" s="18">
        <v>0</v>
      </c>
      <c r="X712" s="18">
        <v>0</v>
      </c>
      <c r="Y712" s="18">
        <v>0</v>
      </c>
      <c r="Z712" s="18">
        <v>0</v>
      </c>
      <c r="AA712" s="18">
        <f>SUMIF([1]SA007!$C:$C,'SA007 2025.01-2026.05 '!$D712,[1]SA007!P:P)</f>
        <v>0</v>
      </c>
      <c r="AB712" s="18">
        <f>SUMIF([1]SA007!$C:$C,'SA007 2025.01-2026.05 '!$D712,[1]SA007!Q:Q)</f>
        <v>0</v>
      </c>
      <c r="AC712" s="19">
        <f t="shared" si="25"/>
        <v>0</v>
      </c>
      <c r="AD712" s="19">
        <f t="shared" si="26"/>
        <v>0</v>
      </c>
      <c r="AG712" s="21">
        <f>SUMIF([1]SO003!$H:$H,'SA007 2025.01-2026.05 '!$D712,[1]SO003!AF:AF)</f>
        <v>0</v>
      </c>
      <c r="AH712" s="21">
        <f>SUMIF([1]SO003!$H:$H,'SA007 2025.01-2026.05 '!$D712,[1]SO003!AH:AH)</f>
        <v>0</v>
      </c>
      <c r="AI712" s="21">
        <f>SUMIF([1]SO003!$H:$H,'SA007 2025.01-2026.05 '!$D712,[1]SO003!AJ:AJ)</f>
        <v>0</v>
      </c>
    </row>
    <row r="713" spans="1:35" x14ac:dyDescent="0.55000000000000004">
      <c r="A713" s="2" t="s">
        <v>356</v>
      </c>
      <c r="D713" s="22" t="s">
        <v>1244</v>
      </c>
      <c r="E713" s="2" t="s">
        <v>116</v>
      </c>
      <c r="F713" s="2" t="s">
        <v>116</v>
      </c>
      <c r="G713" s="3" t="s">
        <v>63</v>
      </c>
      <c r="H713" s="2" t="s">
        <v>61</v>
      </c>
      <c r="I713" s="17">
        <v>2</v>
      </c>
      <c r="J713" s="3">
        <v>1219</v>
      </c>
      <c r="K713" s="3">
        <v>2438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8">
        <v>0</v>
      </c>
      <c r="Z713" s="18">
        <v>0</v>
      </c>
      <c r="AA713" s="18">
        <f>SUMIF([1]SA007!$C:$C,'SA007 2025.01-2026.05 '!$D713,[1]SA007!P:P)</f>
        <v>0</v>
      </c>
      <c r="AB713" s="18">
        <f>SUMIF([1]SA007!$C:$C,'SA007 2025.01-2026.05 '!$D713,[1]SA007!Q:Q)</f>
        <v>0</v>
      </c>
      <c r="AC713" s="19">
        <f t="shared" si="25"/>
        <v>0</v>
      </c>
      <c r="AD713" s="19">
        <f t="shared" si="26"/>
        <v>0</v>
      </c>
      <c r="AG713" s="21">
        <f>SUMIF([1]SO003!$H:$H,'SA007 2025.01-2026.05 '!$D713,[1]SO003!AF:AF)</f>
        <v>0</v>
      </c>
      <c r="AH713" s="21">
        <f>SUMIF([1]SO003!$H:$H,'SA007 2025.01-2026.05 '!$D713,[1]SO003!AH:AH)</f>
        <v>0</v>
      </c>
      <c r="AI713" s="21">
        <f>SUMIF([1]SO003!$H:$H,'SA007 2025.01-2026.05 '!$D713,[1]SO003!AJ:AJ)</f>
        <v>0</v>
      </c>
    </row>
    <row r="714" spans="1:35" x14ac:dyDescent="0.55000000000000004">
      <c r="A714" s="2" t="s">
        <v>419</v>
      </c>
      <c r="D714" s="22" t="s">
        <v>1245</v>
      </c>
      <c r="E714" s="2" t="s">
        <v>116</v>
      </c>
      <c r="F714" s="2" t="s">
        <v>116</v>
      </c>
      <c r="G714" s="3" t="s">
        <v>63</v>
      </c>
      <c r="H714" s="2" t="s">
        <v>61</v>
      </c>
      <c r="I714" s="17">
        <v>2.2999999999999998</v>
      </c>
      <c r="J714" s="3">
        <v>1219</v>
      </c>
      <c r="K714" s="3">
        <v>2438</v>
      </c>
      <c r="L714" s="18">
        <v>0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</v>
      </c>
      <c r="W714" s="18">
        <v>0</v>
      </c>
      <c r="X714" s="18">
        <v>0</v>
      </c>
      <c r="Y714" s="18">
        <v>0</v>
      </c>
      <c r="Z714" s="18">
        <v>0</v>
      </c>
      <c r="AA714" s="18">
        <f>SUMIF([1]SA007!$C:$C,'SA007 2025.01-2026.05 '!$D714,[1]SA007!P:P)</f>
        <v>0</v>
      </c>
      <c r="AB714" s="18">
        <f>SUMIF([1]SA007!$C:$C,'SA007 2025.01-2026.05 '!$D714,[1]SA007!Q:Q)</f>
        <v>0</v>
      </c>
      <c r="AC714" s="19">
        <f t="shared" si="25"/>
        <v>0</v>
      </c>
      <c r="AD714" s="19">
        <f t="shared" si="26"/>
        <v>0</v>
      </c>
      <c r="AG714" s="21">
        <f>SUMIF([1]SO003!$H:$H,'SA007 2025.01-2026.05 '!$D714,[1]SO003!AF:AF)</f>
        <v>0</v>
      </c>
      <c r="AH714" s="21">
        <f>SUMIF([1]SO003!$H:$H,'SA007 2025.01-2026.05 '!$D714,[1]SO003!AH:AH)</f>
        <v>0</v>
      </c>
      <c r="AI714" s="21">
        <f>SUMIF([1]SO003!$H:$H,'SA007 2025.01-2026.05 '!$D714,[1]SO003!AJ:AJ)</f>
        <v>0</v>
      </c>
    </row>
    <row r="715" spans="1:35" x14ac:dyDescent="0.55000000000000004">
      <c r="A715" s="2" t="s">
        <v>1246</v>
      </c>
      <c r="D715" s="22" t="s">
        <v>1247</v>
      </c>
      <c r="E715" s="2" t="s">
        <v>116</v>
      </c>
      <c r="F715" s="2" t="s">
        <v>116</v>
      </c>
      <c r="G715" s="3" t="s">
        <v>63</v>
      </c>
      <c r="H715" s="2" t="s">
        <v>61</v>
      </c>
      <c r="I715" s="17">
        <v>2.6</v>
      </c>
      <c r="J715" s="3">
        <v>1219</v>
      </c>
      <c r="K715" s="3">
        <v>2438</v>
      </c>
      <c r="L715" s="18">
        <v>0</v>
      </c>
      <c r="M715" s="18">
        <v>0</v>
      </c>
      <c r="N715" s="18">
        <v>0</v>
      </c>
      <c r="O715" s="18">
        <v>0</v>
      </c>
      <c r="P715" s="18">
        <v>0</v>
      </c>
      <c r="Q715" s="18">
        <v>0</v>
      </c>
      <c r="R715" s="18">
        <v>0</v>
      </c>
      <c r="S715" s="18">
        <v>0</v>
      </c>
      <c r="T715" s="18">
        <v>0</v>
      </c>
      <c r="U715" s="18">
        <v>0</v>
      </c>
      <c r="V715" s="18">
        <v>0</v>
      </c>
      <c r="W715" s="18">
        <v>0</v>
      </c>
      <c r="X715" s="18">
        <v>0</v>
      </c>
      <c r="Y715" s="18">
        <v>0</v>
      </c>
      <c r="Z715" s="18">
        <v>0</v>
      </c>
      <c r="AA715" s="18">
        <f>SUMIF([1]SA007!$C:$C,'SA007 2025.01-2026.05 '!$D715,[1]SA007!P:P)</f>
        <v>0</v>
      </c>
      <c r="AB715" s="18">
        <f>SUMIF([1]SA007!$C:$C,'SA007 2025.01-2026.05 '!$D715,[1]SA007!Q:Q)</f>
        <v>0</v>
      </c>
      <c r="AC715" s="19">
        <f t="shared" si="25"/>
        <v>0</v>
      </c>
      <c r="AD715" s="19">
        <f t="shared" si="26"/>
        <v>0</v>
      </c>
      <c r="AG715" s="21">
        <f>SUMIF([1]SO003!$H:$H,'SA007 2025.01-2026.05 '!$D715,[1]SO003!AF:AF)</f>
        <v>0</v>
      </c>
      <c r="AH715" s="21">
        <f>SUMIF([1]SO003!$H:$H,'SA007 2025.01-2026.05 '!$D715,[1]SO003!AH:AH)</f>
        <v>0</v>
      </c>
      <c r="AI715" s="21">
        <f>SUMIF([1]SO003!$H:$H,'SA007 2025.01-2026.05 '!$D715,[1]SO003!AJ:AJ)</f>
        <v>0</v>
      </c>
    </row>
    <row r="716" spans="1:35" x14ac:dyDescent="0.55000000000000004">
      <c r="A716" s="2" t="s">
        <v>1248</v>
      </c>
      <c r="D716" s="22" t="s">
        <v>1249</v>
      </c>
      <c r="E716" s="2" t="s">
        <v>116</v>
      </c>
      <c r="F716" s="2" t="s">
        <v>116</v>
      </c>
      <c r="G716" s="3" t="s">
        <v>63</v>
      </c>
      <c r="H716" s="2" t="s">
        <v>61</v>
      </c>
      <c r="I716" s="17">
        <v>3.2</v>
      </c>
      <c r="J716" s="3">
        <v>1219</v>
      </c>
      <c r="K716" s="3">
        <v>2438</v>
      </c>
      <c r="L716" s="18">
        <v>0</v>
      </c>
      <c r="M716" s="18">
        <v>0</v>
      </c>
      <c r="N716" s="18">
        <v>0</v>
      </c>
      <c r="O716" s="18">
        <v>0</v>
      </c>
      <c r="P716" s="18">
        <v>0</v>
      </c>
      <c r="Q716" s="18">
        <v>0</v>
      </c>
      <c r="R716" s="18">
        <v>0</v>
      </c>
      <c r="S716" s="18">
        <v>0</v>
      </c>
      <c r="T716" s="18">
        <v>0</v>
      </c>
      <c r="U716" s="18">
        <v>0</v>
      </c>
      <c r="V716" s="18">
        <v>0</v>
      </c>
      <c r="W716" s="18">
        <v>0</v>
      </c>
      <c r="X716" s="18">
        <v>0</v>
      </c>
      <c r="Y716" s="18">
        <v>0</v>
      </c>
      <c r="Z716" s="18">
        <v>0</v>
      </c>
      <c r="AA716" s="18">
        <f>SUMIF([1]SA007!$C:$C,'SA007 2025.01-2026.05 '!$D716,[1]SA007!P:P)</f>
        <v>0</v>
      </c>
      <c r="AB716" s="18">
        <f>SUMIF([1]SA007!$C:$C,'SA007 2025.01-2026.05 '!$D716,[1]SA007!Q:Q)</f>
        <v>0</v>
      </c>
      <c r="AC716" s="19">
        <f t="shared" si="25"/>
        <v>0</v>
      </c>
      <c r="AD716" s="19">
        <f t="shared" si="26"/>
        <v>0</v>
      </c>
      <c r="AG716" s="21">
        <f>SUMIF([1]SO003!$H:$H,'SA007 2025.01-2026.05 '!$D716,[1]SO003!AF:AF)</f>
        <v>0</v>
      </c>
      <c r="AH716" s="21">
        <f>SUMIF([1]SO003!$H:$H,'SA007 2025.01-2026.05 '!$D716,[1]SO003!AH:AH)</f>
        <v>0</v>
      </c>
      <c r="AI716" s="21">
        <f>SUMIF([1]SO003!$H:$H,'SA007 2025.01-2026.05 '!$D716,[1]SO003!AJ:AJ)</f>
        <v>0</v>
      </c>
    </row>
    <row r="717" spans="1:35" x14ac:dyDescent="0.55000000000000004">
      <c r="A717" s="2" t="s">
        <v>212</v>
      </c>
      <c r="B717" s="2" t="s">
        <v>213</v>
      </c>
      <c r="D717" s="2" t="s">
        <v>1250</v>
      </c>
      <c r="E717" s="2" t="s">
        <v>363</v>
      </c>
      <c r="G717" s="3" t="s">
        <v>47</v>
      </c>
      <c r="H717" s="2" t="s">
        <v>213</v>
      </c>
      <c r="I717" s="17">
        <v>1.6</v>
      </c>
      <c r="J717" s="3">
        <v>70</v>
      </c>
      <c r="K717" s="3">
        <v>1220</v>
      </c>
      <c r="L717" s="18">
        <v>0</v>
      </c>
      <c r="M717" s="18">
        <v>0</v>
      </c>
      <c r="N717" s="18">
        <v>0</v>
      </c>
      <c r="O717" s="18">
        <v>0</v>
      </c>
      <c r="P717" s="18">
        <v>0</v>
      </c>
      <c r="Q717" s="18">
        <v>0</v>
      </c>
      <c r="R717" s="18">
        <v>0</v>
      </c>
      <c r="S717" s="18">
        <v>0</v>
      </c>
      <c r="T717" s="18">
        <v>0</v>
      </c>
      <c r="U717" s="18">
        <v>0</v>
      </c>
      <c r="V717" s="18">
        <v>0</v>
      </c>
      <c r="W717" s="18">
        <v>0</v>
      </c>
      <c r="X717" s="18">
        <v>0</v>
      </c>
      <c r="Y717" s="18">
        <v>0</v>
      </c>
      <c r="Z717" s="18">
        <v>0</v>
      </c>
      <c r="AA717" s="18">
        <f>SUMIF([1]SA007!$C:$C,'SA007 2025.01-2026.05 '!$D717,[1]SA007!P:P)</f>
        <v>0</v>
      </c>
      <c r="AB717" s="18">
        <f>SUMIF([1]SA007!$C:$C,'SA007 2025.01-2026.05 '!$D717,[1]SA007!Q:Q)</f>
        <v>0</v>
      </c>
      <c r="AC717" s="19">
        <f t="shared" si="25"/>
        <v>0</v>
      </c>
      <c r="AD717" s="19">
        <f t="shared" si="26"/>
        <v>0</v>
      </c>
      <c r="AE717" s="20" t="s">
        <v>116</v>
      </c>
      <c r="AG717" s="21">
        <f>SUMIF([1]SO003!$H:$H,'SA007 2025.01-2026.05 '!$D717,[1]SO003!AF:AF)</f>
        <v>0</v>
      </c>
      <c r="AH717" s="21">
        <f>SUMIF([1]SO003!$H:$H,'SA007 2025.01-2026.05 '!$D717,[1]SO003!AH:AH)</f>
        <v>0</v>
      </c>
      <c r="AI717" s="21">
        <f>SUMIF([1]SO003!$H:$H,'SA007 2025.01-2026.05 '!$D717,[1]SO003!AJ:AJ)</f>
        <v>0</v>
      </c>
    </row>
    <row r="718" spans="1:35" x14ac:dyDescent="0.55000000000000004">
      <c r="A718" s="2" t="s">
        <v>1251</v>
      </c>
      <c r="D718" s="22" t="s">
        <v>1252</v>
      </c>
      <c r="E718" s="2" t="s">
        <v>116</v>
      </c>
      <c r="F718" s="2" t="s">
        <v>116</v>
      </c>
      <c r="G718" s="3" t="s">
        <v>63</v>
      </c>
      <c r="H718" s="2" t="s">
        <v>199</v>
      </c>
      <c r="I718" s="17">
        <v>0.7</v>
      </c>
      <c r="J718" s="3">
        <v>1219</v>
      </c>
      <c r="K718" s="3">
        <v>2438</v>
      </c>
      <c r="L718" s="18">
        <v>0</v>
      </c>
      <c r="M718" s="18">
        <v>0</v>
      </c>
      <c r="N718" s="18">
        <v>0</v>
      </c>
      <c r="O718" s="18">
        <v>0</v>
      </c>
      <c r="P718" s="18">
        <v>0</v>
      </c>
      <c r="Q718" s="18">
        <v>0</v>
      </c>
      <c r="R718" s="18">
        <v>0</v>
      </c>
      <c r="S718" s="18">
        <v>0</v>
      </c>
      <c r="T718" s="18">
        <v>0</v>
      </c>
      <c r="U718" s="18">
        <v>0</v>
      </c>
      <c r="V718" s="18">
        <v>0</v>
      </c>
      <c r="W718" s="18">
        <v>0</v>
      </c>
      <c r="X718" s="18">
        <v>0</v>
      </c>
      <c r="Y718" s="18">
        <v>0</v>
      </c>
      <c r="Z718" s="18">
        <v>0</v>
      </c>
      <c r="AA718" s="18">
        <f>SUMIF([1]SA007!$C:$C,'SA007 2025.01-2026.05 '!$D718,[1]SA007!P:P)</f>
        <v>0</v>
      </c>
      <c r="AB718" s="18">
        <f>SUMIF([1]SA007!$C:$C,'SA007 2025.01-2026.05 '!$D718,[1]SA007!Q:Q)</f>
        <v>0</v>
      </c>
      <c r="AC718" s="19">
        <f t="shared" si="25"/>
        <v>0</v>
      </c>
      <c r="AD718" s="19">
        <f t="shared" si="26"/>
        <v>0</v>
      </c>
      <c r="AG718" s="21">
        <f>SUMIF([1]SO003!$H:$H,'SA007 2025.01-2026.05 '!$D718,[1]SO003!AF:AF)</f>
        <v>0</v>
      </c>
      <c r="AH718" s="21">
        <f>SUMIF([1]SO003!$H:$H,'SA007 2025.01-2026.05 '!$D718,[1]SO003!AH:AH)</f>
        <v>0</v>
      </c>
      <c r="AI718" s="21">
        <f>SUMIF([1]SO003!$H:$H,'SA007 2025.01-2026.05 '!$D718,[1]SO003!AJ:AJ)</f>
        <v>0</v>
      </c>
    </row>
    <row r="719" spans="1:35" x14ac:dyDescent="0.55000000000000004">
      <c r="A719" s="2" t="s">
        <v>1253</v>
      </c>
      <c r="D719" s="22" t="s">
        <v>1254</v>
      </c>
      <c r="E719" s="2" t="s">
        <v>116</v>
      </c>
      <c r="F719" s="2" t="s">
        <v>116</v>
      </c>
      <c r="G719" s="3" t="s">
        <v>63</v>
      </c>
      <c r="H719" s="2" t="s">
        <v>199</v>
      </c>
      <c r="I719" s="17">
        <v>2</v>
      </c>
      <c r="J719" s="3">
        <v>1219</v>
      </c>
      <c r="K719" s="3">
        <v>2438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0</v>
      </c>
      <c r="R719" s="18">
        <v>0</v>
      </c>
      <c r="S719" s="18">
        <v>0</v>
      </c>
      <c r="T719" s="18">
        <v>0</v>
      </c>
      <c r="U719" s="18">
        <v>0</v>
      </c>
      <c r="V719" s="18">
        <v>0</v>
      </c>
      <c r="W719" s="18">
        <v>0</v>
      </c>
      <c r="X719" s="18">
        <v>0</v>
      </c>
      <c r="Y719" s="18">
        <v>0</v>
      </c>
      <c r="Z719" s="18">
        <v>0</v>
      </c>
      <c r="AA719" s="18">
        <f>SUMIF([1]SA007!$C:$C,'SA007 2025.01-2026.05 '!$D719,[1]SA007!P:P)</f>
        <v>0</v>
      </c>
      <c r="AB719" s="18">
        <f>SUMIF([1]SA007!$C:$C,'SA007 2025.01-2026.05 '!$D719,[1]SA007!Q:Q)</f>
        <v>0</v>
      </c>
      <c r="AC719" s="19">
        <f t="shared" si="25"/>
        <v>0</v>
      </c>
      <c r="AD719" s="19">
        <f t="shared" si="26"/>
        <v>0</v>
      </c>
      <c r="AG719" s="21">
        <f>SUMIF([1]SO003!$H:$H,'SA007 2025.01-2026.05 '!$D719,[1]SO003!AF:AF)</f>
        <v>0</v>
      </c>
      <c r="AH719" s="21">
        <f>SUMIF([1]SO003!$H:$H,'SA007 2025.01-2026.05 '!$D719,[1]SO003!AH:AH)</f>
        <v>0</v>
      </c>
      <c r="AI719" s="21">
        <f>SUMIF([1]SO003!$H:$H,'SA007 2025.01-2026.05 '!$D719,[1]SO003!AJ:AJ)</f>
        <v>0</v>
      </c>
    </row>
    <row r="720" spans="1:35" x14ac:dyDescent="0.55000000000000004">
      <c r="A720" s="2" t="s">
        <v>1077</v>
      </c>
      <c r="D720" s="22" t="s">
        <v>1255</v>
      </c>
      <c r="E720" s="2" t="s">
        <v>116</v>
      </c>
      <c r="F720" s="2" t="s">
        <v>116</v>
      </c>
      <c r="G720" s="3" t="s">
        <v>47</v>
      </c>
      <c r="H720" s="2" t="s">
        <v>402</v>
      </c>
      <c r="I720" s="17">
        <v>3.6</v>
      </c>
      <c r="J720" s="3">
        <v>1219</v>
      </c>
      <c r="K720" s="3">
        <v>2438</v>
      </c>
      <c r="L720" s="18">
        <v>0</v>
      </c>
      <c r="M720" s="18">
        <v>0</v>
      </c>
      <c r="N720" s="18">
        <v>0</v>
      </c>
      <c r="O720" s="18">
        <v>0</v>
      </c>
      <c r="P720" s="18">
        <v>0</v>
      </c>
      <c r="Q720" s="18">
        <v>0</v>
      </c>
      <c r="R720" s="18">
        <v>0</v>
      </c>
      <c r="S720" s="18">
        <v>0</v>
      </c>
      <c r="T720" s="18">
        <v>0</v>
      </c>
      <c r="U720" s="18">
        <v>0</v>
      </c>
      <c r="V720" s="18">
        <v>0</v>
      </c>
      <c r="W720" s="18">
        <v>0</v>
      </c>
      <c r="X720" s="18">
        <v>0</v>
      </c>
      <c r="Y720" s="18">
        <v>0</v>
      </c>
      <c r="Z720" s="18">
        <v>0</v>
      </c>
      <c r="AA720" s="18">
        <f>SUMIF([1]SA007!$C:$C,'SA007 2025.01-2026.05 '!$D720,[1]SA007!P:P)</f>
        <v>0</v>
      </c>
      <c r="AB720" s="18">
        <f>SUMIF([1]SA007!$C:$C,'SA007 2025.01-2026.05 '!$D720,[1]SA007!Q:Q)</f>
        <v>0</v>
      </c>
      <c r="AC720" s="19">
        <f t="shared" si="25"/>
        <v>0</v>
      </c>
      <c r="AD720" s="19">
        <f t="shared" si="26"/>
        <v>0</v>
      </c>
      <c r="AG720" s="21">
        <f>SUMIF([1]SO003!$H:$H,'SA007 2025.01-2026.05 '!$D720,[1]SO003!AF:AF)</f>
        <v>0</v>
      </c>
      <c r="AH720" s="21">
        <f>SUMIF([1]SO003!$H:$H,'SA007 2025.01-2026.05 '!$D720,[1]SO003!AH:AH)</f>
        <v>0</v>
      </c>
      <c r="AI720" s="21">
        <f>SUMIF([1]SO003!$H:$H,'SA007 2025.01-2026.05 '!$D720,[1]SO003!AJ:AJ)</f>
        <v>0</v>
      </c>
    </row>
    <row r="721" spans="1:35" x14ac:dyDescent="0.55000000000000004">
      <c r="A721" s="2" t="s">
        <v>433</v>
      </c>
      <c r="D721" s="22">
        <v>77004546</v>
      </c>
      <c r="E721" s="2" t="s">
        <v>555</v>
      </c>
      <c r="F721" s="2" t="s">
        <v>556</v>
      </c>
      <c r="G721" s="3" t="s">
        <v>47</v>
      </c>
      <c r="H721" s="2" t="s">
        <v>213</v>
      </c>
      <c r="I721" s="17">
        <v>2.6</v>
      </c>
      <c r="J721" s="3">
        <v>96</v>
      </c>
      <c r="K721" s="3" t="s">
        <v>731</v>
      </c>
      <c r="L721" s="18">
        <v>255</v>
      </c>
      <c r="M721" s="18">
        <v>842</v>
      </c>
      <c r="N721" s="18">
        <v>764</v>
      </c>
      <c r="O721" s="18">
        <v>475</v>
      </c>
      <c r="P721" s="18">
        <v>425</v>
      </c>
      <c r="Q721" s="18">
        <v>356</v>
      </c>
      <c r="R721" s="18">
        <v>359</v>
      </c>
      <c r="S721" s="18">
        <v>598</v>
      </c>
      <c r="T721" s="18">
        <v>718</v>
      </c>
      <c r="U721" s="18">
        <v>495</v>
      </c>
      <c r="V721" s="18">
        <v>239</v>
      </c>
      <c r="W721" s="18">
        <v>466</v>
      </c>
      <c r="X721" s="18">
        <v>0</v>
      </c>
      <c r="Y721" s="18">
        <v>712</v>
      </c>
      <c r="Z721" s="18">
        <v>0</v>
      </c>
      <c r="AA721" s="18">
        <f>SUMIF([1]SA007!$C:$C,'SA007 2025.01-2026.05 '!$D721,[1]SA007!P:P)</f>
        <v>824</v>
      </c>
      <c r="AB721" s="18">
        <f>SUMIF([1]SA007!$C:$C,'SA007 2025.01-2026.05 '!$D721,[1]SA007!Q:Q)</f>
        <v>0</v>
      </c>
      <c r="AC721" s="19">
        <f t="shared" si="25"/>
        <v>7528</v>
      </c>
      <c r="AD721" s="19">
        <f t="shared" si="26"/>
        <v>442.8235294117647</v>
      </c>
      <c r="AG721" s="21">
        <f>SUMIF([1]SO003!$H:$H,'SA007 2025.01-2026.05 '!$D721,[1]SO003!AF:AF)</f>
        <v>0</v>
      </c>
      <c r="AH721" s="21">
        <f>SUMIF([1]SO003!$H:$H,'SA007 2025.01-2026.05 '!$D721,[1]SO003!AH:AH)</f>
        <v>0</v>
      </c>
      <c r="AI721" s="21">
        <f>SUMIF([1]SO003!$H:$H,'SA007 2025.01-2026.05 '!$D721,[1]SO003!AJ:AJ)</f>
        <v>0</v>
      </c>
    </row>
    <row r="722" spans="1:35" x14ac:dyDescent="0.55000000000000004">
      <c r="A722" s="2" t="s">
        <v>1256</v>
      </c>
      <c r="D722" s="22" t="s">
        <v>1257</v>
      </c>
      <c r="E722" s="2" t="s">
        <v>116</v>
      </c>
      <c r="F722" s="2" t="s">
        <v>116</v>
      </c>
      <c r="G722" s="3" t="s">
        <v>47</v>
      </c>
      <c r="H722" s="2" t="s">
        <v>50</v>
      </c>
      <c r="I722" s="17">
        <v>3.2</v>
      </c>
      <c r="J722" s="3">
        <v>65</v>
      </c>
      <c r="K722" s="3" t="s">
        <v>731</v>
      </c>
      <c r="L722" s="18">
        <v>0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8">
        <v>80</v>
      </c>
      <c r="S722" s="18">
        <v>0</v>
      </c>
      <c r="T722" s="18">
        <v>0</v>
      </c>
      <c r="U722" s="18">
        <v>0</v>
      </c>
      <c r="V722" s="18">
        <v>0</v>
      </c>
      <c r="W722" s="18">
        <v>0</v>
      </c>
      <c r="X722" s="18">
        <v>0</v>
      </c>
      <c r="Y722" s="18">
        <v>0</v>
      </c>
      <c r="Z722" s="18">
        <v>0</v>
      </c>
      <c r="AA722" s="18">
        <f>SUMIF([1]SA007!$C:$C,'SA007 2025.01-2026.05 '!$D722,[1]SA007!P:P)</f>
        <v>0</v>
      </c>
      <c r="AB722" s="18">
        <f>SUMIF([1]SA007!$C:$C,'SA007 2025.01-2026.05 '!$D722,[1]SA007!Q:Q)</f>
        <v>0</v>
      </c>
      <c r="AC722" s="19">
        <f t="shared" si="25"/>
        <v>80</v>
      </c>
      <c r="AD722" s="19">
        <f t="shared" si="26"/>
        <v>4.7058823529411766</v>
      </c>
      <c r="AG722" s="21">
        <f>SUMIF([1]SO003!$H:$H,'SA007 2025.01-2026.05 '!$D722,[1]SO003!AF:AF)</f>
        <v>0</v>
      </c>
      <c r="AH722" s="21">
        <f>SUMIF([1]SO003!$H:$H,'SA007 2025.01-2026.05 '!$D722,[1]SO003!AH:AH)</f>
        <v>0</v>
      </c>
      <c r="AI722" s="21">
        <f>SUMIF([1]SO003!$H:$H,'SA007 2025.01-2026.05 '!$D722,[1]SO003!AJ:AJ)</f>
        <v>0</v>
      </c>
    </row>
    <row r="723" spans="1:35" x14ac:dyDescent="0.55000000000000004">
      <c r="A723" s="2" t="s">
        <v>867</v>
      </c>
      <c r="D723" s="22" t="s">
        <v>1258</v>
      </c>
      <c r="E723" s="2" t="s">
        <v>116</v>
      </c>
      <c r="F723" s="2" t="s">
        <v>116</v>
      </c>
      <c r="G723" s="3" t="s">
        <v>63</v>
      </c>
      <c r="H723" s="2" t="s">
        <v>310</v>
      </c>
      <c r="I723" s="17">
        <v>1.2</v>
      </c>
      <c r="J723" s="3">
        <v>85</v>
      </c>
      <c r="K723" s="3" t="s">
        <v>731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0</v>
      </c>
      <c r="X723" s="18">
        <v>0</v>
      </c>
      <c r="Y723" s="18">
        <v>0</v>
      </c>
      <c r="Z723" s="18">
        <v>0</v>
      </c>
      <c r="AA723" s="18">
        <f>SUMIF([1]SA007!$C:$C,'SA007 2025.01-2026.05 '!$D723,[1]SA007!P:P)</f>
        <v>0</v>
      </c>
      <c r="AB723" s="18">
        <f>SUMIF([1]SA007!$C:$C,'SA007 2025.01-2026.05 '!$D723,[1]SA007!Q:Q)</f>
        <v>0</v>
      </c>
      <c r="AC723" s="19">
        <f t="shared" si="25"/>
        <v>0</v>
      </c>
      <c r="AD723" s="19">
        <f t="shared" si="26"/>
        <v>0</v>
      </c>
      <c r="AG723" s="21">
        <f>SUMIF([1]SO003!$H:$H,'SA007 2025.01-2026.05 '!$D723,[1]SO003!AF:AF)</f>
        <v>0</v>
      </c>
      <c r="AH723" s="21">
        <f>SUMIF([1]SO003!$H:$H,'SA007 2025.01-2026.05 '!$D723,[1]SO003!AH:AH)</f>
        <v>0</v>
      </c>
      <c r="AI723" s="21">
        <f>SUMIF([1]SO003!$H:$H,'SA007 2025.01-2026.05 '!$D723,[1]SO003!AJ:AJ)</f>
        <v>0</v>
      </c>
    </row>
    <row r="724" spans="1:35" x14ac:dyDescent="0.55000000000000004">
      <c r="A724" s="2" t="s">
        <v>212</v>
      </c>
      <c r="B724" s="2" t="s">
        <v>213</v>
      </c>
      <c r="D724" s="2" t="s">
        <v>1259</v>
      </c>
      <c r="E724" s="2" t="s">
        <v>363</v>
      </c>
      <c r="G724" s="3" t="s">
        <v>47</v>
      </c>
      <c r="H724" s="2" t="s">
        <v>213</v>
      </c>
      <c r="I724" s="17">
        <v>1.6</v>
      </c>
      <c r="J724" s="3">
        <v>70</v>
      </c>
      <c r="K724" s="3" t="s">
        <v>819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8">
        <v>277</v>
      </c>
      <c r="S724" s="18">
        <v>0</v>
      </c>
      <c r="T724" s="18">
        <v>0</v>
      </c>
      <c r="U724" s="18">
        <v>0</v>
      </c>
      <c r="V724" s="18">
        <v>0</v>
      </c>
      <c r="W724" s="18">
        <v>0</v>
      </c>
      <c r="X724" s="18">
        <v>0</v>
      </c>
      <c r="Y724" s="18">
        <v>105</v>
      </c>
      <c r="Z724" s="18">
        <v>0</v>
      </c>
      <c r="AA724" s="18">
        <f>SUMIF([1]SA007!$C:$C,'SA007 2025.01-2026.05 '!$D724,[1]SA007!P:P)</f>
        <v>0</v>
      </c>
      <c r="AB724" s="18">
        <f>SUMIF([1]SA007!$C:$C,'SA007 2025.01-2026.05 '!$D724,[1]SA007!Q:Q)</f>
        <v>0</v>
      </c>
      <c r="AC724" s="19">
        <f t="shared" si="25"/>
        <v>382</v>
      </c>
      <c r="AD724" s="19">
        <f t="shared" si="26"/>
        <v>22.470588235294116</v>
      </c>
      <c r="AE724" s="20" t="s">
        <v>116</v>
      </c>
      <c r="AG724" s="21">
        <f>SUMIF([1]SO003!$H:$H,'SA007 2025.01-2026.05 '!$D724,[1]SO003!AF:AF)</f>
        <v>0</v>
      </c>
      <c r="AH724" s="21">
        <f>SUMIF([1]SO003!$H:$H,'SA007 2025.01-2026.05 '!$D724,[1]SO003!AH:AH)</f>
        <v>0</v>
      </c>
      <c r="AI724" s="21">
        <f>SUMIF([1]SO003!$H:$H,'SA007 2025.01-2026.05 '!$D724,[1]SO003!AJ:AJ)</f>
        <v>0</v>
      </c>
    </row>
    <row r="725" spans="1:35" x14ac:dyDescent="0.55000000000000004">
      <c r="A725" s="2" t="s">
        <v>212</v>
      </c>
      <c r="B725" s="2" t="s">
        <v>213</v>
      </c>
      <c r="D725" s="2" t="s">
        <v>1260</v>
      </c>
      <c r="E725" s="2" t="s">
        <v>363</v>
      </c>
      <c r="G725" s="3" t="s">
        <v>47</v>
      </c>
      <c r="H725" s="2" t="s">
        <v>213</v>
      </c>
      <c r="I725" s="17">
        <v>1.6</v>
      </c>
      <c r="J725" s="3">
        <v>52</v>
      </c>
      <c r="K725" s="3" t="s">
        <v>819</v>
      </c>
      <c r="L725" s="18">
        <v>0</v>
      </c>
      <c r="M725" s="18">
        <v>0</v>
      </c>
      <c r="N725" s="18">
        <v>0</v>
      </c>
      <c r="O725" s="18">
        <v>0</v>
      </c>
      <c r="P725" s="18">
        <v>0</v>
      </c>
      <c r="Q725" s="18">
        <v>0</v>
      </c>
      <c r="R725" s="18">
        <v>43</v>
      </c>
      <c r="S725" s="18">
        <v>0</v>
      </c>
      <c r="T725" s="18">
        <v>0</v>
      </c>
      <c r="U725" s="18">
        <v>0</v>
      </c>
      <c r="V725" s="18">
        <v>0</v>
      </c>
      <c r="W725" s="18">
        <v>0</v>
      </c>
      <c r="X725" s="18">
        <v>0</v>
      </c>
      <c r="Y725" s="18">
        <v>0</v>
      </c>
      <c r="Z725" s="18">
        <v>0</v>
      </c>
      <c r="AA725" s="18">
        <f>SUMIF([1]SA007!$C:$C,'SA007 2025.01-2026.05 '!$D725,[1]SA007!P:P)</f>
        <v>0</v>
      </c>
      <c r="AB725" s="18">
        <f>SUMIF([1]SA007!$C:$C,'SA007 2025.01-2026.05 '!$D725,[1]SA007!Q:Q)</f>
        <v>0</v>
      </c>
      <c r="AC725" s="19">
        <f t="shared" si="25"/>
        <v>43</v>
      </c>
      <c r="AD725" s="19">
        <f t="shared" si="26"/>
        <v>2.5294117647058822</v>
      </c>
      <c r="AE725" s="20" t="s">
        <v>48</v>
      </c>
      <c r="AG725" s="21">
        <f>SUMIF([1]SO003!$H:$H,'SA007 2025.01-2026.05 '!$D725,[1]SO003!AF:AF)</f>
        <v>0</v>
      </c>
      <c r="AH725" s="21">
        <f>SUMIF([1]SO003!$H:$H,'SA007 2025.01-2026.05 '!$D725,[1]SO003!AH:AH)</f>
        <v>0</v>
      </c>
      <c r="AI725" s="21">
        <f>SUMIF([1]SO003!$H:$H,'SA007 2025.01-2026.05 '!$D725,[1]SO003!AJ:AJ)</f>
        <v>0</v>
      </c>
    </row>
    <row r="726" spans="1:35" x14ac:dyDescent="0.55000000000000004">
      <c r="A726" s="2" t="s">
        <v>1162</v>
      </c>
      <c r="D726" s="22" t="s">
        <v>1261</v>
      </c>
      <c r="E726" s="2" t="s">
        <v>116</v>
      </c>
      <c r="F726" s="2" t="s">
        <v>116</v>
      </c>
      <c r="G726" s="3" t="s">
        <v>47</v>
      </c>
      <c r="H726" s="2" t="s">
        <v>1131</v>
      </c>
      <c r="I726" s="17">
        <v>3.2</v>
      </c>
      <c r="J726" s="3">
        <v>1219</v>
      </c>
      <c r="K726" s="3" t="s">
        <v>1262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8">
        <v>0</v>
      </c>
      <c r="R726" s="18">
        <v>0</v>
      </c>
      <c r="S726" s="18">
        <v>0</v>
      </c>
      <c r="T726" s="18">
        <v>0</v>
      </c>
      <c r="U726" s="18">
        <v>0</v>
      </c>
      <c r="V726" s="18">
        <v>0</v>
      </c>
      <c r="W726" s="18">
        <v>1776</v>
      </c>
      <c r="X726" s="18">
        <v>0</v>
      </c>
      <c r="Y726" s="18">
        <v>0</v>
      </c>
      <c r="Z726" s="18">
        <v>0</v>
      </c>
      <c r="AA726" s="18">
        <f>SUMIF([1]SA007!$C:$C,'SA007 2025.01-2026.05 '!$D726,[1]SA007!P:P)</f>
        <v>0</v>
      </c>
      <c r="AB726" s="18">
        <f>SUMIF([1]SA007!$C:$C,'SA007 2025.01-2026.05 '!$D726,[1]SA007!Q:Q)</f>
        <v>0</v>
      </c>
      <c r="AC726" s="19">
        <f t="shared" si="25"/>
        <v>1776</v>
      </c>
      <c r="AD726" s="19">
        <f t="shared" si="26"/>
        <v>104.47058823529412</v>
      </c>
      <c r="AG726" s="21">
        <f>SUMIF([1]SO003!$H:$H,'SA007 2025.01-2026.05 '!$D726,[1]SO003!AF:AF)</f>
        <v>0</v>
      </c>
      <c r="AH726" s="21">
        <f>SUMIF([1]SO003!$H:$H,'SA007 2025.01-2026.05 '!$D726,[1]SO003!AH:AH)</f>
        <v>0</v>
      </c>
      <c r="AI726" s="21">
        <f>SUMIF([1]SO003!$H:$H,'SA007 2025.01-2026.05 '!$D726,[1]SO003!AJ:AJ)</f>
        <v>0</v>
      </c>
    </row>
    <row r="727" spans="1:35" x14ac:dyDescent="0.55000000000000004">
      <c r="A727" s="2" t="s">
        <v>740</v>
      </c>
      <c r="D727" s="22" t="s">
        <v>1263</v>
      </c>
      <c r="E727" s="2" t="s">
        <v>116</v>
      </c>
      <c r="F727" s="2" t="s">
        <v>116</v>
      </c>
      <c r="G727" s="3" t="s">
        <v>47</v>
      </c>
      <c r="H727" s="2" t="s">
        <v>1131</v>
      </c>
      <c r="I727" s="17">
        <v>5</v>
      </c>
      <c r="J727" s="3">
        <v>46</v>
      </c>
      <c r="K727" s="3" t="s">
        <v>731</v>
      </c>
      <c r="L727" s="18">
        <v>0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8">
        <v>0</v>
      </c>
      <c r="S727" s="18">
        <v>0</v>
      </c>
      <c r="T727" s="18">
        <v>0</v>
      </c>
      <c r="U727" s="18">
        <v>0</v>
      </c>
      <c r="V727" s="18">
        <v>0</v>
      </c>
      <c r="W727" s="18">
        <v>350</v>
      </c>
      <c r="X727" s="18">
        <v>33</v>
      </c>
      <c r="Y727" s="18">
        <v>0</v>
      </c>
      <c r="Z727" s="18">
        <v>0</v>
      </c>
      <c r="AA727" s="18">
        <f>SUMIF([1]SA007!$C:$C,'SA007 2025.01-2026.05 '!$D727,[1]SA007!P:P)</f>
        <v>0</v>
      </c>
      <c r="AB727" s="18">
        <f>SUMIF([1]SA007!$C:$C,'SA007 2025.01-2026.05 '!$D727,[1]SA007!Q:Q)</f>
        <v>0</v>
      </c>
      <c r="AC727" s="19">
        <f t="shared" si="25"/>
        <v>383</v>
      </c>
      <c r="AD727" s="19">
        <f t="shared" si="26"/>
        <v>22.529411764705884</v>
      </c>
      <c r="AG727" s="21">
        <f>SUMIF([1]SO003!$H:$H,'SA007 2025.01-2026.05 '!$D727,[1]SO003!AF:AF)</f>
        <v>0</v>
      </c>
      <c r="AH727" s="21">
        <f>SUMIF([1]SO003!$H:$H,'SA007 2025.01-2026.05 '!$D727,[1]SO003!AH:AH)</f>
        <v>0</v>
      </c>
      <c r="AI727" s="21">
        <f>SUMIF([1]SO003!$H:$H,'SA007 2025.01-2026.05 '!$D727,[1]SO003!AJ:AJ)</f>
        <v>0</v>
      </c>
    </row>
    <row r="728" spans="1:35" x14ac:dyDescent="0.55000000000000004">
      <c r="A728" s="2" t="s">
        <v>1264</v>
      </c>
      <c r="D728" s="22" t="s">
        <v>1265</v>
      </c>
      <c r="E728" s="2" t="s">
        <v>116</v>
      </c>
      <c r="F728" s="2" t="s">
        <v>116</v>
      </c>
      <c r="G728" s="3" t="s">
        <v>63</v>
      </c>
      <c r="H728" s="2" t="s">
        <v>199</v>
      </c>
      <c r="I728" s="17">
        <v>0.6</v>
      </c>
      <c r="J728" s="3">
        <v>140</v>
      </c>
      <c r="K728" s="3" t="s">
        <v>1266</v>
      </c>
      <c r="L728" s="18">
        <v>0</v>
      </c>
      <c r="M728" s="18">
        <v>0</v>
      </c>
      <c r="N728" s="18">
        <v>0</v>
      </c>
      <c r="O728" s="18">
        <v>0</v>
      </c>
      <c r="P728" s="18">
        <v>0</v>
      </c>
      <c r="Q728" s="18">
        <v>0</v>
      </c>
      <c r="R728" s="18">
        <v>0</v>
      </c>
      <c r="S728" s="18">
        <v>0</v>
      </c>
      <c r="T728" s="18">
        <v>0</v>
      </c>
      <c r="U728" s="18">
        <v>0</v>
      </c>
      <c r="V728" s="18">
        <v>0</v>
      </c>
      <c r="W728" s="18">
        <v>17</v>
      </c>
      <c r="X728" s="18">
        <v>0</v>
      </c>
      <c r="Y728" s="18">
        <v>0</v>
      </c>
      <c r="Z728" s="18">
        <v>0</v>
      </c>
      <c r="AA728" s="18">
        <f>SUMIF([1]SA007!$C:$C,'SA007 2025.01-2026.05 '!$D728,[1]SA007!P:P)</f>
        <v>0</v>
      </c>
      <c r="AB728" s="18">
        <f>SUMIF([1]SA007!$C:$C,'SA007 2025.01-2026.05 '!$D728,[1]SA007!Q:Q)</f>
        <v>52</v>
      </c>
      <c r="AC728" s="19">
        <f t="shared" si="25"/>
        <v>69</v>
      </c>
      <c r="AD728" s="19">
        <f t="shared" si="26"/>
        <v>4.0588235294117645</v>
      </c>
      <c r="AG728" s="21">
        <f>SUMIF([1]SO003!$H:$H,'SA007 2025.01-2026.05 '!$D728,[1]SO003!AF:AF)</f>
        <v>16.484999999999999</v>
      </c>
      <c r="AH728" s="21">
        <f>SUMIF([1]SO003!$H:$H,'SA007 2025.01-2026.05 '!$D728,[1]SO003!AH:AH)</f>
        <v>0</v>
      </c>
      <c r="AI728" s="21">
        <f>SUMIF([1]SO003!$H:$H,'SA007 2025.01-2026.05 '!$D728,[1]SO003!AJ:AJ)</f>
        <v>16.484999999999999</v>
      </c>
    </row>
    <row r="729" spans="1:35" x14ac:dyDescent="0.55000000000000004">
      <c r="A729" s="2" t="s">
        <v>212</v>
      </c>
      <c r="D729" s="22" t="s">
        <v>1267</v>
      </c>
      <c r="E729" s="2" t="s">
        <v>363</v>
      </c>
      <c r="F729" s="3"/>
      <c r="G729" s="3" t="s">
        <v>47</v>
      </c>
      <c r="H729" s="2" t="s">
        <v>213</v>
      </c>
      <c r="I729" s="17">
        <v>1.6</v>
      </c>
      <c r="J729" s="3">
        <v>65</v>
      </c>
      <c r="K729" s="3" t="s">
        <v>819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  <c r="S729" s="18">
        <v>1588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f>SUMIF([1]SA007!$C:$C,'SA007 2025.01-2026.05 '!$D729,[1]SA007!P:P)</f>
        <v>0</v>
      </c>
      <c r="AB729" s="18">
        <f>SUMIF([1]SA007!$C:$C,'SA007 2025.01-2026.05 '!$D729,[1]SA007!Q:Q)</f>
        <v>0</v>
      </c>
      <c r="AC729" s="19">
        <f t="shared" si="25"/>
        <v>1588</v>
      </c>
      <c r="AD729" s="19">
        <f t="shared" si="26"/>
        <v>93.411764705882348</v>
      </c>
      <c r="AG729" s="21">
        <f>SUMIF([1]SO003!$H:$H,'SA007 2025.01-2026.05 '!$D729,[1]SO003!AF:AF)</f>
        <v>0</v>
      </c>
      <c r="AH729" s="21">
        <f>SUMIF([1]SO003!$H:$H,'SA007 2025.01-2026.05 '!$D729,[1]SO003!AH:AH)</f>
        <v>0</v>
      </c>
      <c r="AI729" s="21">
        <f>SUMIF([1]SO003!$H:$H,'SA007 2025.01-2026.05 '!$D729,[1]SO003!AJ:AJ)</f>
        <v>0</v>
      </c>
    </row>
    <row r="730" spans="1:35" x14ac:dyDescent="0.55000000000000004">
      <c r="A730" s="2" t="s">
        <v>1268</v>
      </c>
      <c r="D730" s="22" t="s">
        <v>1269</v>
      </c>
      <c r="E730" s="2" t="s">
        <v>555</v>
      </c>
      <c r="F730" s="2" t="s">
        <v>555</v>
      </c>
      <c r="G730" s="3" t="s">
        <v>63</v>
      </c>
      <c r="H730" s="2" t="s">
        <v>1270</v>
      </c>
      <c r="I730" s="17">
        <v>0.2</v>
      </c>
      <c r="J730" s="3">
        <v>145</v>
      </c>
      <c r="K730" s="3" t="s">
        <v>1057</v>
      </c>
      <c r="L730" s="21">
        <v>0</v>
      </c>
      <c r="M730" s="21">
        <v>0</v>
      </c>
      <c r="N730" s="21">
        <v>33</v>
      </c>
      <c r="O730" s="21">
        <v>0</v>
      </c>
      <c r="P730" s="21">
        <v>0</v>
      </c>
      <c r="Q730" s="21">
        <v>0</v>
      </c>
      <c r="R730" s="21">
        <v>0</v>
      </c>
      <c r="S730" s="21">
        <v>0</v>
      </c>
      <c r="T730" s="21">
        <v>0</v>
      </c>
      <c r="U730" s="21">
        <v>0</v>
      </c>
      <c r="V730" s="21">
        <v>0</v>
      </c>
      <c r="W730" s="21">
        <v>0</v>
      </c>
      <c r="X730" s="18">
        <v>0</v>
      </c>
      <c r="Y730" s="18">
        <v>0</v>
      </c>
      <c r="Z730" s="18">
        <v>0</v>
      </c>
      <c r="AA730" s="18">
        <f>SUMIF([1]SA007!$C:$C,'SA007 2025.01-2026.05 '!$D730,[1]SA007!P:P)</f>
        <v>0</v>
      </c>
      <c r="AB730" s="18">
        <f>SUMIF([1]SA007!$C:$C,'SA007 2025.01-2026.05 '!$D730,[1]SA007!Q:Q)</f>
        <v>0</v>
      </c>
      <c r="AC730" s="19">
        <f t="shared" si="25"/>
        <v>33</v>
      </c>
      <c r="AD730" s="19">
        <f t="shared" si="26"/>
        <v>1.9411764705882353</v>
      </c>
      <c r="AG730" s="21">
        <f>SUMIF([1]SO003!$H:$H,'SA007 2025.01-2026.05 '!$D730,[1]SO003!AF:AF)</f>
        <v>77.856300000000005</v>
      </c>
      <c r="AH730" s="21">
        <f>SUMIF([1]SO003!$H:$H,'SA007 2025.01-2026.05 '!$D730,[1]SO003!AH:AH)</f>
        <v>30.94787925</v>
      </c>
      <c r="AI730" s="21">
        <f>SUMIF([1]SO003!$H:$H,'SA007 2025.01-2026.05 '!$D730,[1]SO003!AJ:AJ)</f>
        <v>46.908420750000005</v>
      </c>
    </row>
    <row r="731" spans="1:35" x14ac:dyDescent="0.55000000000000004">
      <c r="A731" s="2" t="s">
        <v>126</v>
      </c>
      <c r="D731" s="22" t="s">
        <v>1271</v>
      </c>
      <c r="E731" s="2" t="s">
        <v>1272</v>
      </c>
      <c r="F731" s="2" t="s">
        <v>1272</v>
      </c>
      <c r="G731" s="3" t="s">
        <v>63</v>
      </c>
      <c r="H731" s="2" t="s">
        <v>1273</v>
      </c>
      <c r="I731" s="17">
        <v>0.6</v>
      </c>
      <c r="J731" s="3">
        <v>330</v>
      </c>
      <c r="K731" s="3" t="s">
        <v>1274</v>
      </c>
      <c r="L731" s="21">
        <v>0</v>
      </c>
      <c r="M731" s="21">
        <v>110</v>
      </c>
      <c r="N731" s="21">
        <v>0</v>
      </c>
      <c r="O731" s="21">
        <v>0</v>
      </c>
      <c r="P731" s="21">
        <v>0</v>
      </c>
      <c r="Q731" s="21">
        <v>0</v>
      </c>
      <c r="R731" s="21">
        <v>0</v>
      </c>
      <c r="S731" s="21">
        <v>0</v>
      </c>
      <c r="T731" s="21">
        <v>0</v>
      </c>
      <c r="U731" s="21">
        <v>0</v>
      </c>
      <c r="V731" s="21">
        <v>0</v>
      </c>
      <c r="W731" s="21">
        <v>0</v>
      </c>
      <c r="X731" s="18">
        <v>0</v>
      </c>
      <c r="Y731" s="18">
        <v>0</v>
      </c>
      <c r="Z731" s="18">
        <v>0</v>
      </c>
      <c r="AA731" s="18">
        <f>SUMIF([1]SA007!$C:$C,'SA007 2025.01-2026.05 '!$D731,[1]SA007!P:P)</f>
        <v>0</v>
      </c>
      <c r="AB731" s="18">
        <f>SUMIF([1]SA007!$C:$C,'SA007 2025.01-2026.05 '!$D731,[1]SA007!Q:Q)</f>
        <v>0</v>
      </c>
      <c r="AC731" s="19">
        <f t="shared" si="25"/>
        <v>110</v>
      </c>
      <c r="AD731" s="19">
        <f t="shared" si="26"/>
        <v>6.4705882352941178</v>
      </c>
      <c r="AG731" s="21">
        <f>SUMIF([1]SO003!$H:$H,'SA007 2025.01-2026.05 '!$D731,[1]SO003!AF:AF)</f>
        <v>1958.4179999999999</v>
      </c>
      <c r="AH731" s="21">
        <f>SUMIF([1]SO003!$H:$H,'SA007 2025.01-2026.05 '!$D731,[1]SO003!AH:AH)</f>
        <v>1958.4179999999999</v>
      </c>
      <c r="AI731" s="21">
        <f>SUMIF([1]SO003!$H:$H,'SA007 2025.01-2026.05 '!$D731,[1]SO003!AJ:AJ)</f>
        <v>0</v>
      </c>
    </row>
    <row r="732" spans="1:35" x14ac:dyDescent="0.55000000000000004">
      <c r="A732" s="2" t="s">
        <v>126</v>
      </c>
      <c r="D732" s="22" t="s">
        <v>1275</v>
      </c>
      <c r="E732" s="2" t="s">
        <v>106</v>
      </c>
      <c r="F732" s="2" t="s">
        <v>106</v>
      </c>
      <c r="G732" s="3" t="s">
        <v>63</v>
      </c>
      <c r="H732" s="2" t="s">
        <v>61</v>
      </c>
      <c r="I732" s="17">
        <v>0.6</v>
      </c>
      <c r="J732" s="3">
        <v>98</v>
      </c>
      <c r="K732" s="3" t="s">
        <v>41</v>
      </c>
      <c r="L732" s="21">
        <v>0</v>
      </c>
      <c r="M732" s="21">
        <v>0</v>
      </c>
      <c r="N732" s="21">
        <v>0</v>
      </c>
      <c r="O732" s="21">
        <v>0</v>
      </c>
      <c r="P732" s="21">
        <v>0</v>
      </c>
      <c r="Q732" s="21">
        <v>0</v>
      </c>
      <c r="R732" s="21">
        <v>0</v>
      </c>
      <c r="S732" s="21">
        <v>0</v>
      </c>
      <c r="T732" s="21">
        <v>0</v>
      </c>
      <c r="U732" s="21">
        <v>0</v>
      </c>
      <c r="V732" s="21">
        <v>1688</v>
      </c>
      <c r="W732" s="21">
        <v>0</v>
      </c>
      <c r="X732" s="18">
        <v>0</v>
      </c>
      <c r="Y732" s="18">
        <v>0</v>
      </c>
      <c r="Z732" s="18">
        <v>0</v>
      </c>
      <c r="AA732" s="18">
        <f>SUMIF([1]SA007!$C:$C,'SA007 2025.01-2026.05 '!$D732,[1]SA007!P:P)</f>
        <v>0</v>
      </c>
      <c r="AB732" s="18">
        <f>SUMIF([1]SA007!$C:$C,'SA007 2025.01-2026.05 '!$D732,[1]SA007!Q:Q)</f>
        <v>0</v>
      </c>
      <c r="AC732" s="19">
        <f t="shared" si="25"/>
        <v>1688</v>
      </c>
      <c r="AD732" s="19">
        <f t="shared" si="26"/>
        <v>99.294117647058826</v>
      </c>
      <c r="AG732" s="21">
        <f>SUMIF([1]SO003!$H:$H,'SA007 2025.01-2026.05 '!$D732,[1]SO003!AF:AF)</f>
        <v>0</v>
      </c>
      <c r="AH732" s="21">
        <f>SUMIF([1]SO003!$H:$H,'SA007 2025.01-2026.05 '!$D732,[1]SO003!AH:AH)</f>
        <v>0</v>
      </c>
      <c r="AI732" s="21">
        <f>SUMIF([1]SO003!$H:$H,'SA007 2025.01-2026.05 '!$D732,[1]SO003!AJ:AJ)</f>
        <v>0</v>
      </c>
    </row>
    <row r="733" spans="1:35" x14ac:dyDescent="0.55000000000000004">
      <c r="A733" s="2" t="s">
        <v>126</v>
      </c>
      <c r="D733" s="22" t="s">
        <v>1276</v>
      </c>
      <c r="E733" s="2" t="s">
        <v>115</v>
      </c>
      <c r="F733" s="2" t="s">
        <v>115</v>
      </c>
      <c r="G733" s="3" t="s">
        <v>63</v>
      </c>
      <c r="H733" s="2" t="s">
        <v>64</v>
      </c>
      <c r="I733" s="17">
        <v>0.6</v>
      </c>
      <c r="J733" s="3">
        <v>610</v>
      </c>
      <c r="K733" s="3" t="s">
        <v>981</v>
      </c>
      <c r="L733" s="21">
        <v>0</v>
      </c>
      <c r="M733" s="21">
        <v>0</v>
      </c>
      <c r="N733" s="21">
        <v>0</v>
      </c>
      <c r="O733" s="21">
        <v>0</v>
      </c>
      <c r="P733" s="21">
        <v>0</v>
      </c>
      <c r="Q733" s="21">
        <v>0</v>
      </c>
      <c r="R733" s="21">
        <v>0</v>
      </c>
      <c r="S733" s="21">
        <v>0</v>
      </c>
      <c r="T733" s="21">
        <v>0</v>
      </c>
      <c r="U733" s="21">
        <v>0</v>
      </c>
      <c r="V733" s="21">
        <v>0</v>
      </c>
      <c r="W733" s="21">
        <v>2021</v>
      </c>
      <c r="X733" s="18">
        <v>0</v>
      </c>
      <c r="Y733" s="18">
        <v>0</v>
      </c>
      <c r="Z733" s="18">
        <v>0</v>
      </c>
      <c r="AA733" s="18">
        <f>SUMIF([1]SA007!$C:$C,'SA007 2025.01-2026.05 '!$D733,[1]SA007!P:P)</f>
        <v>0</v>
      </c>
      <c r="AB733" s="18">
        <f>SUMIF([1]SA007!$C:$C,'SA007 2025.01-2026.05 '!$D733,[1]SA007!Q:Q)</f>
        <v>0</v>
      </c>
      <c r="AC733" s="19">
        <f t="shared" si="25"/>
        <v>2021</v>
      </c>
      <c r="AD733" s="19">
        <f t="shared" si="26"/>
        <v>118.88235294117646</v>
      </c>
      <c r="AG733" s="21">
        <f>SUMIF([1]SO003!$H:$H,'SA007 2025.01-2026.05 '!$D733,[1]SO003!AF:AF)</f>
        <v>0</v>
      </c>
      <c r="AH733" s="21">
        <f>SUMIF([1]SO003!$H:$H,'SA007 2025.01-2026.05 '!$D733,[1]SO003!AH:AH)</f>
        <v>0</v>
      </c>
      <c r="AI733" s="21">
        <f>SUMIF([1]SO003!$H:$H,'SA007 2025.01-2026.05 '!$D733,[1]SO003!AJ:AJ)</f>
        <v>0</v>
      </c>
    </row>
    <row r="734" spans="1:35" x14ac:dyDescent="0.55000000000000004">
      <c r="A734" s="2" t="s">
        <v>141</v>
      </c>
      <c r="D734" s="22" t="s">
        <v>1277</v>
      </c>
      <c r="E734" s="2" t="s">
        <v>115</v>
      </c>
      <c r="F734" s="2" t="s">
        <v>115</v>
      </c>
      <c r="G734" s="3" t="s">
        <v>63</v>
      </c>
      <c r="H734" s="2" t="s">
        <v>1270</v>
      </c>
      <c r="I734" s="17">
        <v>0.7</v>
      </c>
      <c r="J734" s="3">
        <v>400</v>
      </c>
      <c r="K734" s="3" t="s">
        <v>1278</v>
      </c>
      <c r="L734" s="21">
        <v>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1">
        <v>0</v>
      </c>
      <c r="S734" s="21">
        <v>578</v>
      </c>
      <c r="T734" s="21">
        <v>0</v>
      </c>
      <c r="U734" s="21">
        <v>0</v>
      </c>
      <c r="V734" s="21">
        <v>0</v>
      </c>
      <c r="W734" s="21">
        <v>0</v>
      </c>
      <c r="X734" s="18">
        <v>0</v>
      </c>
      <c r="Y734" s="18">
        <v>0</v>
      </c>
      <c r="Z734" s="18">
        <v>0</v>
      </c>
      <c r="AA734" s="18">
        <f>SUMIF([1]SA007!$C:$C,'SA007 2025.01-2026.05 '!$D734,[1]SA007!P:P)</f>
        <v>1033</v>
      </c>
      <c r="AB734" s="18">
        <f>SUMIF([1]SA007!$C:$C,'SA007 2025.01-2026.05 '!$D734,[1]SA007!Q:Q)</f>
        <v>0</v>
      </c>
      <c r="AC734" s="19">
        <f t="shared" si="25"/>
        <v>1611</v>
      </c>
      <c r="AD734" s="19">
        <f t="shared" si="26"/>
        <v>94.764705882352942</v>
      </c>
      <c r="AG734" s="21">
        <f>SUMIF([1]SO003!$H:$H,'SA007 2025.01-2026.05 '!$D734,[1]SO003!AF:AF)</f>
        <v>0</v>
      </c>
      <c r="AH734" s="21">
        <f>SUMIF([1]SO003!$H:$H,'SA007 2025.01-2026.05 '!$D734,[1]SO003!AH:AH)</f>
        <v>0</v>
      </c>
      <c r="AI734" s="21">
        <f>SUMIF([1]SO003!$H:$H,'SA007 2025.01-2026.05 '!$D734,[1]SO003!AJ:AJ)</f>
        <v>0</v>
      </c>
    </row>
    <row r="735" spans="1:35" x14ac:dyDescent="0.55000000000000004">
      <c r="A735" s="2" t="s">
        <v>1279</v>
      </c>
      <c r="D735" s="22" t="s">
        <v>1280</v>
      </c>
      <c r="E735" s="2" t="s">
        <v>663</v>
      </c>
      <c r="F735" s="2" t="s">
        <v>663</v>
      </c>
      <c r="G735" s="3" t="s">
        <v>63</v>
      </c>
      <c r="H735" s="2" t="s">
        <v>664</v>
      </c>
      <c r="I735" s="17">
        <v>0.8</v>
      </c>
      <c r="J735" s="3">
        <v>88</v>
      </c>
      <c r="K735" s="3" t="s">
        <v>41</v>
      </c>
      <c r="L735" s="21">
        <v>0</v>
      </c>
      <c r="M735" s="21">
        <v>0</v>
      </c>
      <c r="N735" s="21">
        <v>0</v>
      </c>
      <c r="O735" s="21">
        <v>0</v>
      </c>
      <c r="P735" s="21">
        <v>0</v>
      </c>
      <c r="Q735" s="21">
        <v>0</v>
      </c>
      <c r="R735" s="21">
        <v>0</v>
      </c>
      <c r="S735" s="21">
        <v>0</v>
      </c>
      <c r="T735" s="21">
        <v>0</v>
      </c>
      <c r="U735" s="21">
        <v>0</v>
      </c>
      <c r="V735" s="21">
        <v>3560</v>
      </c>
      <c r="W735" s="21">
        <v>0</v>
      </c>
      <c r="X735" s="18">
        <v>0</v>
      </c>
      <c r="Y735" s="18">
        <v>0</v>
      </c>
      <c r="Z735" s="18">
        <v>0</v>
      </c>
      <c r="AA735" s="18">
        <f>SUMIF([1]SA007!$C:$C,'SA007 2025.01-2026.05 '!$D735,[1]SA007!P:P)</f>
        <v>0</v>
      </c>
      <c r="AB735" s="18">
        <f>SUMIF([1]SA007!$C:$C,'SA007 2025.01-2026.05 '!$D735,[1]SA007!Q:Q)</f>
        <v>0</v>
      </c>
      <c r="AC735" s="19">
        <f t="shared" si="25"/>
        <v>3560</v>
      </c>
      <c r="AD735" s="19">
        <f t="shared" si="26"/>
        <v>209.41176470588235</v>
      </c>
      <c r="AG735" s="21">
        <f>SUMIF([1]SO003!$H:$H,'SA007 2025.01-2026.05 '!$D735,[1]SO003!AF:AF)</f>
        <v>0</v>
      </c>
      <c r="AH735" s="21">
        <f>SUMIF([1]SO003!$H:$H,'SA007 2025.01-2026.05 '!$D735,[1]SO003!AH:AH)</f>
        <v>0</v>
      </c>
      <c r="AI735" s="21">
        <f>SUMIF([1]SO003!$H:$H,'SA007 2025.01-2026.05 '!$D735,[1]SO003!AJ:AJ)</f>
        <v>0</v>
      </c>
    </row>
    <row r="736" spans="1:35" x14ac:dyDescent="0.55000000000000004">
      <c r="A736" s="2" t="s">
        <v>145</v>
      </c>
      <c r="D736" s="22" t="s">
        <v>1281</v>
      </c>
      <c r="E736" s="2" t="s">
        <v>115</v>
      </c>
      <c r="F736" s="2" t="s">
        <v>115</v>
      </c>
      <c r="G736" s="3" t="s">
        <v>63</v>
      </c>
      <c r="H736" s="2" t="s">
        <v>98</v>
      </c>
      <c r="I736" s="17">
        <v>0.8</v>
      </c>
      <c r="J736" s="3">
        <v>375</v>
      </c>
      <c r="K736" s="3" t="s">
        <v>981</v>
      </c>
      <c r="L736" s="21">
        <v>0</v>
      </c>
      <c r="M736" s="21">
        <v>0</v>
      </c>
      <c r="N736" s="21">
        <v>0</v>
      </c>
      <c r="O736" s="21">
        <v>0</v>
      </c>
      <c r="P736" s="21">
        <v>0</v>
      </c>
      <c r="Q736" s="21">
        <v>0</v>
      </c>
      <c r="R736" s="21">
        <v>0</v>
      </c>
      <c r="S736" s="21">
        <v>1949</v>
      </c>
      <c r="T736" s="21">
        <v>0</v>
      </c>
      <c r="U736" s="21">
        <v>0</v>
      </c>
      <c r="V736" s="21">
        <v>0</v>
      </c>
      <c r="W736" s="21">
        <v>0</v>
      </c>
      <c r="X736" s="18">
        <v>0</v>
      </c>
      <c r="Y736" s="18">
        <v>0</v>
      </c>
      <c r="Z736" s="18">
        <v>0</v>
      </c>
      <c r="AA736" s="18">
        <f>SUMIF([1]SA007!$C:$C,'SA007 2025.01-2026.05 '!$D736,[1]SA007!P:P)</f>
        <v>0</v>
      </c>
      <c r="AB736" s="18">
        <f>SUMIF([1]SA007!$C:$C,'SA007 2025.01-2026.05 '!$D736,[1]SA007!Q:Q)</f>
        <v>0</v>
      </c>
      <c r="AC736" s="19">
        <f t="shared" si="25"/>
        <v>1949</v>
      </c>
      <c r="AD736" s="19">
        <f t="shared" si="26"/>
        <v>114.64705882352941</v>
      </c>
      <c r="AG736" s="21">
        <f>SUMIF([1]SO003!$H:$H,'SA007 2025.01-2026.05 '!$D736,[1]SO003!AF:AF)</f>
        <v>1005.585</v>
      </c>
      <c r="AH736" s="21">
        <f>SUMIF([1]SO003!$H:$H,'SA007 2025.01-2026.05 '!$D736,[1]SO003!AH:AH)</f>
        <v>1001.27535</v>
      </c>
      <c r="AI736" s="21">
        <f>SUMIF([1]SO003!$H:$H,'SA007 2025.01-2026.05 '!$D736,[1]SO003!AJ:AJ)</f>
        <v>4.3096499999999995</v>
      </c>
    </row>
    <row r="737" spans="1:35" x14ac:dyDescent="0.55000000000000004">
      <c r="A737" s="2" t="s">
        <v>145</v>
      </c>
      <c r="D737" s="22" t="s">
        <v>1282</v>
      </c>
      <c r="E737" s="2" t="s">
        <v>115</v>
      </c>
      <c r="F737" s="2" t="s">
        <v>115</v>
      </c>
      <c r="G737" s="3" t="s">
        <v>63</v>
      </c>
      <c r="H737" s="2" t="s">
        <v>98</v>
      </c>
      <c r="I737" s="17">
        <v>0.8</v>
      </c>
      <c r="J737" s="3">
        <v>400</v>
      </c>
      <c r="K737" s="3" t="s">
        <v>1283</v>
      </c>
      <c r="L737" s="21">
        <v>0</v>
      </c>
      <c r="M737" s="21">
        <v>0</v>
      </c>
      <c r="N737" s="21">
        <v>0</v>
      </c>
      <c r="O737" s="21">
        <v>0</v>
      </c>
      <c r="P737" s="21">
        <v>0</v>
      </c>
      <c r="Q737" s="21">
        <v>0</v>
      </c>
      <c r="R737" s="21">
        <v>0</v>
      </c>
      <c r="S737" s="21">
        <v>879</v>
      </c>
      <c r="T737" s="21">
        <v>0</v>
      </c>
      <c r="U737" s="21">
        <v>0</v>
      </c>
      <c r="V737" s="21">
        <v>0</v>
      </c>
      <c r="W737" s="21">
        <v>0</v>
      </c>
      <c r="X737" s="18">
        <v>0</v>
      </c>
      <c r="Y737" s="18">
        <v>0</v>
      </c>
      <c r="Z737" s="18">
        <v>0</v>
      </c>
      <c r="AA737" s="18">
        <f>SUMIF([1]SA007!$C:$C,'SA007 2025.01-2026.05 '!$D737,[1]SA007!P:P)</f>
        <v>0</v>
      </c>
      <c r="AB737" s="18">
        <f>SUMIF([1]SA007!$C:$C,'SA007 2025.01-2026.05 '!$D737,[1]SA007!Q:Q)</f>
        <v>0</v>
      </c>
      <c r="AC737" s="19">
        <f t="shared" si="25"/>
        <v>879</v>
      </c>
      <c r="AD737" s="19">
        <f t="shared" si="26"/>
        <v>51.705882352941174</v>
      </c>
      <c r="AG737" s="21">
        <f>SUMIF([1]SO003!$H:$H,'SA007 2025.01-2026.05 '!$D737,[1]SO003!AF:AF)</f>
        <v>0</v>
      </c>
      <c r="AH737" s="21">
        <f>SUMIF([1]SO003!$H:$H,'SA007 2025.01-2026.05 '!$D737,[1]SO003!AH:AH)</f>
        <v>0</v>
      </c>
      <c r="AI737" s="21">
        <f>SUMIF([1]SO003!$H:$H,'SA007 2025.01-2026.05 '!$D737,[1]SO003!AJ:AJ)</f>
        <v>0</v>
      </c>
    </row>
    <row r="738" spans="1:35" x14ac:dyDescent="0.55000000000000004">
      <c r="A738" s="2" t="s">
        <v>76</v>
      </c>
      <c r="D738" s="22" t="s">
        <v>1284</v>
      </c>
      <c r="E738" s="2" t="s">
        <v>106</v>
      </c>
      <c r="F738" s="2" t="s">
        <v>106</v>
      </c>
      <c r="G738" s="3" t="s">
        <v>39</v>
      </c>
      <c r="H738" s="2" t="s">
        <v>78</v>
      </c>
      <c r="I738" s="17">
        <v>0.8</v>
      </c>
      <c r="J738" s="3">
        <v>83</v>
      </c>
      <c r="K738" s="3" t="s">
        <v>41</v>
      </c>
      <c r="L738" s="21">
        <v>0</v>
      </c>
      <c r="M738" s="21">
        <v>0</v>
      </c>
      <c r="N738" s="21">
        <v>0</v>
      </c>
      <c r="O738" s="21">
        <v>0</v>
      </c>
      <c r="P738" s="21">
        <v>0</v>
      </c>
      <c r="Q738" s="21">
        <v>0</v>
      </c>
      <c r="R738" s="21">
        <v>0</v>
      </c>
      <c r="S738" s="21">
        <v>0</v>
      </c>
      <c r="T738" s="21">
        <v>0</v>
      </c>
      <c r="U738" s="21">
        <v>2295</v>
      </c>
      <c r="V738" s="21">
        <v>2350</v>
      </c>
      <c r="W738" s="21">
        <v>3712</v>
      </c>
      <c r="X738" s="18">
        <v>464</v>
      </c>
      <c r="Y738" s="18">
        <v>0</v>
      </c>
      <c r="Z738" s="18">
        <v>0</v>
      </c>
      <c r="AA738" s="18">
        <f>SUMIF([1]SA007!$C:$C,'SA007 2025.01-2026.05 '!$D738,[1]SA007!P:P)</f>
        <v>0</v>
      </c>
      <c r="AB738" s="18">
        <f>SUMIF([1]SA007!$C:$C,'SA007 2025.01-2026.05 '!$D738,[1]SA007!Q:Q)</f>
        <v>0</v>
      </c>
      <c r="AC738" s="19">
        <f t="shared" si="25"/>
        <v>8821</v>
      </c>
      <c r="AD738" s="19">
        <f t="shared" si="26"/>
        <v>518.88235294117646</v>
      </c>
      <c r="AG738" s="21">
        <f>SUMIF([1]SO003!$H:$H,'SA007 2025.01-2026.05 '!$D738,[1]SO003!AF:AF)</f>
        <v>0</v>
      </c>
      <c r="AH738" s="21">
        <f>SUMIF([1]SO003!$H:$H,'SA007 2025.01-2026.05 '!$D738,[1]SO003!AH:AH)</f>
        <v>0</v>
      </c>
      <c r="AI738" s="21">
        <f>SUMIF([1]SO003!$H:$H,'SA007 2025.01-2026.05 '!$D738,[1]SO003!AJ:AJ)</f>
        <v>0</v>
      </c>
    </row>
    <row r="739" spans="1:35" x14ac:dyDescent="0.55000000000000004">
      <c r="A739" s="2" t="s">
        <v>460</v>
      </c>
      <c r="D739" s="22" t="s">
        <v>1285</v>
      </c>
      <c r="E739" s="2" t="s">
        <v>363</v>
      </c>
      <c r="F739" s="2" t="s">
        <v>363</v>
      </c>
      <c r="G739" s="3" t="s">
        <v>47</v>
      </c>
      <c r="H739" s="2" t="s">
        <v>213</v>
      </c>
      <c r="I739" s="17">
        <v>3.2</v>
      </c>
      <c r="J739" s="3">
        <v>26</v>
      </c>
      <c r="K739" s="3" t="s">
        <v>819</v>
      </c>
      <c r="L739" s="21">
        <v>0</v>
      </c>
      <c r="M739" s="21">
        <v>0</v>
      </c>
      <c r="N739" s="21">
        <v>0</v>
      </c>
      <c r="O739" s="21">
        <v>0</v>
      </c>
      <c r="P739" s="21">
        <v>0</v>
      </c>
      <c r="Q739" s="21">
        <v>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  <c r="W739" s="21">
        <v>78</v>
      </c>
      <c r="X739" s="18">
        <v>0</v>
      </c>
      <c r="Y739" s="18">
        <v>0</v>
      </c>
      <c r="Z739" s="18">
        <v>80</v>
      </c>
      <c r="AA739" s="18">
        <f>SUMIF([1]SA007!$C:$C,'SA007 2025.01-2026.05 '!$D739,[1]SA007!P:P)</f>
        <v>0</v>
      </c>
      <c r="AB739" s="18">
        <f>SUMIF([1]SA007!$C:$C,'SA007 2025.01-2026.05 '!$D739,[1]SA007!Q:Q)</f>
        <v>0</v>
      </c>
      <c r="AC739" s="19">
        <f t="shared" si="25"/>
        <v>158</v>
      </c>
      <c r="AD739" s="19">
        <f t="shared" si="26"/>
        <v>9.2941176470588243</v>
      </c>
      <c r="AG739" s="21">
        <f>SUMIF([1]SO003!$H:$H,'SA007 2025.01-2026.05 '!$D739,[1]SO003!AF:AF)</f>
        <v>119.52096</v>
      </c>
      <c r="AH739" s="21">
        <f>SUMIF([1]SO003!$H:$H,'SA007 2025.01-2026.05 '!$D739,[1]SO003!AH:AH)</f>
        <v>86.055091200000007</v>
      </c>
      <c r="AI739" s="21">
        <f>SUMIF([1]SO003!$H:$H,'SA007 2025.01-2026.05 '!$D739,[1]SO003!AJ:AJ)</f>
        <v>33.465868800000003</v>
      </c>
    </row>
    <row r="740" spans="1:35" x14ac:dyDescent="0.55000000000000004">
      <c r="A740" s="2" t="s">
        <v>867</v>
      </c>
      <c r="D740" s="22" t="s">
        <v>1286</v>
      </c>
      <c r="E740" s="2" t="s">
        <v>363</v>
      </c>
      <c r="F740" s="2" t="s">
        <v>363</v>
      </c>
      <c r="G740" s="3" t="s">
        <v>63</v>
      </c>
      <c r="H740" s="2" t="s">
        <v>64</v>
      </c>
      <c r="I740" s="17">
        <v>1.2</v>
      </c>
      <c r="J740" s="3">
        <v>270</v>
      </c>
      <c r="K740" s="3" t="s">
        <v>819</v>
      </c>
      <c r="L740" s="21">
        <v>0</v>
      </c>
      <c r="M740" s="21">
        <v>0</v>
      </c>
      <c r="N740" s="21">
        <v>0</v>
      </c>
      <c r="O740" s="21">
        <v>0</v>
      </c>
      <c r="P740" s="21">
        <v>0</v>
      </c>
      <c r="Q740" s="21">
        <v>0</v>
      </c>
      <c r="R740" s="21">
        <v>0</v>
      </c>
      <c r="S740" s="21">
        <v>0</v>
      </c>
      <c r="T740" s="21">
        <v>0</v>
      </c>
      <c r="U740" s="21">
        <v>0</v>
      </c>
      <c r="V740" s="21">
        <v>0</v>
      </c>
      <c r="W740" s="21">
        <v>927</v>
      </c>
      <c r="X740" s="18">
        <v>0</v>
      </c>
      <c r="Y740" s="18">
        <v>0</v>
      </c>
      <c r="Z740" s="18">
        <v>0</v>
      </c>
      <c r="AA740" s="18">
        <f>SUMIF([1]SA007!$C:$C,'SA007 2025.01-2026.05 '!$D740,[1]SA007!P:P)</f>
        <v>1699</v>
      </c>
      <c r="AB740" s="18">
        <f>SUMIF([1]SA007!$C:$C,'SA007 2025.01-2026.05 '!$D740,[1]SA007!Q:Q)</f>
        <v>0</v>
      </c>
      <c r="AC740" s="19">
        <f t="shared" si="25"/>
        <v>2626</v>
      </c>
      <c r="AD740" s="19">
        <f t="shared" si="26"/>
        <v>154.47058823529412</v>
      </c>
      <c r="AG740" s="21">
        <f>SUMIF([1]SO003!$H:$H,'SA007 2025.01-2026.05 '!$D740,[1]SO003!AF:AF)</f>
        <v>0</v>
      </c>
      <c r="AH740" s="21">
        <f>SUMIF([1]SO003!$H:$H,'SA007 2025.01-2026.05 '!$D740,[1]SO003!AH:AH)</f>
        <v>0</v>
      </c>
      <c r="AI740" s="21">
        <f>SUMIF([1]SO003!$H:$H,'SA007 2025.01-2026.05 '!$D740,[1]SO003!AJ:AJ)</f>
        <v>0</v>
      </c>
    </row>
    <row r="741" spans="1:35" x14ac:dyDescent="0.55000000000000004">
      <c r="A741" s="2" t="s">
        <v>867</v>
      </c>
      <c r="D741" s="22" t="s">
        <v>1287</v>
      </c>
      <c r="E741" s="2" t="s">
        <v>363</v>
      </c>
      <c r="F741" s="2" t="s">
        <v>363</v>
      </c>
      <c r="G741" s="3" t="s">
        <v>63</v>
      </c>
      <c r="H741" s="2" t="s">
        <v>64</v>
      </c>
      <c r="I741" s="17">
        <v>1.2</v>
      </c>
      <c r="J741" s="3">
        <v>433</v>
      </c>
      <c r="K741" s="3" t="s">
        <v>819</v>
      </c>
      <c r="L741" s="21">
        <v>0</v>
      </c>
      <c r="M741" s="21">
        <v>0</v>
      </c>
      <c r="N741" s="21">
        <v>0</v>
      </c>
      <c r="O741" s="21">
        <v>0</v>
      </c>
      <c r="P741" s="21">
        <v>0</v>
      </c>
      <c r="Q741" s="21">
        <v>0</v>
      </c>
      <c r="R741" s="21">
        <v>0</v>
      </c>
      <c r="S741" s="21">
        <v>0</v>
      </c>
      <c r="T741" s="21">
        <v>0</v>
      </c>
      <c r="U741" s="21">
        <v>0</v>
      </c>
      <c r="V741" s="21">
        <v>0</v>
      </c>
      <c r="W741" s="21">
        <v>741</v>
      </c>
      <c r="X741" s="18">
        <v>0</v>
      </c>
      <c r="Y741" s="18">
        <v>0</v>
      </c>
      <c r="Z741" s="18">
        <v>0</v>
      </c>
      <c r="AA741" s="18">
        <f>SUMIF([1]SA007!$C:$C,'SA007 2025.01-2026.05 '!$D741,[1]SA007!P:P)</f>
        <v>598</v>
      </c>
      <c r="AB741" s="18">
        <f>SUMIF([1]SA007!$C:$C,'SA007 2025.01-2026.05 '!$D741,[1]SA007!Q:Q)</f>
        <v>0</v>
      </c>
      <c r="AC741" s="19">
        <f t="shared" si="25"/>
        <v>1339</v>
      </c>
      <c r="AD741" s="19">
        <f t="shared" si="26"/>
        <v>78.764705882352942</v>
      </c>
      <c r="AG741" s="21">
        <f>SUMIF([1]SO003!$H:$H,'SA007 2025.01-2026.05 '!$D741,[1]SO003!AF:AF)</f>
        <v>0</v>
      </c>
      <c r="AH741" s="21">
        <f>SUMIF([1]SO003!$H:$H,'SA007 2025.01-2026.05 '!$D741,[1]SO003!AH:AH)</f>
        <v>0</v>
      </c>
      <c r="AI741" s="21">
        <f>SUMIF([1]SO003!$H:$H,'SA007 2025.01-2026.05 '!$D741,[1]SO003!AJ:AJ)</f>
        <v>0</v>
      </c>
    </row>
    <row r="742" spans="1:35" x14ac:dyDescent="0.55000000000000004">
      <c r="A742" s="2" t="s">
        <v>389</v>
      </c>
      <c r="D742" s="22" t="s">
        <v>1288</v>
      </c>
      <c r="E742" s="2" t="s">
        <v>555</v>
      </c>
      <c r="F742" s="2" t="s">
        <v>556</v>
      </c>
      <c r="G742" s="3" t="s">
        <v>47</v>
      </c>
      <c r="H742" s="2" t="s">
        <v>321</v>
      </c>
      <c r="I742" s="17">
        <v>2</v>
      </c>
      <c r="J742" s="3">
        <v>63</v>
      </c>
      <c r="K742" s="3" t="s">
        <v>731</v>
      </c>
      <c r="L742" s="21">
        <v>0</v>
      </c>
      <c r="M742" s="21">
        <v>0</v>
      </c>
      <c r="N742" s="21">
        <v>0</v>
      </c>
      <c r="O742" s="21">
        <v>0</v>
      </c>
      <c r="P742" s="21">
        <v>0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  <c r="W742" s="21">
        <v>10</v>
      </c>
      <c r="X742" s="18">
        <v>0</v>
      </c>
      <c r="Y742" s="18">
        <v>0</v>
      </c>
      <c r="Z742" s="18">
        <v>0</v>
      </c>
      <c r="AA742" s="18">
        <f>SUMIF([1]SA007!$C:$C,'SA007 2025.01-2026.05 '!$D742,[1]SA007!P:P)</f>
        <v>0</v>
      </c>
      <c r="AB742" s="18">
        <f>SUMIF([1]SA007!$C:$C,'SA007 2025.01-2026.05 '!$D742,[1]SA007!Q:Q)</f>
        <v>0</v>
      </c>
      <c r="AC742" s="19">
        <f t="shared" si="25"/>
        <v>10</v>
      </c>
      <c r="AD742" s="19">
        <f t="shared" si="26"/>
        <v>0.58823529411764708</v>
      </c>
      <c r="AG742" s="21">
        <f>SUMIF([1]SO003!$H:$H,'SA007 2025.01-2026.05 '!$D742,[1]SO003!AF:AF)</f>
        <v>0</v>
      </c>
      <c r="AH742" s="21">
        <f>SUMIF([1]SO003!$H:$H,'SA007 2025.01-2026.05 '!$D742,[1]SO003!AH:AH)</f>
        <v>0</v>
      </c>
      <c r="AI742" s="21">
        <f>SUMIF([1]SO003!$H:$H,'SA007 2025.01-2026.05 '!$D742,[1]SO003!AJ:AJ)</f>
        <v>0</v>
      </c>
    </row>
    <row r="743" spans="1:35" x14ac:dyDescent="0.55000000000000004">
      <c r="A743" s="2" t="s">
        <v>433</v>
      </c>
      <c r="D743" s="22" t="s">
        <v>1289</v>
      </c>
      <c r="E743" s="2" t="s">
        <v>363</v>
      </c>
      <c r="F743" s="2" t="s">
        <v>363</v>
      </c>
      <c r="G743" s="3" t="s">
        <v>47</v>
      </c>
      <c r="H743" s="2" t="s">
        <v>213</v>
      </c>
      <c r="I743" s="17">
        <v>2.6</v>
      </c>
      <c r="J743" s="3">
        <v>120</v>
      </c>
      <c r="K743" s="3" t="s">
        <v>819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  <c r="Q743" s="21">
        <v>0</v>
      </c>
      <c r="R743" s="21">
        <v>0</v>
      </c>
      <c r="S743" s="21">
        <v>0</v>
      </c>
      <c r="T743" s="21">
        <v>0</v>
      </c>
      <c r="U743" s="21">
        <v>1150</v>
      </c>
      <c r="V743" s="21">
        <v>590</v>
      </c>
      <c r="W743" s="21">
        <v>0</v>
      </c>
      <c r="X743" s="18">
        <v>0</v>
      </c>
      <c r="Y743" s="18">
        <v>1985</v>
      </c>
      <c r="Z743" s="18">
        <v>0</v>
      </c>
      <c r="AA743" s="18">
        <f>SUMIF([1]SA007!$C:$C,'SA007 2025.01-2026.05 '!$D743,[1]SA007!P:P)</f>
        <v>1280</v>
      </c>
      <c r="AB743" s="18">
        <f>SUMIF([1]SA007!$C:$C,'SA007 2025.01-2026.05 '!$D743,[1]SA007!Q:Q)</f>
        <v>0</v>
      </c>
      <c r="AC743" s="19">
        <f t="shared" si="25"/>
        <v>5005</v>
      </c>
      <c r="AD743" s="19">
        <f t="shared" si="26"/>
        <v>294.41176470588238</v>
      </c>
      <c r="AG743" s="21">
        <f>SUMIF([1]SO003!$H:$H,'SA007 2025.01-2026.05 '!$D743,[1]SO003!AF:AF)</f>
        <v>0</v>
      </c>
      <c r="AH743" s="21">
        <f>SUMIF([1]SO003!$H:$H,'SA007 2025.01-2026.05 '!$D743,[1]SO003!AH:AH)</f>
        <v>0</v>
      </c>
      <c r="AI743" s="21">
        <f>SUMIF([1]SO003!$H:$H,'SA007 2025.01-2026.05 '!$D743,[1]SO003!AJ:AJ)</f>
        <v>0</v>
      </c>
    </row>
    <row r="744" spans="1:35" x14ac:dyDescent="0.55000000000000004">
      <c r="A744" s="2" t="s">
        <v>145</v>
      </c>
      <c r="D744" s="22" t="s">
        <v>1290</v>
      </c>
      <c r="E744" s="2" t="s">
        <v>1272</v>
      </c>
      <c r="F744" s="2" t="s">
        <v>1272</v>
      </c>
      <c r="G744" s="3" t="s">
        <v>63</v>
      </c>
      <c r="H744" s="2" t="s">
        <v>310</v>
      </c>
      <c r="I744" s="17">
        <v>0.8</v>
      </c>
      <c r="J744" s="3">
        <v>112</v>
      </c>
      <c r="K744" s="3" t="s">
        <v>41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  <c r="Q744" s="21">
        <v>0</v>
      </c>
      <c r="R744" s="21">
        <v>0</v>
      </c>
      <c r="S744" s="21">
        <v>0</v>
      </c>
      <c r="T744" s="21">
        <v>0</v>
      </c>
      <c r="U744" s="21">
        <v>1005</v>
      </c>
      <c r="V744" s="21">
        <v>0</v>
      </c>
      <c r="W744" s="21">
        <v>0</v>
      </c>
      <c r="X744" s="18">
        <v>0</v>
      </c>
      <c r="Y744" s="18">
        <v>0</v>
      </c>
      <c r="Z744" s="18">
        <v>0</v>
      </c>
      <c r="AA744" s="18">
        <f>SUMIF([1]SA007!$C:$C,'SA007 2025.01-2026.05 '!$D744,[1]SA007!P:P)</f>
        <v>0</v>
      </c>
      <c r="AB744" s="18">
        <f>SUMIF([1]SA007!$C:$C,'SA007 2025.01-2026.05 '!$D744,[1]SA007!Q:Q)</f>
        <v>0</v>
      </c>
      <c r="AC744" s="19">
        <f t="shared" si="25"/>
        <v>1005</v>
      </c>
      <c r="AD744" s="19">
        <f t="shared" si="26"/>
        <v>59.117647058823529</v>
      </c>
      <c r="AG744" s="21">
        <f>SUMIF([1]SO003!$H:$H,'SA007 2025.01-2026.05 '!$D744,[1]SO003!AF:AF)</f>
        <v>0</v>
      </c>
      <c r="AH744" s="21">
        <f>SUMIF([1]SO003!$H:$H,'SA007 2025.01-2026.05 '!$D744,[1]SO003!AH:AH)</f>
        <v>0</v>
      </c>
      <c r="AI744" s="21">
        <f>SUMIF([1]SO003!$H:$H,'SA007 2025.01-2026.05 '!$D744,[1]SO003!AJ:AJ)</f>
        <v>0</v>
      </c>
    </row>
    <row r="745" spans="1:35" x14ac:dyDescent="0.55000000000000004">
      <c r="A745" s="2" t="s">
        <v>1030</v>
      </c>
      <c r="D745" s="22" t="s">
        <v>1291</v>
      </c>
      <c r="E745" s="2" t="s">
        <v>555</v>
      </c>
      <c r="F745" s="2" t="s">
        <v>555</v>
      </c>
      <c r="G745" s="3" t="s">
        <v>63</v>
      </c>
      <c r="H745" s="2" t="s">
        <v>1292</v>
      </c>
      <c r="I745" s="17">
        <v>0.8</v>
      </c>
      <c r="J745" s="3">
        <v>162</v>
      </c>
      <c r="K745" s="3" t="s">
        <v>731</v>
      </c>
      <c r="L745" s="21">
        <v>0</v>
      </c>
      <c r="M745" s="21">
        <v>90</v>
      </c>
      <c r="N745" s="21">
        <v>0</v>
      </c>
      <c r="O745" s="21">
        <v>0</v>
      </c>
      <c r="P745" s="21">
        <v>25</v>
      </c>
      <c r="Q745" s="21">
        <v>0</v>
      </c>
      <c r="R745" s="21">
        <v>39</v>
      </c>
      <c r="S745" s="21">
        <v>0</v>
      </c>
      <c r="T745" s="21">
        <v>0</v>
      </c>
      <c r="U745" s="21">
        <v>0</v>
      </c>
      <c r="V745" s="21">
        <v>0</v>
      </c>
      <c r="W745" s="21">
        <v>0</v>
      </c>
      <c r="X745" s="18">
        <v>0</v>
      </c>
      <c r="Y745" s="18">
        <v>0</v>
      </c>
      <c r="Z745" s="18">
        <v>0</v>
      </c>
      <c r="AA745" s="18">
        <f>SUMIF([1]SA007!$C:$C,'SA007 2025.01-2026.05 '!$D745,[1]SA007!P:P)</f>
        <v>0</v>
      </c>
      <c r="AB745" s="18">
        <f>SUMIF([1]SA007!$C:$C,'SA007 2025.01-2026.05 '!$D745,[1]SA007!Q:Q)</f>
        <v>0</v>
      </c>
      <c r="AC745" s="19">
        <f t="shared" si="25"/>
        <v>154</v>
      </c>
      <c r="AD745" s="19">
        <f t="shared" si="26"/>
        <v>9.0588235294117645</v>
      </c>
      <c r="AG745" s="21">
        <f>SUMIF([1]SO003!$H:$H,'SA007 2025.01-2026.05 '!$D745,[1]SO003!AF:AF)</f>
        <v>0</v>
      </c>
      <c r="AH745" s="21">
        <f>SUMIF([1]SO003!$H:$H,'SA007 2025.01-2026.05 '!$D745,[1]SO003!AH:AH)</f>
        <v>0</v>
      </c>
      <c r="AI745" s="21">
        <f>SUMIF([1]SO003!$H:$H,'SA007 2025.01-2026.05 '!$D745,[1]SO003!AJ:AJ)</f>
        <v>0</v>
      </c>
    </row>
    <row r="746" spans="1:35" x14ac:dyDescent="0.55000000000000004">
      <c r="A746" s="2" t="s">
        <v>1030</v>
      </c>
      <c r="D746" s="22" t="s">
        <v>1293</v>
      </c>
      <c r="E746" s="2" t="s">
        <v>555</v>
      </c>
      <c r="F746" s="2" t="s">
        <v>555</v>
      </c>
      <c r="G746" s="3" t="s">
        <v>63</v>
      </c>
      <c r="H746" s="2" t="s">
        <v>199</v>
      </c>
      <c r="I746" s="17">
        <v>0.8</v>
      </c>
      <c r="J746" s="3">
        <v>1219</v>
      </c>
      <c r="K746" s="3" t="s">
        <v>1294</v>
      </c>
      <c r="L746" s="21">
        <v>0</v>
      </c>
      <c r="M746" s="21">
        <v>0</v>
      </c>
      <c r="N746" s="21">
        <v>0</v>
      </c>
      <c r="O746" s="21">
        <v>0</v>
      </c>
      <c r="P746" s="21">
        <v>0</v>
      </c>
      <c r="Q746" s="21">
        <v>0</v>
      </c>
      <c r="R746" s="21">
        <v>0</v>
      </c>
      <c r="S746" s="21">
        <v>0</v>
      </c>
      <c r="T746" s="21">
        <v>0</v>
      </c>
      <c r="U746" s="21">
        <v>0</v>
      </c>
      <c r="V746" s="21">
        <v>55</v>
      </c>
      <c r="W746" s="21">
        <v>0</v>
      </c>
      <c r="X746" s="18">
        <v>0</v>
      </c>
      <c r="Y746" s="18">
        <v>0</v>
      </c>
      <c r="Z746" s="18">
        <v>0</v>
      </c>
      <c r="AA746" s="18">
        <f>SUMIF([1]SA007!$C:$C,'SA007 2025.01-2026.05 '!$D746,[1]SA007!P:P)</f>
        <v>0</v>
      </c>
      <c r="AB746" s="18">
        <f>SUMIF([1]SA007!$C:$C,'SA007 2025.01-2026.05 '!$D746,[1]SA007!Q:Q)</f>
        <v>0</v>
      </c>
      <c r="AC746" s="19">
        <f t="shared" si="25"/>
        <v>55</v>
      </c>
      <c r="AD746" s="19">
        <f t="shared" si="26"/>
        <v>3.2352941176470589</v>
      </c>
      <c r="AG746" s="21">
        <f>SUMIF([1]SO003!$H:$H,'SA007 2025.01-2026.05 '!$D746,[1]SO003!AF:AF)</f>
        <v>0</v>
      </c>
      <c r="AH746" s="21">
        <f>SUMIF([1]SO003!$H:$H,'SA007 2025.01-2026.05 '!$D746,[1]SO003!AH:AH)</f>
        <v>0</v>
      </c>
      <c r="AI746" s="21">
        <f>SUMIF([1]SO003!$H:$H,'SA007 2025.01-2026.05 '!$D746,[1]SO003!AJ:AJ)</f>
        <v>0</v>
      </c>
    </row>
    <row r="747" spans="1:35" x14ac:dyDescent="0.55000000000000004">
      <c r="A747" s="2" t="s">
        <v>198</v>
      </c>
      <c r="D747" s="22" t="s">
        <v>1295</v>
      </c>
      <c r="E747" s="2" t="s">
        <v>555</v>
      </c>
      <c r="F747" s="2" t="s">
        <v>555</v>
      </c>
      <c r="G747" s="3" t="s">
        <v>63</v>
      </c>
      <c r="H747" s="2" t="s">
        <v>199</v>
      </c>
      <c r="I747" s="17">
        <v>1</v>
      </c>
      <c r="J747" s="3">
        <v>225</v>
      </c>
      <c r="K747" s="3" t="s">
        <v>1296</v>
      </c>
      <c r="L747" s="21">
        <v>1304</v>
      </c>
      <c r="M747" s="21">
        <v>522</v>
      </c>
      <c r="N747" s="21">
        <v>0</v>
      </c>
      <c r="O747" s="21">
        <v>0</v>
      </c>
      <c r="P747" s="21">
        <v>0</v>
      </c>
      <c r="Q747" s="21">
        <v>0</v>
      </c>
      <c r="R747" s="21">
        <v>0</v>
      </c>
      <c r="S747" s="21">
        <v>0</v>
      </c>
      <c r="T747" s="21">
        <v>0</v>
      </c>
      <c r="U747" s="21">
        <v>0</v>
      </c>
      <c r="V747" s="21">
        <v>0</v>
      </c>
      <c r="W747" s="21">
        <v>0</v>
      </c>
      <c r="X747" s="18">
        <v>0</v>
      </c>
      <c r="Y747" s="18">
        <v>0</v>
      </c>
      <c r="Z747" s="18">
        <v>0</v>
      </c>
      <c r="AA747" s="18">
        <f>SUMIF([1]SA007!$C:$C,'SA007 2025.01-2026.05 '!$D747,[1]SA007!P:P)</f>
        <v>0</v>
      </c>
      <c r="AB747" s="18">
        <f>SUMIF([1]SA007!$C:$C,'SA007 2025.01-2026.05 '!$D747,[1]SA007!Q:Q)</f>
        <v>0</v>
      </c>
      <c r="AC747" s="19">
        <f t="shared" si="25"/>
        <v>1826</v>
      </c>
      <c r="AD747" s="19">
        <f t="shared" si="26"/>
        <v>107.41176470588235</v>
      </c>
      <c r="AG747" s="21">
        <f>SUMIF([1]SO003!$H:$H,'SA007 2025.01-2026.05 '!$D747,[1]SO003!AF:AF)</f>
        <v>0</v>
      </c>
      <c r="AH747" s="21">
        <f>SUMIF([1]SO003!$H:$H,'SA007 2025.01-2026.05 '!$D747,[1]SO003!AH:AH)</f>
        <v>0</v>
      </c>
      <c r="AI747" s="21">
        <f>SUMIF([1]SO003!$H:$H,'SA007 2025.01-2026.05 '!$D747,[1]SO003!AJ:AJ)</f>
        <v>0</v>
      </c>
    </row>
    <row r="748" spans="1:35" x14ac:dyDescent="0.55000000000000004">
      <c r="A748" s="2" t="s">
        <v>1143</v>
      </c>
      <c r="D748" s="22" t="s">
        <v>1297</v>
      </c>
      <c r="E748" s="2" t="s">
        <v>555</v>
      </c>
      <c r="F748" s="2" t="s">
        <v>555</v>
      </c>
      <c r="G748" s="3" t="s">
        <v>63</v>
      </c>
      <c r="H748" s="2" t="s">
        <v>1145</v>
      </c>
      <c r="I748" s="17">
        <v>1.4</v>
      </c>
      <c r="J748" s="3">
        <v>1110</v>
      </c>
      <c r="K748" s="3" t="s">
        <v>1298</v>
      </c>
      <c r="L748" s="21">
        <v>0</v>
      </c>
      <c r="M748" s="21">
        <v>0</v>
      </c>
      <c r="N748" s="21">
        <v>0</v>
      </c>
      <c r="O748" s="21">
        <v>0</v>
      </c>
      <c r="P748" s="21">
        <v>0</v>
      </c>
      <c r="Q748" s="21">
        <v>0</v>
      </c>
      <c r="R748" s="21">
        <v>12</v>
      </c>
      <c r="S748" s="21">
        <v>0</v>
      </c>
      <c r="T748" s="21">
        <v>0</v>
      </c>
      <c r="U748" s="21">
        <v>0</v>
      </c>
      <c r="V748" s="21">
        <v>0</v>
      </c>
      <c r="W748" s="21">
        <v>0</v>
      </c>
      <c r="X748" s="18">
        <v>0</v>
      </c>
      <c r="Y748" s="18">
        <v>0</v>
      </c>
      <c r="Z748" s="18">
        <v>0</v>
      </c>
      <c r="AA748" s="18">
        <f>SUMIF([1]SA007!$C:$C,'SA007 2025.01-2026.05 '!$D748,[1]SA007!P:P)</f>
        <v>0</v>
      </c>
      <c r="AB748" s="18">
        <f>SUMIF([1]SA007!$C:$C,'SA007 2025.01-2026.05 '!$D748,[1]SA007!Q:Q)</f>
        <v>0</v>
      </c>
      <c r="AC748" s="19">
        <f t="shared" si="25"/>
        <v>12</v>
      </c>
      <c r="AD748" s="19">
        <f t="shared" si="26"/>
        <v>0.70588235294117652</v>
      </c>
      <c r="AG748" s="21">
        <f>SUMIF([1]SO003!$H:$H,'SA007 2025.01-2026.05 '!$D748,[1]SO003!AF:AF)</f>
        <v>0</v>
      </c>
      <c r="AH748" s="21">
        <f>SUMIF([1]SO003!$H:$H,'SA007 2025.01-2026.05 '!$D748,[1]SO003!AH:AH)</f>
        <v>0</v>
      </c>
      <c r="AI748" s="21">
        <f>SUMIF([1]SO003!$H:$H,'SA007 2025.01-2026.05 '!$D748,[1]SO003!AJ:AJ)</f>
        <v>0</v>
      </c>
    </row>
    <row r="749" spans="1:35" x14ac:dyDescent="0.55000000000000004">
      <c r="A749" s="2" t="s">
        <v>198</v>
      </c>
      <c r="D749" s="22" t="s">
        <v>1299</v>
      </c>
      <c r="E749" s="2" t="s">
        <v>555</v>
      </c>
      <c r="F749" s="2" t="s">
        <v>555</v>
      </c>
      <c r="G749" s="3" t="s">
        <v>63</v>
      </c>
      <c r="H749" s="2" t="s">
        <v>199</v>
      </c>
      <c r="I749" s="17">
        <v>1</v>
      </c>
      <c r="J749" s="3">
        <v>225</v>
      </c>
      <c r="K749" s="3" t="s">
        <v>1300</v>
      </c>
      <c r="L749" s="21">
        <v>0</v>
      </c>
      <c r="M749" s="21">
        <v>0</v>
      </c>
      <c r="N749" s="21">
        <v>167</v>
      </c>
      <c r="O749" s="21">
        <v>0</v>
      </c>
      <c r="P749" s="21">
        <v>0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  <c r="W749" s="21">
        <v>0</v>
      </c>
      <c r="X749" s="18">
        <v>0</v>
      </c>
      <c r="Y749" s="18">
        <v>0</v>
      </c>
      <c r="Z749" s="18">
        <v>0</v>
      </c>
      <c r="AA749" s="18">
        <f>SUMIF([1]SA007!$C:$C,'SA007 2025.01-2026.05 '!$D749,[1]SA007!P:P)</f>
        <v>0</v>
      </c>
      <c r="AB749" s="18">
        <f>SUMIF([1]SA007!$C:$C,'SA007 2025.01-2026.05 '!$D749,[1]SA007!Q:Q)</f>
        <v>0</v>
      </c>
      <c r="AC749" s="19">
        <f t="shared" si="25"/>
        <v>167</v>
      </c>
      <c r="AD749" s="19">
        <f t="shared" si="26"/>
        <v>9.8235294117647065</v>
      </c>
      <c r="AG749" s="21">
        <f>SUMIF([1]SO003!$H:$H,'SA007 2025.01-2026.05 '!$D749,[1]SO003!AF:AF)</f>
        <v>0</v>
      </c>
      <c r="AH749" s="21">
        <f>SUMIF([1]SO003!$H:$H,'SA007 2025.01-2026.05 '!$D749,[1]SO003!AH:AH)</f>
        <v>0</v>
      </c>
      <c r="AI749" s="21">
        <f>SUMIF([1]SO003!$H:$H,'SA007 2025.01-2026.05 '!$D749,[1]SO003!AJ:AJ)</f>
        <v>0</v>
      </c>
    </row>
    <row r="750" spans="1:35" x14ac:dyDescent="0.55000000000000004">
      <c r="A750" s="2" t="s">
        <v>1301</v>
      </c>
      <c r="D750" s="22" t="s">
        <v>1302</v>
      </c>
      <c r="E750" s="2" t="s">
        <v>1272</v>
      </c>
      <c r="F750" s="2" t="s">
        <v>1272</v>
      </c>
      <c r="G750" s="3" t="s">
        <v>63</v>
      </c>
      <c r="H750" s="2" t="s">
        <v>61</v>
      </c>
      <c r="I750" s="17">
        <v>2.6</v>
      </c>
      <c r="J750" s="3">
        <v>82</v>
      </c>
      <c r="K750" s="3" t="s">
        <v>731</v>
      </c>
      <c r="L750" s="21">
        <v>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  <c r="U750" s="21">
        <v>0</v>
      </c>
      <c r="V750" s="21">
        <v>118</v>
      </c>
      <c r="W750" s="21">
        <v>0</v>
      </c>
      <c r="X750" s="18">
        <v>0</v>
      </c>
      <c r="Y750" s="18">
        <v>0</v>
      </c>
      <c r="Z750" s="18">
        <v>0</v>
      </c>
      <c r="AA750" s="18">
        <f>SUMIF([1]SA007!$C:$C,'SA007 2025.01-2026.05 '!$D750,[1]SA007!P:P)</f>
        <v>0</v>
      </c>
      <c r="AB750" s="18">
        <f>SUMIF([1]SA007!$C:$C,'SA007 2025.01-2026.05 '!$D750,[1]SA007!Q:Q)</f>
        <v>0</v>
      </c>
      <c r="AC750" s="19">
        <f t="shared" si="25"/>
        <v>118</v>
      </c>
      <c r="AD750" s="19">
        <f t="shared" si="26"/>
        <v>6.9411764705882355</v>
      </c>
      <c r="AG750" s="21">
        <f>SUMIF([1]SO003!$H:$H,'SA007 2025.01-2026.05 '!$D750,[1]SO003!AF:AF)</f>
        <v>0</v>
      </c>
      <c r="AH750" s="21">
        <f>SUMIF([1]SO003!$H:$H,'SA007 2025.01-2026.05 '!$D750,[1]SO003!AH:AH)</f>
        <v>0</v>
      </c>
      <c r="AI750" s="21">
        <f>SUMIF([1]SO003!$H:$H,'SA007 2025.01-2026.05 '!$D750,[1]SO003!AJ:AJ)</f>
        <v>0</v>
      </c>
    </row>
    <row r="751" spans="1:35" x14ac:dyDescent="0.55000000000000004">
      <c r="A751" s="2" t="s">
        <v>389</v>
      </c>
      <c r="D751" s="22" t="s">
        <v>1303</v>
      </c>
      <c r="E751" s="2" t="s">
        <v>555</v>
      </c>
      <c r="F751" s="2" t="s">
        <v>555</v>
      </c>
      <c r="G751" s="3" t="s">
        <v>47</v>
      </c>
      <c r="H751" s="2" t="s">
        <v>321</v>
      </c>
      <c r="I751" s="17">
        <v>2</v>
      </c>
      <c r="J751" s="3">
        <v>136</v>
      </c>
      <c r="K751" s="3" t="s">
        <v>731</v>
      </c>
      <c r="L751" s="21">
        <v>0</v>
      </c>
      <c r="M751" s="21">
        <v>0</v>
      </c>
      <c r="N751" s="21">
        <v>46</v>
      </c>
      <c r="O751" s="21">
        <v>0</v>
      </c>
      <c r="P751" s="21">
        <v>0</v>
      </c>
      <c r="Q751" s="21">
        <v>0</v>
      </c>
      <c r="R751" s="21">
        <v>45</v>
      </c>
      <c r="S751" s="21">
        <v>0</v>
      </c>
      <c r="T751" s="21">
        <v>0</v>
      </c>
      <c r="U751" s="21">
        <v>0</v>
      </c>
      <c r="V751" s="21">
        <v>0</v>
      </c>
      <c r="W751" s="21">
        <v>0</v>
      </c>
      <c r="X751" s="18">
        <v>0</v>
      </c>
      <c r="Y751" s="18">
        <v>55</v>
      </c>
      <c r="Z751" s="18">
        <v>0</v>
      </c>
      <c r="AA751" s="18">
        <f>SUMIF([1]SA007!$C:$C,'SA007 2025.01-2026.05 '!$D751,[1]SA007!P:P)</f>
        <v>0</v>
      </c>
      <c r="AB751" s="18">
        <f>SUMIF([1]SA007!$C:$C,'SA007 2025.01-2026.05 '!$D751,[1]SA007!Q:Q)</f>
        <v>0</v>
      </c>
      <c r="AC751" s="19">
        <f t="shared" si="25"/>
        <v>146</v>
      </c>
      <c r="AD751" s="19">
        <f t="shared" si="26"/>
        <v>8.5882352941176467</v>
      </c>
      <c r="AG751" s="21">
        <f>SUMIF([1]SO003!$H:$H,'SA007 2025.01-2026.05 '!$D751,[1]SO003!AF:AF)</f>
        <v>0</v>
      </c>
      <c r="AH751" s="21">
        <f>SUMIF([1]SO003!$H:$H,'SA007 2025.01-2026.05 '!$D751,[1]SO003!AH:AH)</f>
        <v>0</v>
      </c>
      <c r="AI751" s="21">
        <f>SUMIF([1]SO003!$H:$H,'SA007 2025.01-2026.05 '!$D751,[1]SO003!AJ:AJ)</f>
        <v>0</v>
      </c>
    </row>
    <row r="752" spans="1:35" x14ac:dyDescent="0.55000000000000004">
      <c r="A752" s="2" t="s">
        <v>364</v>
      </c>
      <c r="D752" s="22" t="s">
        <v>1304</v>
      </c>
      <c r="E752" s="2" t="s">
        <v>1272</v>
      </c>
      <c r="F752" s="2" t="s">
        <v>1272</v>
      </c>
      <c r="G752" s="3" t="s">
        <v>47</v>
      </c>
      <c r="H752" s="2" t="s">
        <v>367</v>
      </c>
      <c r="I752" s="17">
        <v>2</v>
      </c>
      <c r="J752" s="3">
        <v>224</v>
      </c>
      <c r="K752" s="3" t="s">
        <v>1305</v>
      </c>
      <c r="L752" s="21">
        <v>0</v>
      </c>
      <c r="M752" s="21">
        <v>0</v>
      </c>
      <c r="N752" s="21">
        <v>0</v>
      </c>
      <c r="O752" s="21">
        <v>0</v>
      </c>
      <c r="P752" s="21">
        <v>0</v>
      </c>
      <c r="Q752" s="21">
        <v>0</v>
      </c>
      <c r="R752" s="21">
        <v>0</v>
      </c>
      <c r="S752" s="21">
        <v>0</v>
      </c>
      <c r="T752" s="21">
        <v>429</v>
      </c>
      <c r="U752" s="21">
        <v>0</v>
      </c>
      <c r="V752" s="21">
        <v>0</v>
      </c>
      <c r="W752" s="21">
        <v>0</v>
      </c>
      <c r="X752" s="18">
        <v>0</v>
      </c>
      <c r="Y752" s="18">
        <v>0</v>
      </c>
      <c r="Z752" s="18">
        <v>0</v>
      </c>
      <c r="AA752" s="18">
        <f>SUMIF([1]SA007!$C:$C,'SA007 2025.01-2026.05 '!$D752,[1]SA007!P:P)</f>
        <v>0</v>
      </c>
      <c r="AB752" s="18">
        <f>SUMIF([1]SA007!$C:$C,'SA007 2025.01-2026.05 '!$D752,[1]SA007!Q:Q)</f>
        <v>0</v>
      </c>
      <c r="AC752" s="19">
        <f t="shared" si="25"/>
        <v>429</v>
      </c>
      <c r="AD752" s="19">
        <f t="shared" si="26"/>
        <v>25.235294117647058</v>
      </c>
      <c r="AG752" s="21">
        <f>SUMIF([1]SO003!$H:$H,'SA007 2025.01-2026.05 '!$D752,[1]SO003!AF:AF)</f>
        <v>0</v>
      </c>
      <c r="AH752" s="21">
        <f>SUMIF([1]SO003!$H:$H,'SA007 2025.01-2026.05 '!$D752,[1]SO003!AH:AH)</f>
        <v>0</v>
      </c>
      <c r="AI752" s="21">
        <f>SUMIF([1]SO003!$H:$H,'SA007 2025.01-2026.05 '!$D752,[1]SO003!AJ:AJ)</f>
        <v>0</v>
      </c>
    </row>
    <row r="753" spans="1:35" x14ac:dyDescent="0.55000000000000004">
      <c r="A753" s="2" t="s">
        <v>500</v>
      </c>
      <c r="D753" s="22" t="s">
        <v>1306</v>
      </c>
      <c r="E753" s="2" t="s">
        <v>106</v>
      </c>
      <c r="F753" s="2" t="s">
        <v>106</v>
      </c>
      <c r="G753" s="3" t="s">
        <v>47</v>
      </c>
      <c r="H753" s="2" t="s">
        <v>469</v>
      </c>
      <c r="I753" s="17">
        <v>6</v>
      </c>
      <c r="J753" s="3">
        <v>142</v>
      </c>
      <c r="K753" s="3" t="s">
        <v>41</v>
      </c>
      <c r="L753" s="21">
        <v>0</v>
      </c>
      <c r="M753" s="21">
        <v>0</v>
      </c>
      <c r="N753" s="21">
        <v>0</v>
      </c>
      <c r="O753" s="21">
        <v>0</v>
      </c>
      <c r="P753" s="21">
        <v>0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4597</v>
      </c>
      <c r="W753" s="21">
        <v>0</v>
      </c>
      <c r="X753" s="18">
        <v>0</v>
      </c>
      <c r="Y753" s="18">
        <v>0</v>
      </c>
      <c r="Z753" s="18">
        <v>0</v>
      </c>
      <c r="AA753" s="18">
        <f>SUMIF([1]SA007!$C:$C,'SA007 2025.01-2026.05 '!$D753,[1]SA007!P:P)</f>
        <v>0</v>
      </c>
      <c r="AB753" s="18">
        <f>SUMIF([1]SA007!$C:$C,'SA007 2025.01-2026.05 '!$D753,[1]SA007!Q:Q)</f>
        <v>0</v>
      </c>
      <c r="AC753" s="19">
        <f t="shared" si="25"/>
        <v>4597</v>
      </c>
      <c r="AD753" s="19">
        <f t="shared" si="26"/>
        <v>270.41176470588238</v>
      </c>
      <c r="AG753" s="21">
        <f>SUMIF([1]SO003!$H:$H,'SA007 2025.01-2026.05 '!$D753,[1]SO003!AF:AF)</f>
        <v>0</v>
      </c>
      <c r="AH753" s="21">
        <f>SUMIF([1]SO003!$H:$H,'SA007 2025.01-2026.05 '!$D753,[1]SO003!AH:AH)</f>
        <v>0</v>
      </c>
      <c r="AI753" s="21">
        <f>SUMIF([1]SO003!$H:$H,'SA007 2025.01-2026.05 '!$D753,[1]SO003!AJ:AJ)</f>
        <v>0</v>
      </c>
    </row>
    <row r="754" spans="1:35" x14ac:dyDescent="0.55000000000000004">
      <c r="A754" s="2" t="s">
        <v>1030</v>
      </c>
      <c r="D754" s="22" t="s">
        <v>1307</v>
      </c>
      <c r="E754" s="2" t="s">
        <v>1272</v>
      </c>
      <c r="F754" s="2" t="s">
        <v>1272</v>
      </c>
      <c r="G754" s="3" t="s">
        <v>63</v>
      </c>
      <c r="H754" s="2" t="s">
        <v>199</v>
      </c>
      <c r="I754" s="17">
        <v>0.8</v>
      </c>
      <c r="J754" s="3">
        <v>95</v>
      </c>
      <c r="K754" s="3" t="s">
        <v>731</v>
      </c>
      <c r="L754" s="21">
        <v>0</v>
      </c>
      <c r="M754" s="21">
        <v>0</v>
      </c>
      <c r="N754" s="21">
        <v>0</v>
      </c>
      <c r="O754" s="21">
        <v>25</v>
      </c>
      <c r="P754" s="21">
        <v>0</v>
      </c>
      <c r="Q754" s="21">
        <v>0</v>
      </c>
      <c r="R754" s="21">
        <v>0</v>
      </c>
      <c r="S754" s="21">
        <v>0</v>
      </c>
      <c r="T754" s="21">
        <v>0</v>
      </c>
      <c r="U754" s="21">
        <v>0</v>
      </c>
      <c r="V754" s="21">
        <v>0</v>
      </c>
      <c r="W754" s="21">
        <v>0</v>
      </c>
      <c r="X754" s="18">
        <v>0</v>
      </c>
      <c r="Y754" s="18">
        <v>0</v>
      </c>
      <c r="Z754" s="18">
        <v>0</v>
      </c>
      <c r="AA754" s="18">
        <f>SUMIF([1]SA007!$C:$C,'SA007 2025.01-2026.05 '!$D754,[1]SA007!P:P)</f>
        <v>0</v>
      </c>
      <c r="AB754" s="18">
        <f>SUMIF([1]SA007!$C:$C,'SA007 2025.01-2026.05 '!$D754,[1]SA007!Q:Q)</f>
        <v>0</v>
      </c>
      <c r="AC754" s="19">
        <f t="shared" si="25"/>
        <v>25</v>
      </c>
      <c r="AD754" s="19">
        <f t="shared" si="26"/>
        <v>1.4705882352941178</v>
      </c>
      <c r="AG754" s="21">
        <f>SUMIF([1]SO003!$H:$H,'SA007 2025.01-2026.05 '!$D754,[1]SO003!AF:AF)</f>
        <v>0</v>
      </c>
      <c r="AH754" s="21">
        <f>SUMIF([1]SO003!$H:$H,'SA007 2025.01-2026.05 '!$D754,[1]SO003!AH:AH)</f>
        <v>0</v>
      </c>
      <c r="AI754" s="21">
        <f>SUMIF([1]SO003!$H:$H,'SA007 2025.01-2026.05 '!$D754,[1]SO003!AJ:AJ)</f>
        <v>0</v>
      </c>
    </row>
    <row r="755" spans="1:35" x14ac:dyDescent="0.55000000000000004">
      <c r="A755" s="2" t="s">
        <v>1126</v>
      </c>
      <c r="D755" s="22" t="s">
        <v>1308</v>
      </c>
      <c r="E755" s="2" t="s">
        <v>555</v>
      </c>
      <c r="F755" s="2" t="s">
        <v>556</v>
      </c>
      <c r="G755" s="3" t="s">
        <v>47</v>
      </c>
      <c r="H755" s="2" t="s">
        <v>402</v>
      </c>
      <c r="I755" s="17">
        <v>1.4</v>
      </c>
      <c r="J755" s="3">
        <v>80</v>
      </c>
      <c r="K755" s="3" t="s">
        <v>731</v>
      </c>
      <c r="L755" s="21">
        <v>0</v>
      </c>
      <c r="M755" s="21">
        <v>21</v>
      </c>
      <c r="N755" s="21">
        <v>0</v>
      </c>
      <c r="O755" s="21">
        <v>0</v>
      </c>
      <c r="P755" s="21">
        <v>0</v>
      </c>
      <c r="Q755" s="21">
        <v>0</v>
      </c>
      <c r="R755" s="21">
        <v>0</v>
      </c>
      <c r="S755" s="21">
        <v>0</v>
      </c>
      <c r="T755" s="21">
        <v>0</v>
      </c>
      <c r="U755" s="21">
        <v>0</v>
      </c>
      <c r="V755" s="21">
        <v>0</v>
      </c>
      <c r="W755" s="21">
        <v>0</v>
      </c>
      <c r="X755" s="18">
        <v>0</v>
      </c>
      <c r="Y755" s="18">
        <v>0</v>
      </c>
      <c r="Z755" s="18">
        <v>0</v>
      </c>
      <c r="AA755" s="18">
        <f>SUMIF([1]SA007!$C:$C,'SA007 2025.01-2026.05 '!$D755,[1]SA007!P:P)</f>
        <v>0</v>
      </c>
      <c r="AB755" s="18">
        <f>SUMIF([1]SA007!$C:$C,'SA007 2025.01-2026.05 '!$D755,[1]SA007!Q:Q)</f>
        <v>0</v>
      </c>
      <c r="AC755" s="19">
        <f t="shared" si="25"/>
        <v>21</v>
      </c>
      <c r="AD755" s="19">
        <f t="shared" si="26"/>
        <v>1.2352941176470589</v>
      </c>
      <c r="AG755" s="21">
        <f>SUMIF([1]SO003!$H:$H,'SA007 2025.01-2026.05 '!$D755,[1]SO003!AF:AF)</f>
        <v>0</v>
      </c>
      <c r="AH755" s="21">
        <f>SUMIF([1]SO003!$H:$H,'SA007 2025.01-2026.05 '!$D755,[1]SO003!AH:AH)</f>
        <v>0</v>
      </c>
      <c r="AI755" s="21">
        <f>SUMIF([1]SO003!$H:$H,'SA007 2025.01-2026.05 '!$D755,[1]SO003!AJ:AJ)</f>
        <v>0</v>
      </c>
    </row>
    <row r="756" spans="1:35" x14ac:dyDescent="0.55000000000000004">
      <c r="A756" s="2" t="s">
        <v>389</v>
      </c>
      <c r="D756" s="22" t="s">
        <v>1309</v>
      </c>
      <c r="E756" s="2" t="s">
        <v>555</v>
      </c>
      <c r="F756" s="2" t="s">
        <v>556</v>
      </c>
      <c r="G756" s="3" t="s">
        <v>47</v>
      </c>
      <c r="H756" s="2" t="s">
        <v>321</v>
      </c>
      <c r="I756" s="17">
        <v>2</v>
      </c>
      <c r="J756" s="3">
        <v>292</v>
      </c>
      <c r="K756" s="3" t="s">
        <v>731</v>
      </c>
      <c r="L756" s="21">
        <v>0</v>
      </c>
      <c r="M756" s="21">
        <v>0</v>
      </c>
      <c r="N756" s="21">
        <v>115</v>
      </c>
      <c r="O756" s="21">
        <v>0</v>
      </c>
      <c r="P756" s="21">
        <v>0</v>
      </c>
      <c r="Q756" s="21">
        <v>0</v>
      </c>
      <c r="R756" s="21">
        <v>0</v>
      </c>
      <c r="S756" s="21">
        <v>0</v>
      </c>
      <c r="T756" s="21">
        <v>0</v>
      </c>
      <c r="U756" s="21">
        <v>0</v>
      </c>
      <c r="V756" s="21">
        <v>0</v>
      </c>
      <c r="W756" s="21">
        <v>0</v>
      </c>
      <c r="X756" s="18">
        <v>0</v>
      </c>
      <c r="Y756" s="18">
        <v>0</v>
      </c>
      <c r="Z756" s="18">
        <v>0</v>
      </c>
      <c r="AA756" s="18">
        <f>SUMIF([1]SA007!$C:$C,'SA007 2025.01-2026.05 '!$D756,[1]SA007!P:P)</f>
        <v>0</v>
      </c>
      <c r="AB756" s="18">
        <f>SUMIF([1]SA007!$C:$C,'SA007 2025.01-2026.05 '!$D756,[1]SA007!Q:Q)</f>
        <v>0</v>
      </c>
      <c r="AC756" s="19">
        <f t="shared" si="25"/>
        <v>115</v>
      </c>
      <c r="AD756" s="19">
        <f t="shared" si="26"/>
        <v>6.7647058823529411</v>
      </c>
      <c r="AG756" s="21">
        <f>SUMIF([1]SO003!$H:$H,'SA007 2025.01-2026.05 '!$D756,[1]SO003!AF:AF)</f>
        <v>0</v>
      </c>
      <c r="AH756" s="21">
        <f>SUMIF([1]SO003!$H:$H,'SA007 2025.01-2026.05 '!$D756,[1]SO003!AH:AH)</f>
        <v>0</v>
      </c>
      <c r="AI756" s="21">
        <f>SUMIF([1]SO003!$H:$H,'SA007 2025.01-2026.05 '!$D756,[1]SO003!AJ:AJ)</f>
        <v>0</v>
      </c>
    </row>
    <row r="757" spans="1:35" x14ac:dyDescent="0.55000000000000004">
      <c r="A757" s="2" t="s">
        <v>1077</v>
      </c>
      <c r="D757" s="22" t="s">
        <v>1310</v>
      </c>
      <c r="E757" s="2" t="s">
        <v>555</v>
      </c>
      <c r="F757" s="2" t="s">
        <v>556</v>
      </c>
      <c r="G757" s="3" t="s">
        <v>47</v>
      </c>
      <c r="H757" s="2" t="s">
        <v>213</v>
      </c>
      <c r="I757" s="17">
        <v>3.6</v>
      </c>
      <c r="J757" s="3">
        <v>420</v>
      </c>
      <c r="K757" s="3" t="s">
        <v>731</v>
      </c>
      <c r="L757" s="21">
        <v>0</v>
      </c>
      <c r="M757" s="21">
        <v>0</v>
      </c>
      <c r="N757" s="21">
        <v>146</v>
      </c>
      <c r="O757" s="21">
        <v>0</v>
      </c>
      <c r="P757" s="21">
        <v>148</v>
      </c>
      <c r="Q757" s="21">
        <v>0</v>
      </c>
      <c r="R757" s="21">
        <v>296</v>
      </c>
      <c r="S757" s="21">
        <v>0</v>
      </c>
      <c r="T757" s="21">
        <v>0</v>
      </c>
      <c r="U757" s="21">
        <v>0</v>
      </c>
      <c r="V757" s="21">
        <v>0</v>
      </c>
      <c r="W757" s="21">
        <v>0</v>
      </c>
      <c r="X757" s="18">
        <v>0</v>
      </c>
      <c r="Y757" s="18">
        <v>0</v>
      </c>
      <c r="Z757" s="18">
        <v>0</v>
      </c>
      <c r="AA757" s="18">
        <f>SUMIF([1]SA007!$C:$C,'SA007 2025.01-2026.05 '!$D757,[1]SA007!P:P)</f>
        <v>0</v>
      </c>
      <c r="AB757" s="18">
        <f>SUMIF([1]SA007!$C:$C,'SA007 2025.01-2026.05 '!$D757,[1]SA007!Q:Q)</f>
        <v>0</v>
      </c>
      <c r="AC757" s="19">
        <f t="shared" si="25"/>
        <v>590</v>
      </c>
      <c r="AD757" s="19">
        <f t="shared" si="26"/>
        <v>34.705882352941174</v>
      </c>
      <c r="AG757" s="21">
        <f>SUMIF([1]SO003!$H:$H,'SA007 2025.01-2026.05 '!$D757,[1]SO003!AF:AF)</f>
        <v>0</v>
      </c>
      <c r="AH757" s="21">
        <f>SUMIF([1]SO003!$H:$H,'SA007 2025.01-2026.05 '!$D757,[1]SO003!AH:AH)</f>
        <v>0</v>
      </c>
      <c r="AI757" s="21">
        <f>SUMIF([1]SO003!$H:$H,'SA007 2025.01-2026.05 '!$D757,[1]SO003!AJ:AJ)</f>
        <v>0</v>
      </c>
    </row>
    <row r="758" spans="1:35" x14ac:dyDescent="0.55000000000000004">
      <c r="A758" s="2" t="s">
        <v>1228</v>
      </c>
      <c r="D758" s="22" t="s">
        <v>1311</v>
      </c>
      <c r="E758" s="2" t="s">
        <v>555</v>
      </c>
      <c r="F758" s="2" t="s">
        <v>556</v>
      </c>
      <c r="G758" s="3" t="s">
        <v>47</v>
      </c>
      <c r="H758" s="2" t="s">
        <v>1312</v>
      </c>
      <c r="I758" s="17">
        <v>2.2999999999999998</v>
      </c>
      <c r="J758" s="3">
        <v>1219</v>
      </c>
      <c r="K758" s="3" t="s">
        <v>1313</v>
      </c>
      <c r="L758" s="21">
        <v>0</v>
      </c>
      <c r="M758" s="21">
        <v>0</v>
      </c>
      <c r="N758" s="21">
        <v>0</v>
      </c>
      <c r="O758" s="21">
        <v>0</v>
      </c>
      <c r="P758" s="21">
        <v>0</v>
      </c>
      <c r="Q758" s="21">
        <v>0</v>
      </c>
      <c r="R758" s="21">
        <v>95</v>
      </c>
      <c r="S758" s="21">
        <v>94</v>
      </c>
      <c r="T758" s="21">
        <v>120</v>
      </c>
      <c r="U758" s="21">
        <v>119</v>
      </c>
      <c r="V758" s="21">
        <v>0</v>
      </c>
      <c r="W758" s="21">
        <v>0</v>
      </c>
      <c r="X758" s="18">
        <v>0</v>
      </c>
      <c r="Y758" s="18">
        <v>0</v>
      </c>
      <c r="Z758" s="18">
        <v>0</v>
      </c>
      <c r="AA758" s="18">
        <f>SUMIF([1]SA007!$C:$C,'SA007 2025.01-2026.05 '!$D758,[1]SA007!P:P)</f>
        <v>0</v>
      </c>
      <c r="AB758" s="18">
        <f>SUMIF([1]SA007!$C:$C,'SA007 2025.01-2026.05 '!$D758,[1]SA007!Q:Q)</f>
        <v>0</v>
      </c>
      <c r="AC758" s="19">
        <f t="shared" si="25"/>
        <v>428</v>
      </c>
      <c r="AD758" s="19">
        <f t="shared" si="26"/>
        <v>25.176470588235293</v>
      </c>
      <c r="AG758" s="21">
        <f>SUMIF([1]SO003!$H:$H,'SA007 2025.01-2026.05 '!$D758,[1]SO003!AF:AF)</f>
        <v>0</v>
      </c>
      <c r="AH758" s="21">
        <f>SUMIF([1]SO003!$H:$H,'SA007 2025.01-2026.05 '!$D758,[1]SO003!AH:AH)</f>
        <v>0</v>
      </c>
      <c r="AI758" s="21">
        <f>SUMIF([1]SO003!$H:$H,'SA007 2025.01-2026.05 '!$D758,[1]SO003!AJ:AJ)</f>
        <v>0</v>
      </c>
    </row>
    <row r="759" spans="1:35" x14ac:dyDescent="0.55000000000000004">
      <c r="A759" s="2" t="s">
        <v>1228</v>
      </c>
      <c r="D759" s="22" t="s">
        <v>1314</v>
      </c>
      <c r="E759" s="2" t="s">
        <v>555</v>
      </c>
      <c r="F759" s="2" t="s">
        <v>556</v>
      </c>
      <c r="G759" s="3" t="s">
        <v>47</v>
      </c>
      <c r="H759" s="2" t="s">
        <v>1312</v>
      </c>
      <c r="I759" s="17">
        <v>2.2999999999999998</v>
      </c>
      <c r="J759" s="3">
        <v>128</v>
      </c>
      <c r="K759" s="3" t="s">
        <v>731</v>
      </c>
      <c r="L759" s="21">
        <v>0</v>
      </c>
      <c r="M759" s="21">
        <v>0</v>
      </c>
      <c r="N759" s="21">
        <v>0</v>
      </c>
      <c r="O759" s="21">
        <v>0</v>
      </c>
      <c r="P759" s="21">
        <v>0</v>
      </c>
      <c r="Q759" s="21">
        <v>0</v>
      </c>
      <c r="R759" s="21">
        <v>283</v>
      </c>
      <c r="S759" s="21">
        <v>0</v>
      </c>
      <c r="T759" s="21">
        <v>0</v>
      </c>
      <c r="U759" s="21">
        <v>0</v>
      </c>
      <c r="V759" s="21">
        <v>81</v>
      </c>
      <c r="W759" s="21">
        <v>0</v>
      </c>
      <c r="X759" s="18">
        <v>0</v>
      </c>
      <c r="Y759" s="18">
        <v>0</v>
      </c>
      <c r="Z759" s="18">
        <v>0</v>
      </c>
      <c r="AA759" s="18">
        <f>SUMIF([1]SA007!$C:$C,'SA007 2025.01-2026.05 '!$D759,[1]SA007!P:P)</f>
        <v>0</v>
      </c>
      <c r="AB759" s="18">
        <f>SUMIF([1]SA007!$C:$C,'SA007 2025.01-2026.05 '!$D759,[1]SA007!Q:Q)</f>
        <v>0</v>
      </c>
      <c r="AC759" s="19">
        <f t="shared" si="25"/>
        <v>364</v>
      </c>
      <c r="AD759" s="19">
        <f t="shared" si="26"/>
        <v>21.411764705882351</v>
      </c>
      <c r="AG759" s="21">
        <f>SUMIF([1]SO003!$H:$H,'SA007 2025.01-2026.05 '!$D759,[1]SO003!AF:AF)</f>
        <v>0</v>
      </c>
      <c r="AH759" s="21">
        <f>SUMIF([1]SO003!$H:$H,'SA007 2025.01-2026.05 '!$D759,[1]SO003!AH:AH)</f>
        <v>0</v>
      </c>
      <c r="AI759" s="21">
        <f>SUMIF([1]SO003!$H:$H,'SA007 2025.01-2026.05 '!$D759,[1]SO003!AJ:AJ)</f>
        <v>0</v>
      </c>
    </row>
    <row r="760" spans="1:35" x14ac:dyDescent="0.55000000000000004">
      <c r="A760" s="2" t="s">
        <v>1228</v>
      </c>
      <c r="D760" s="22" t="s">
        <v>1315</v>
      </c>
      <c r="E760" s="2" t="s">
        <v>555</v>
      </c>
      <c r="F760" s="2" t="s">
        <v>556</v>
      </c>
      <c r="G760" s="3" t="s">
        <v>47</v>
      </c>
      <c r="H760" s="2" t="s">
        <v>1316</v>
      </c>
      <c r="I760" s="17">
        <v>2.2999999999999998</v>
      </c>
      <c r="J760" s="3">
        <v>55</v>
      </c>
      <c r="K760" s="3" t="s">
        <v>1317</v>
      </c>
      <c r="L760" s="21">
        <v>0</v>
      </c>
      <c r="M760" s="21">
        <v>0</v>
      </c>
      <c r="N760" s="21">
        <v>0</v>
      </c>
      <c r="O760" s="21">
        <v>0</v>
      </c>
      <c r="P760" s="21">
        <v>0</v>
      </c>
      <c r="Q760" s="21">
        <v>0</v>
      </c>
      <c r="R760" s="21">
        <v>0</v>
      </c>
      <c r="S760" s="21">
        <v>58</v>
      </c>
      <c r="T760" s="21">
        <v>0</v>
      </c>
      <c r="U760" s="21">
        <v>0</v>
      </c>
      <c r="V760" s="21">
        <v>159</v>
      </c>
      <c r="W760" s="21">
        <v>0</v>
      </c>
      <c r="X760" s="18">
        <v>0</v>
      </c>
      <c r="Y760" s="18">
        <v>0</v>
      </c>
      <c r="Z760" s="18">
        <v>0</v>
      </c>
      <c r="AA760" s="18">
        <f>SUMIF([1]SA007!$C:$C,'SA007 2025.01-2026.05 '!$D760,[1]SA007!P:P)</f>
        <v>0</v>
      </c>
      <c r="AB760" s="18">
        <f>SUMIF([1]SA007!$C:$C,'SA007 2025.01-2026.05 '!$D760,[1]SA007!Q:Q)</f>
        <v>0</v>
      </c>
      <c r="AC760" s="19">
        <f t="shared" si="25"/>
        <v>217</v>
      </c>
      <c r="AD760" s="19">
        <f t="shared" si="26"/>
        <v>12.764705882352942</v>
      </c>
      <c r="AG760" s="21">
        <f>SUMIF([1]SO003!$H:$H,'SA007 2025.01-2026.05 '!$D760,[1]SO003!AF:AF)</f>
        <v>0</v>
      </c>
      <c r="AH760" s="21">
        <f>SUMIF([1]SO003!$H:$H,'SA007 2025.01-2026.05 '!$D760,[1]SO003!AH:AH)</f>
        <v>0</v>
      </c>
      <c r="AI760" s="21">
        <f>SUMIF([1]SO003!$H:$H,'SA007 2025.01-2026.05 '!$D760,[1]SO003!AJ:AJ)</f>
        <v>0</v>
      </c>
    </row>
    <row r="761" spans="1:35" x14ac:dyDescent="0.55000000000000004">
      <c r="A761" s="2" t="s">
        <v>1228</v>
      </c>
      <c r="D761" s="22" t="s">
        <v>1318</v>
      </c>
      <c r="E761" s="2" t="s">
        <v>555</v>
      </c>
      <c r="F761" s="2" t="s">
        <v>556</v>
      </c>
      <c r="G761" s="3" t="s">
        <v>47</v>
      </c>
      <c r="H761" s="2" t="s">
        <v>1312</v>
      </c>
      <c r="I761" s="17">
        <v>2.2999999999999998</v>
      </c>
      <c r="J761" s="3">
        <v>75</v>
      </c>
      <c r="K761" s="3" t="s">
        <v>731</v>
      </c>
      <c r="L761" s="21">
        <v>0</v>
      </c>
      <c r="M761" s="21">
        <v>0</v>
      </c>
      <c r="N761" s="21">
        <v>0</v>
      </c>
      <c r="O761" s="21">
        <v>0</v>
      </c>
      <c r="P761" s="21">
        <v>0</v>
      </c>
      <c r="Q761" s="21">
        <v>0</v>
      </c>
      <c r="R761" s="21">
        <v>0</v>
      </c>
      <c r="S761" s="21">
        <v>165</v>
      </c>
      <c r="T761" s="21">
        <v>170</v>
      </c>
      <c r="U761" s="21">
        <v>169</v>
      </c>
      <c r="V761" s="21">
        <v>0</v>
      </c>
      <c r="W761" s="21">
        <v>0</v>
      </c>
      <c r="X761" s="18">
        <v>0</v>
      </c>
      <c r="Y761" s="18">
        <v>0</v>
      </c>
      <c r="Z761" s="18">
        <v>0</v>
      </c>
      <c r="AA761" s="18">
        <f>SUMIF([1]SA007!$C:$C,'SA007 2025.01-2026.05 '!$D761,[1]SA007!P:P)</f>
        <v>0</v>
      </c>
      <c r="AB761" s="18">
        <f>SUMIF([1]SA007!$C:$C,'SA007 2025.01-2026.05 '!$D761,[1]SA007!Q:Q)</f>
        <v>0</v>
      </c>
      <c r="AC761" s="19">
        <f t="shared" si="25"/>
        <v>504</v>
      </c>
      <c r="AD761" s="19">
        <f t="shared" si="26"/>
        <v>29.647058823529413</v>
      </c>
      <c r="AG761" s="21">
        <f>SUMIF([1]SO003!$H:$H,'SA007 2025.01-2026.05 '!$D761,[1]SO003!AF:AF)</f>
        <v>0</v>
      </c>
      <c r="AH761" s="21">
        <f>SUMIF([1]SO003!$H:$H,'SA007 2025.01-2026.05 '!$D761,[1]SO003!AH:AH)</f>
        <v>0</v>
      </c>
      <c r="AI761" s="21">
        <f>SUMIF([1]SO003!$H:$H,'SA007 2025.01-2026.05 '!$D761,[1]SO003!AJ:AJ)</f>
        <v>0</v>
      </c>
    </row>
    <row r="762" spans="1:35" x14ac:dyDescent="0.55000000000000004">
      <c r="A762" s="2" t="s">
        <v>1228</v>
      </c>
      <c r="D762" s="22" t="s">
        <v>1319</v>
      </c>
      <c r="E762" s="2" t="s">
        <v>555</v>
      </c>
      <c r="F762" s="2" t="s">
        <v>556</v>
      </c>
      <c r="G762" s="3" t="s">
        <v>47</v>
      </c>
      <c r="H762" s="2" t="s">
        <v>1312</v>
      </c>
      <c r="I762" s="17">
        <v>2.2999999999999998</v>
      </c>
      <c r="J762" s="3">
        <v>85</v>
      </c>
      <c r="K762" s="3" t="s">
        <v>731</v>
      </c>
      <c r="L762" s="21">
        <v>0</v>
      </c>
      <c r="M762" s="21">
        <v>0</v>
      </c>
      <c r="N762" s="21">
        <v>0</v>
      </c>
      <c r="O762" s="21">
        <v>0</v>
      </c>
      <c r="P762" s="21">
        <v>0</v>
      </c>
      <c r="Q762" s="21">
        <v>0</v>
      </c>
      <c r="R762" s="21">
        <v>224</v>
      </c>
      <c r="S762" s="21">
        <v>0</v>
      </c>
      <c r="T762" s="21">
        <v>0</v>
      </c>
      <c r="U762" s="21">
        <v>0</v>
      </c>
      <c r="V762" s="21">
        <v>62</v>
      </c>
      <c r="W762" s="21">
        <v>0</v>
      </c>
      <c r="X762" s="18">
        <v>0</v>
      </c>
      <c r="Y762" s="18">
        <v>0</v>
      </c>
      <c r="Z762" s="18">
        <v>0</v>
      </c>
      <c r="AA762" s="18">
        <f>SUMIF([1]SA007!$C:$C,'SA007 2025.01-2026.05 '!$D762,[1]SA007!P:P)</f>
        <v>0</v>
      </c>
      <c r="AB762" s="18">
        <f>SUMIF([1]SA007!$C:$C,'SA007 2025.01-2026.05 '!$D762,[1]SA007!Q:Q)</f>
        <v>0</v>
      </c>
      <c r="AC762" s="19">
        <f t="shared" si="25"/>
        <v>286</v>
      </c>
      <c r="AD762" s="19">
        <f t="shared" si="26"/>
        <v>16.823529411764707</v>
      </c>
      <c r="AG762" s="21">
        <f>SUMIF([1]SO003!$H:$H,'SA007 2025.01-2026.05 '!$D762,[1]SO003!AF:AF)</f>
        <v>0</v>
      </c>
      <c r="AH762" s="21">
        <f>SUMIF([1]SO003!$H:$H,'SA007 2025.01-2026.05 '!$D762,[1]SO003!AH:AH)</f>
        <v>0</v>
      </c>
      <c r="AI762" s="21">
        <f>SUMIF([1]SO003!$H:$H,'SA007 2025.01-2026.05 '!$D762,[1]SO003!AJ:AJ)</f>
        <v>0</v>
      </c>
    </row>
    <row r="763" spans="1:35" x14ac:dyDescent="0.55000000000000004">
      <c r="A763" s="2" t="s">
        <v>1228</v>
      </c>
      <c r="D763" s="22" t="s">
        <v>1320</v>
      </c>
      <c r="E763" s="2" t="s">
        <v>1272</v>
      </c>
      <c r="F763" s="2" t="s">
        <v>1272</v>
      </c>
      <c r="G763" s="3" t="s">
        <v>47</v>
      </c>
      <c r="H763" s="2" t="s">
        <v>50</v>
      </c>
      <c r="I763" s="17">
        <v>2.2999999999999998</v>
      </c>
      <c r="J763" s="3">
        <v>1219</v>
      </c>
      <c r="K763" s="3" t="s">
        <v>1321</v>
      </c>
      <c r="L763" s="21">
        <v>0</v>
      </c>
      <c r="M763" s="21">
        <v>0</v>
      </c>
      <c r="N763" s="21">
        <v>0</v>
      </c>
      <c r="O763" s="21">
        <v>244</v>
      </c>
      <c r="P763" s="21">
        <v>0</v>
      </c>
      <c r="Q763" s="21">
        <v>0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  <c r="W763" s="21">
        <v>0</v>
      </c>
      <c r="X763" s="18">
        <v>0</v>
      </c>
      <c r="Y763" s="18">
        <v>0</v>
      </c>
      <c r="Z763" s="18">
        <v>0</v>
      </c>
      <c r="AA763" s="18">
        <f>SUMIF([1]SA007!$C:$C,'SA007 2025.01-2026.05 '!$D763,[1]SA007!P:P)</f>
        <v>0</v>
      </c>
      <c r="AB763" s="18">
        <f>SUMIF([1]SA007!$C:$C,'SA007 2025.01-2026.05 '!$D763,[1]SA007!Q:Q)</f>
        <v>0</v>
      </c>
      <c r="AC763" s="19">
        <f t="shared" si="25"/>
        <v>244</v>
      </c>
      <c r="AD763" s="19">
        <f t="shared" si="26"/>
        <v>14.352941176470589</v>
      </c>
      <c r="AG763" s="21">
        <f>SUMIF([1]SO003!$H:$H,'SA007 2025.01-2026.05 '!$D763,[1]SO003!AF:AF)</f>
        <v>0</v>
      </c>
      <c r="AH763" s="21">
        <f>SUMIF([1]SO003!$H:$H,'SA007 2025.01-2026.05 '!$D763,[1]SO003!AH:AH)</f>
        <v>0</v>
      </c>
      <c r="AI763" s="21">
        <f>SUMIF([1]SO003!$H:$H,'SA007 2025.01-2026.05 '!$D763,[1]SO003!AJ:AJ)</f>
        <v>0</v>
      </c>
    </row>
    <row r="764" spans="1:35" x14ac:dyDescent="0.55000000000000004">
      <c r="A764" s="2" t="s">
        <v>467</v>
      </c>
      <c r="D764" s="22" t="s">
        <v>1322</v>
      </c>
      <c r="E764" s="2" t="s">
        <v>555</v>
      </c>
      <c r="F764" s="2" t="s">
        <v>730</v>
      </c>
      <c r="G764" s="3" t="s">
        <v>47</v>
      </c>
      <c r="H764" s="2" t="s">
        <v>1131</v>
      </c>
      <c r="I764" s="17">
        <v>4</v>
      </c>
      <c r="J764" s="3">
        <v>67</v>
      </c>
      <c r="K764" s="3" t="s">
        <v>731</v>
      </c>
      <c r="L764" s="21">
        <v>0</v>
      </c>
      <c r="M764" s="21">
        <v>0</v>
      </c>
      <c r="N764" s="21">
        <v>0</v>
      </c>
      <c r="O764" s="21">
        <v>0</v>
      </c>
      <c r="P764" s="21">
        <v>0</v>
      </c>
      <c r="Q764" s="21">
        <v>0</v>
      </c>
      <c r="R764" s="21">
        <v>0</v>
      </c>
      <c r="S764" s="21">
        <v>0</v>
      </c>
      <c r="T764" s="21">
        <v>0</v>
      </c>
      <c r="U764" s="21">
        <v>0</v>
      </c>
      <c r="V764" s="21">
        <v>85</v>
      </c>
      <c r="W764" s="21">
        <v>0</v>
      </c>
      <c r="X764" s="18">
        <v>0</v>
      </c>
      <c r="Y764" s="18">
        <v>0</v>
      </c>
      <c r="Z764" s="18">
        <v>0</v>
      </c>
      <c r="AA764" s="18">
        <f>SUMIF([1]SA007!$C:$C,'SA007 2025.01-2026.05 '!$D764,[1]SA007!P:P)</f>
        <v>0</v>
      </c>
      <c r="AB764" s="18">
        <f>SUMIF([1]SA007!$C:$C,'SA007 2025.01-2026.05 '!$D764,[1]SA007!Q:Q)</f>
        <v>0</v>
      </c>
      <c r="AC764" s="19">
        <f t="shared" si="25"/>
        <v>85</v>
      </c>
      <c r="AD764" s="19">
        <f t="shared" si="26"/>
        <v>5</v>
      </c>
      <c r="AG764" s="21">
        <f>SUMIF([1]SO003!$H:$H,'SA007 2025.01-2026.05 '!$D764,[1]SO003!AF:AF)</f>
        <v>0</v>
      </c>
      <c r="AH764" s="21">
        <f>SUMIF([1]SO003!$H:$H,'SA007 2025.01-2026.05 '!$D764,[1]SO003!AH:AH)</f>
        <v>0</v>
      </c>
      <c r="AI764" s="21">
        <f>SUMIF([1]SO003!$H:$H,'SA007 2025.01-2026.05 '!$D764,[1]SO003!AJ:AJ)</f>
        <v>0</v>
      </c>
    </row>
    <row r="765" spans="1:35" x14ac:dyDescent="0.55000000000000004">
      <c r="A765" s="2" t="s">
        <v>389</v>
      </c>
      <c r="D765" s="22" t="s">
        <v>1323</v>
      </c>
      <c r="E765" s="2" t="s">
        <v>555</v>
      </c>
      <c r="F765" s="2" t="s">
        <v>1135</v>
      </c>
      <c r="G765" s="3" t="s">
        <v>47</v>
      </c>
      <c r="H765" s="2" t="s">
        <v>321</v>
      </c>
      <c r="I765" s="17">
        <v>2</v>
      </c>
      <c r="J765" s="3">
        <v>66</v>
      </c>
      <c r="K765" s="3" t="s">
        <v>731</v>
      </c>
      <c r="L765" s="21">
        <v>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1">
        <v>0</v>
      </c>
      <c r="U765" s="21">
        <v>0</v>
      </c>
      <c r="V765" s="21">
        <v>0</v>
      </c>
      <c r="W765" s="21">
        <v>75</v>
      </c>
      <c r="X765" s="18">
        <v>315</v>
      </c>
      <c r="Y765" s="18">
        <v>254</v>
      </c>
      <c r="Z765" s="18">
        <v>126</v>
      </c>
      <c r="AA765" s="18">
        <f>SUMIF([1]SA007!$C:$C,'SA007 2025.01-2026.05 '!$D765,[1]SA007!P:P)</f>
        <v>269</v>
      </c>
      <c r="AB765" s="18">
        <f>SUMIF([1]SA007!$C:$C,'SA007 2025.01-2026.05 '!$D765,[1]SA007!Q:Q)</f>
        <v>224</v>
      </c>
      <c r="AC765" s="19">
        <f t="shared" si="25"/>
        <v>1263</v>
      </c>
      <c r="AD765" s="19">
        <f t="shared" si="26"/>
        <v>74.294117647058826</v>
      </c>
      <c r="AG765" s="21">
        <f>SUMIF([1]SO003!$H:$H,'SA007 2025.01-2026.05 '!$D765,[1]SO003!AF:AF)</f>
        <v>176.83789200000001</v>
      </c>
      <c r="AH765" s="21">
        <f>SUMIF([1]SO003!$H:$H,'SA007 2025.01-2026.05 '!$D765,[1]SO003!AH:AH)</f>
        <v>176.83789200000001</v>
      </c>
      <c r="AI765" s="21">
        <f>SUMIF([1]SO003!$H:$H,'SA007 2025.01-2026.05 '!$D765,[1]SO003!AJ:AJ)</f>
        <v>0</v>
      </c>
    </row>
    <row r="766" spans="1:35" x14ac:dyDescent="0.55000000000000004">
      <c r="A766" s="2" t="s">
        <v>361</v>
      </c>
      <c r="D766" s="22" t="s">
        <v>1324</v>
      </c>
      <c r="E766" s="2" t="s">
        <v>1272</v>
      </c>
      <c r="F766" s="2" t="s">
        <v>556</v>
      </c>
      <c r="G766" s="3" t="s">
        <v>47</v>
      </c>
      <c r="H766" s="2" t="s">
        <v>1325</v>
      </c>
      <c r="I766" s="17">
        <v>4.5</v>
      </c>
      <c r="J766" s="3">
        <v>124</v>
      </c>
      <c r="K766" s="3" t="s">
        <v>731</v>
      </c>
      <c r="L766" s="21">
        <v>0</v>
      </c>
      <c r="M766" s="21">
        <v>0</v>
      </c>
      <c r="N766" s="21">
        <v>0</v>
      </c>
      <c r="O766" s="21">
        <v>0</v>
      </c>
      <c r="P766" s="21">
        <v>0</v>
      </c>
      <c r="Q766" s="21">
        <v>0</v>
      </c>
      <c r="R766" s="21">
        <v>0</v>
      </c>
      <c r="S766" s="21">
        <v>0</v>
      </c>
      <c r="T766" s="21">
        <v>0</v>
      </c>
      <c r="U766" s="21">
        <v>6298</v>
      </c>
      <c r="V766" s="21">
        <v>0</v>
      </c>
      <c r="W766" s="21">
        <v>0</v>
      </c>
      <c r="X766" s="18">
        <v>0</v>
      </c>
      <c r="Y766" s="18">
        <v>0</v>
      </c>
      <c r="Z766" s="18">
        <v>0</v>
      </c>
      <c r="AA766" s="18">
        <f>SUMIF([1]SA007!$C:$C,'SA007 2025.01-2026.05 '!$D766,[1]SA007!P:P)</f>
        <v>0</v>
      </c>
      <c r="AB766" s="18">
        <f>SUMIF([1]SA007!$C:$C,'SA007 2025.01-2026.05 '!$D766,[1]SA007!Q:Q)</f>
        <v>0</v>
      </c>
      <c r="AC766" s="19">
        <f t="shared" si="25"/>
        <v>6298</v>
      </c>
      <c r="AD766" s="19">
        <f t="shared" si="26"/>
        <v>370.47058823529414</v>
      </c>
      <c r="AG766" s="21">
        <f>SUMIF([1]SO003!$H:$H,'SA007 2025.01-2026.05 '!$D766,[1]SO003!AF:AF)</f>
        <v>0</v>
      </c>
      <c r="AH766" s="21">
        <f>SUMIF([1]SO003!$H:$H,'SA007 2025.01-2026.05 '!$D766,[1]SO003!AH:AH)</f>
        <v>0</v>
      </c>
      <c r="AI766" s="21">
        <f>SUMIF([1]SO003!$H:$H,'SA007 2025.01-2026.05 '!$D766,[1]SO003!AJ:AJ)</f>
        <v>0</v>
      </c>
    </row>
    <row r="767" spans="1:35" x14ac:dyDescent="0.55000000000000004">
      <c r="A767" s="2" t="s">
        <v>1326</v>
      </c>
      <c r="D767" s="2" t="s">
        <v>1327</v>
      </c>
      <c r="E767" s="2" t="s">
        <v>240</v>
      </c>
      <c r="G767" s="3" t="s">
        <v>57</v>
      </c>
      <c r="H767" s="2" t="s">
        <v>284</v>
      </c>
      <c r="I767" s="17">
        <v>1.5</v>
      </c>
      <c r="J767" s="3">
        <v>155</v>
      </c>
      <c r="K767" s="3" t="s">
        <v>41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0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0</v>
      </c>
      <c r="Y767" s="18">
        <v>0</v>
      </c>
      <c r="Z767" s="18">
        <v>0</v>
      </c>
      <c r="AA767" s="18">
        <f>SUMIF([1]SA007!$C:$C,'SA007 2025.01-2026.05 '!$D767,[1]SA007!P:P)</f>
        <v>0</v>
      </c>
      <c r="AB767" s="18">
        <f>SUMIF([1]SA007!$C:$C,'SA007 2025.01-2026.05 '!$D767,[1]SA007!Q:Q)</f>
        <v>0</v>
      </c>
      <c r="AC767" s="19">
        <f t="shared" si="25"/>
        <v>0</v>
      </c>
      <c r="AD767" s="19">
        <f t="shared" si="26"/>
        <v>0</v>
      </c>
      <c r="AE767" s="20" t="e">
        <v>#N/A</v>
      </c>
      <c r="AG767" s="21">
        <f>SUMIF([1]SO003!$H:$H,'SA007 2025.01-2026.05 '!$D767,[1]SO003!AF:AF)</f>
        <v>0</v>
      </c>
      <c r="AH767" s="21">
        <f>SUMIF([1]SO003!$H:$H,'SA007 2025.01-2026.05 '!$D767,[1]SO003!AH:AH)</f>
        <v>0</v>
      </c>
      <c r="AI767" s="21">
        <f>SUMIF([1]SO003!$H:$H,'SA007 2025.01-2026.05 '!$D767,[1]SO003!AJ:AJ)</f>
        <v>0</v>
      </c>
    </row>
    <row r="768" spans="1:35" x14ac:dyDescent="0.55000000000000004">
      <c r="A768" s="2" t="s">
        <v>0</v>
      </c>
      <c r="D768" s="22" t="s">
        <v>1328</v>
      </c>
      <c r="E768" s="2" t="s">
        <v>151</v>
      </c>
      <c r="F768" s="2" t="s">
        <v>151</v>
      </c>
      <c r="G768" s="3" t="s">
        <v>39</v>
      </c>
      <c r="H768" s="2" t="s">
        <v>1329</v>
      </c>
      <c r="I768" s="17">
        <v>1.2</v>
      </c>
      <c r="J768" s="3">
        <v>115</v>
      </c>
      <c r="K768" s="3" t="s">
        <v>819</v>
      </c>
      <c r="L768" s="21">
        <v>0</v>
      </c>
      <c r="M768" s="21">
        <v>0</v>
      </c>
      <c r="N768" s="21">
        <v>0</v>
      </c>
      <c r="O768" s="21">
        <v>0</v>
      </c>
      <c r="P768" s="21">
        <v>0</v>
      </c>
      <c r="Q768" s="21">
        <v>0</v>
      </c>
      <c r="R768" s="21">
        <v>0</v>
      </c>
      <c r="S768" s="21">
        <v>0</v>
      </c>
      <c r="T768" s="21">
        <v>0</v>
      </c>
      <c r="U768" s="21">
        <v>0</v>
      </c>
      <c r="V768" s="21">
        <v>0</v>
      </c>
      <c r="W768" s="21">
        <v>64</v>
      </c>
      <c r="X768" s="18">
        <v>0</v>
      </c>
      <c r="Y768" s="18">
        <v>0</v>
      </c>
      <c r="Z768" s="18">
        <v>0</v>
      </c>
      <c r="AA768" s="18">
        <f>SUMIF([1]SA007!$C:$C,'SA007 2025.01-2026.05 '!$D768,[1]SA007!P:P)</f>
        <v>0</v>
      </c>
      <c r="AB768" s="18">
        <f>SUMIF([1]SA007!$C:$C,'SA007 2025.01-2026.05 '!$D768,[1]SA007!Q:Q)</f>
        <v>0</v>
      </c>
      <c r="AC768" s="19">
        <f t="shared" si="25"/>
        <v>64</v>
      </c>
      <c r="AD768" s="19">
        <f t="shared" si="26"/>
        <v>3.7647058823529411</v>
      </c>
      <c r="AG768" s="21">
        <f>SUMIF([1]SO003!$H:$H,'SA007 2025.01-2026.05 '!$D768,[1]SO003!AF:AF)</f>
        <v>0</v>
      </c>
      <c r="AH768" s="21">
        <f>SUMIF([1]SO003!$H:$H,'SA007 2025.01-2026.05 '!$D768,[1]SO003!AH:AH)</f>
        <v>0</v>
      </c>
      <c r="AI768" s="21">
        <f>SUMIF([1]SO003!$H:$H,'SA007 2025.01-2026.05 '!$D768,[1]SO003!AJ:AJ)</f>
        <v>0</v>
      </c>
    </row>
    <row r="769" spans="1:35" x14ac:dyDescent="0.55000000000000004">
      <c r="A769" s="2" t="s">
        <v>1030</v>
      </c>
      <c r="D769" s="22" t="s">
        <v>1330</v>
      </c>
      <c r="E769" s="2" t="s">
        <v>185</v>
      </c>
      <c r="F769" s="2" t="s">
        <v>185</v>
      </c>
      <c r="G769" s="3" t="s">
        <v>63</v>
      </c>
      <c r="H769" s="2" t="s">
        <v>199</v>
      </c>
      <c r="I769" s="17">
        <v>0.8</v>
      </c>
      <c r="J769" s="3">
        <v>330</v>
      </c>
      <c r="K769" s="3" t="s">
        <v>1331</v>
      </c>
      <c r="L769" s="21">
        <v>0</v>
      </c>
      <c r="M769" s="21">
        <v>0</v>
      </c>
      <c r="N769" s="21">
        <v>0</v>
      </c>
      <c r="O769" s="21">
        <v>0</v>
      </c>
      <c r="P769" s="21">
        <v>0</v>
      </c>
      <c r="Q769" s="21">
        <v>0</v>
      </c>
      <c r="R769" s="21">
        <v>0</v>
      </c>
      <c r="S769" s="21">
        <v>0</v>
      </c>
      <c r="T769" s="21">
        <v>0</v>
      </c>
      <c r="U769" s="21">
        <v>0</v>
      </c>
      <c r="V769" s="21">
        <v>0</v>
      </c>
      <c r="W769" s="21">
        <v>369</v>
      </c>
      <c r="X769" s="18">
        <v>0</v>
      </c>
      <c r="Y769" s="18">
        <v>0</v>
      </c>
      <c r="Z769" s="18">
        <v>0</v>
      </c>
      <c r="AA769" s="18">
        <f>SUMIF([1]SA007!$C:$C,'SA007 2025.01-2026.05 '!$D769,[1]SA007!P:P)</f>
        <v>0</v>
      </c>
      <c r="AB769" s="18">
        <f>SUMIF([1]SA007!$C:$C,'SA007 2025.01-2026.05 '!$D769,[1]SA007!Q:Q)</f>
        <v>0</v>
      </c>
      <c r="AC769" s="19">
        <f t="shared" si="25"/>
        <v>369</v>
      </c>
      <c r="AD769" s="19">
        <f t="shared" si="26"/>
        <v>21.705882352941178</v>
      </c>
      <c r="AG769" s="21">
        <f>SUMIF([1]SO003!$H:$H,'SA007 2025.01-2026.05 '!$D769,[1]SO003!AF:AF)</f>
        <v>0</v>
      </c>
      <c r="AH769" s="21">
        <f>SUMIF([1]SO003!$H:$H,'SA007 2025.01-2026.05 '!$D769,[1]SO003!AH:AH)</f>
        <v>0</v>
      </c>
      <c r="AI769" s="21">
        <f>SUMIF([1]SO003!$H:$H,'SA007 2025.01-2026.05 '!$D769,[1]SO003!AJ:AJ)</f>
        <v>0</v>
      </c>
    </row>
    <row r="770" spans="1:35" x14ac:dyDescent="0.55000000000000004">
      <c r="A770" s="2" t="s">
        <v>1332</v>
      </c>
      <c r="B770" s="2" t="s">
        <v>1333</v>
      </c>
      <c r="C770" s="2" t="s">
        <v>1333</v>
      </c>
      <c r="D770" s="2" t="s">
        <v>1334</v>
      </c>
      <c r="E770" s="2" t="s">
        <v>69</v>
      </c>
      <c r="F770" s="2" t="s">
        <v>69</v>
      </c>
      <c r="G770" s="3" t="s">
        <v>57</v>
      </c>
      <c r="H770" s="2" t="s">
        <v>1333</v>
      </c>
      <c r="I770" s="17">
        <v>1.5</v>
      </c>
      <c r="J770" s="3">
        <v>1219</v>
      </c>
      <c r="K770" s="3">
        <v>2438</v>
      </c>
      <c r="L770" s="18">
        <v>0</v>
      </c>
      <c r="M770" s="18">
        <v>1005</v>
      </c>
      <c r="N770" s="18">
        <v>0</v>
      </c>
      <c r="O770" s="18">
        <v>0</v>
      </c>
      <c r="P770" s="18">
        <v>0</v>
      </c>
      <c r="Q770" s="18">
        <v>0</v>
      </c>
      <c r="R770" s="18">
        <v>0</v>
      </c>
      <c r="S770" s="18">
        <v>0</v>
      </c>
      <c r="T770" s="18">
        <v>0</v>
      </c>
      <c r="U770" s="18">
        <v>0</v>
      </c>
      <c r="V770" s="18">
        <v>0</v>
      </c>
      <c r="W770" s="18">
        <v>0</v>
      </c>
      <c r="X770" s="18">
        <v>0</v>
      </c>
      <c r="Y770" s="18">
        <v>0</v>
      </c>
      <c r="Z770" s="18">
        <v>0</v>
      </c>
      <c r="AA770" s="18">
        <f>SUMIF([1]SA007!$C:$C,'SA007 2025.01-2026.05 '!$D770,[1]SA007!P:P)</f>
        <v>0</v>
      </c>
      <c r="AB770" s="18">
        <f>SUMIF([1]SA007!$C:$C,'SA007 2025.01-2026.05 '!$D770,[1]SA007!Q:Q)</f>
        <v>0</v>
      </c>
      <c r="AC770" s="19">
        <f t="shared" si="25"/>
        <v>1005</v>
      </c>
      <c r="AD770" s="19">
        <f t="shared" si="26"/>
        <v>59.117647058823529</v>
      </c>
      <c r="AE770" s="20" t="s">
        <v>1335</v>
      </c>
      <c r="AG770" s="21">
        <f>SUMIF([1]SO003!$H:$H,'SA007 2025.01-2026.05 '!$D770,[1]SO003!AF:AF)</f>
        <v>0</v>
      </c>
      <c r="AH770" s="21">
        <f>SUMIF([1]SO003!$H:$H,'SA007 2025.01-2026.05 '!$D770,[1]SO003!AH:AH)</f>
        <v>0</v>
      </c>
      <c r="AI770" s="21">
        <f>SUMIF([1]SO003!$H:$H,'SA007 2025.01-2026.05 '!$D770,[1]SO003!AJ:AJ)</f>
        <v>0</v>
      </c>
    </row>
    <row r="771" spans="1:35" x14ac:dyDescent="0.55000000000000004">
      <c r="A771" s="2" t="s">
        <v>385</v>
      </c>
      <c r="D771" s="22" t="s">
        <v>1336</v>
      </c>
      <c r="E771" s="2" t="s">
        <v>182</v>
      </c>
      <c r="F771" s="2" t="s">
        <v>182</v>
      </c>
      <c r="G771" s="3" t="s">
        <v>57</v>
      </c>
      <c r="H771" s="2" t="s">
        <v>54</v>
      </c>
      <c r="I771" s="17">
        <v>2</v>
      </c>
      <c r="J771" s="3">
        <v>83</v>
      </c>
      <c r="K771" s="3" t="s">
        <v>1337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1">
        <v>0</v>
      </c>
      <c r="U771" s="21">
        <v>0</v>
      </c>
      <c r="V771" s="21">
        <v>0</v>
      </c>
      <c r="W771" s="21">
        <v>450</v>
      </c>
      <c r="X771" s="18">
        <v>0</v>
      </c>
      <c r="Y771" s="18">
        <v>1487</v>
      </c>
      <c r="Z771" s="18">
        <v>0</v>
      </c>
      <c r="AA771" s="18">
        <f>SUMIF([1]SA007!$C:$C,'SA007 2025.01-2026.05 '!$D771,[1]SA007!P:P)</f>
        <v>499</v>
      </c>
      <c r="AB771" s="18">
        <f>SUMIF([1]SA007!$C:$C,'SA007 2025.01-2026.05 '!$D771,[1]SA007!Q:Q)</f>
        <v>0</v>
      </c>
      <c r="AC771" s="19">
        <f t="shared" si="25"/>
        <v>2436</v>
      </c>
      <c r="AD771" s="19">
        <f t="shared" si="26"/>
        <v>143.29411764705881</v>
      </c>
      <c r="AG771" s="21">
        <f>SUMIF([1]SO003!$H:$H,'SA007 2025.01-2026.05 '!$D771,[1]SO003!AF:AF)</f>
        <v>0</v>
      </c>
      <c r="AH771" s="21">
        <f>SUMIF([1]SO003!$H:$H,'SA007 2025.01-2026.05 '!$D771,[1]SO003!AH:AH)</f>
        <v>0</v>
      </c>
      <c r="AI771" s="21">
        <f>SUMIF([1]SO003!$H:$H,'SA007 2025.01-2026.05 '!$D771,[1]SO003!AJ:AJ)</f>
        <v>0</v>
      </c>
    </row>
    <row r="772" spans="1:35" x14ac:dyDescent="0.55000000000000004">
      <c r="A772" s="2" t="s">
        <v>145</v>
      </c>
      <c r="D772" s="22" t="s">
        <v>1338</v>
      </c>
      <c r="E772" s="2" t="s">
        <v>182</v>
      </c>
      <c r="F772" s="2" t="s">
        <v>182</v>
      </c>
      <c r="G772" s="3" t="s">
        <v>63</v>
      </c>
      <c r="H772" s="2" t="s">
        <v>61</v>
      </c>
      <c r="I772" s="17">
        <v>0.8</v>
      </c>
      <c r="J772" s="3">
        <v>175</v>
      </c>
      <c r="K772" s="3" t="s">
        <v>647</v>
      </c>
      <c r="L772" s="21">
        <v>0</v>
      </c>
      <c r="M772" s="21">
        <v>0</v>
      </c>
      <c r="N772" s="21">
        <v>0</v>
      </c>
      <c r="O772" s="21">
        <v>0</v>
      </c>
      <c r="P772" s="21">
        <v>0</v>
      </c>
      <c r="Q772" s="21">
        <v>0</v>
      </c>
      <c r="R772" s="21">
        <v>0</v>
      </c>
      <c r="S772" s="21">
        <v>445</v>
      </c>
      <c r="T772" s="21">
        <v>0</v>
      </c>
      <c r="U772" s="21">
        <v>0</v>
      </c>
      <c r="V772" s="21">
        <v>0</v>
      </c>
      <c r="W772" s="21">
        <v>0</v>
      </c>
      <c r="X772" s="18">
        <v>0</v>
      </c>
      <c r="Y772" s="18">
        <v>201</v>
      </c>
      <c r="Z772" s="18">
        <v>0</v>
      </c>
      <c r="AA772" s="18">
        <f>SUMIF([1]SA007!$C:$C,'SA007 2025.01-2026.05 '!$D772,[1]SA007!P:P)</f>
        <v>56</v>
      </c>
      <c r="AB772" s="18">
        <f>SUMIF([1]SA007!$C:$C,'SA007 2025.01-2026.05 '!$D772,[1]SA007!Q:Q)</f>
        <v>0</v>
      </c>
      <c r="AC772" s="19">
        <f t="shared" si="25"/>
        <v>702</v>
      </c>
      <c r="AD772" s="19">
        <f t="shared" si="26"/>
        <v>41.294117647058826</v>
      </c>
      <c r="AG772" s="21">
        <f>SUMIF([1]SO003!$H:$H,'SA007 2025.01-2026.05 '!$D772,[1]SO003!AF:AF)</f>
        <v>0</v>
      </c>
      <c r="AH772" s="21">
        <f>SUMIF([1]SO003!$H:$H,'SA007 2025.01-2026.05 '!$D772,[1]SO003!AH:AH)</f>
        <v>0</v>
      </c>
      <c r="AI772" s="21">
        <f>SUMIF([1]SO003!$H:$H,'SA007 2025.01-2026.05 '!$D772,[1]SO003!AJ:AJ)</f>
        <v>0</v>
      </c>
    </row>
    <row r="773" spans="1:35" x14ac:dyDescent="0.55000000000000004">
      <c r="A773" s="2" t="s">
        <v>212</v>
      </c>
      <c r="D773" s="22" t="s">
        <v>1339</v>
      </c>
      <c r="E773" s="2" t="s">
        <v>116</v>
      </c>
      <c r="F773" s="2" t="s">
        <v>116</v>
      </c>
      <c r="G773" s="3" t="s">
        <v>47</v>
      </c>
      <c r="H773" s="2" t="s">
        <v>213</v>
      </c>
      <c r="I773" s="17">
        <v>1.6</v>
      </c>
      <c r="J773" s="3">
        <v>49</v>
      </c>
      <c r="K773" s="3" t="s">
        <v>315</v>
      </c>
      <c r="L773" s="18">
        <v>0</v>
      </c>
      <c r="M773" s="18">
        <v>0</v>
      </c>
      <c r="N773" s="18">
        <v>0</v>
      </c>
      <c r="O773" s="18">
        <v>0</v>
      </c>
      <c r="P773" s="18">
        <v>0</v>
      </c>
      <c r="Q773" s="18">
        <v>0</v>
      </c>
      <c r="R773" s="18">
        <v>0</v>
      </c>
      <c r="S773" s="18">
        <v>0</v>
      </c>
      <c r="T773" s="18">
        <v>0</v>
      </c>
      <c r="U773" s="18">
        <v>0</v>
      </c>
      <c r="V773" s="18">
        <v>0</v>
      </c>
      <c r="W773" s="18">
        <v>0</v>
      </c>
      <c r="X773" s="18">
        <v>0</v>
      </c>
      <c r="Y773" s="18">
        <v>0</v>
      </c>
      <c r="Z773" s="18">
        <v>0</v>
      </c>
      <c r="AA773" s="18">
        <f>SUMIF([1]SA007!$C:$C,'SA007 2025.01-2026.05 '!$D773,[1]SA007!P:P)</f>
        <v>0</v>
      </c>
      <c r="AB773" s="18">
        <f>SUMIF([1]SA007!$C:$C,'SA007 2025.01-2026.05 '!$D773,[1]SA007!Q:Q)</f>
        <v>0</v>
      </c>
      <c r="AC773" s="19">
        <f t="shared" si="25"/>
        <v>0</v>
      </c>
      <c r="AD773" s="19">
        <f t="shared" si="26"/>
        <v>0</v>
      </c>
      <c r="AG773" s="21">
        <f>SUMIF([1]SO003!$H:$H,'SA007 2025.01-2026.05 '!$D773,[1]SO003!AF:AF)</f>
        <v>0</v>
      </c>
      <c r="AH773" s="21">
        <f>SUMIF([1]SO003!$H:$H,'SA007 2025.01-2026.05 '!$D773,[1]SO003!AH:AH)</f>
        <v>0</v>
      </c>
      <c r="AI773" s="21">
        <f>SUMIF([1]SO003!$H:$H,'SA007 2025.01-2026.05 '!$D773,[1]SO003!AJ:AJ)</f>
        <v>0</v>
      </c>
    </row>
    <row r="774" spans="1:35" x14ac:dyDescent="0.55000000000000004">
      <c r="A774" s="2" t="s">
        <v>178</v>
      </c>
      <c r="D774" s="22" t="s">
        <v>1340</v>
      </c>
      <c r="E774" s="2" t="s">
        <v>182</v>
      </c>
      <c r="F774" s="2" t="s">
        <v>182</v>
      </c>
      <c r="G774" s="3" t="s">
        <v>57</v>
      </c>
      <c r="H774" s="2" t="s">
        <v>67</v>
      </c>
      <c r="I774" s="17">
        <v>1</v>
      </c>
      <c r="J774" s="3">
        <v>55</v>
      </c>
      <c r="K774" s="3" t="s">
        <v>1341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21">
        <v>0</v>
      </c>
      <c r="S774" s="21">
        <v>0</v>
      </c>
      <c r="T774" s="21">
        <v>0</v>
      </c>
      <c r="U774" s="21">
        <v>0</v>
      </c>
      <c r="V774" s="21">
        <v>0</v>
      </c>
      <c r="W774" s="21">
        <v>69</v>
      </c>
      <c r="X774" s="18">
        <v>0</v>
      </c>
      <c r="Y774" s="18">
        <v>308</v>
      </c>
      <c r="Z774" s="18">
        <v>0</v>
      </c>
      <c r="AA774" s="18">
        <f>SUMIF([1]SA007!$C:$C,'SA007 2025.01-2026.05 '!$D774,[1]SA007!P:P)</f>
        <v>85</v>
      </c>
      <c r="AB774" s="18">
        <f>SUMIF([1]SA007!$C:$C,'SA007 2025.01-2026.05 '!$D774,[1]SA007!Q:Q)</f>
        <v>0</v>
      </c>
      <c r="AC774" s="19">
        <f t="shared" ref="AC774:AC837" si="27">SUM(L774:AB774)</f>
        <v>462</v>
      </c>
      <c r="AD774" s="19">
        <f t="shared" ref="AD774:AD837" si="28">AVERAGE(L774:AB774)</f>
        <v>27.176470588235293</v>
      </c>
      <c r="AG774" s="21">
        <f>SUMIF([1]SO003!$H:$H,'SA007 2025.01-2026.05 '!$D774,[1]SO003!AF:AF)</f>
        <v>0</v>
      </c>
      <c r="AH774" s="21">
        <f>SUMIF([1]SO003!$H:$H,'SA007 2025.01-2026.05 '!$D774,[1]SO003!AH:AH)</f>
        <v>0</v>
      </c>
      <c r="AI774" s="21">
        <f>SUMIF([1]SO003!$H:$H,'SA007 2025.01-2026.05 '!$D774,[1]SO003!AJ:AJ)</f>
        <v>0</v>
      </c>
    </row>
    <row r="775" spans="1:35" x14ac:dyDescent="0.55000000000000004">
      <c r="A775" s="2" t="s">
        <v>178</v>
      </c>
      <c r="D775" s="22" t="s">
        <v>1342</v>
      </c>
      <c r="E775" s="2" t="s">
        <v>182</v>
      </c>
      <c r="F775" s="2" t="s">
        <v>182</v>
      </c>
      <c r="G775" s="3" t="s">
        <v>57</v>
      </c>
      <c r="H775" s="2" t="s">
        <v>67</v>
      </c>
      <c r="I775" s="17">
        <v>1</v>
      </c>
      <c r="J775" s="3">
        <v>190</v>
      </c>
      <c r="K775" s="3" t="s">
        <v>1343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>
        <v>0</v>
      </c>
      <c r="R775" s="21">
        <v>0</v>
      </c>
      <c r="S775" s="21">
        <v>0</v>
      </c>
      <c r="T775" s="21">
        <v>0</v>
      </c>
      <c r="U775" s="21">
        <v>0</v>
      </c>
      <c r="V775" s="21">
        <v>0</v>
      </c>
      <c r="W775" s="21">
        <v>409</v>
      </c>
      <c r="X775" s="18">
        <v>0</v>
      </c>
      <c r="Y775" s="18">
        <v>1003</v>
      </c>
      <c r="Z775" s="18">
        <v>0</v>
      </c>
      <c r="AA775" s="18">
        <f>SUMIF([1]SA007!$C:$C,'SA007 2025.01-2026.05 '!$D775,[1]SA007!P:P)</f>
        <v>278</v>
      </c>
      <c r="AB775" s="18">
        <f>SUMIF([1]SA007!$C:$C,'SA007 2025.01-2026.05 '!$D775,[1]SA007!Q:Q)</f>
        <v>0</v>
      </c>
      <c r="AC775" s="19">
        <f t="shared" si="27"/>
        <v>1690</v>
      </c>
      <c r="AD775" s="19">
        <f t="shared" si="28"/>
        <v>99.411764705882348</v>
      </c>
      <c r="AG775" s="21">
        <f>SUMIF([1]SO003!$H:$H,'SA007 2025.01-2026.05 '!$D775,[1]SO003!AF:AF)</f>
        <v>0</v>
      </c>
      <c r="AH775" s="21">
        <f>SUMIF([1]SO003!$H:$H,'SA007 2025.01-2026.05 '!$D775,[1]SO003!AH:AH)</f>
        <v>0</v>
      </c>
      <c r="AI775" s="21">
        <f>SUMIF([1]SO003!$H:$H,'SA007 2025.01-2026.05 '!$D775,[1]SO003!AJ:AJ)</f>
        <v>0</v>
      </c>
    </row>
    <row r="776" spans="1:35" x14ac:dyDescent="0.55000000000000004">
      <c r="A776" s="2" t="s">
        <v>385</v>
      </c>
      <c r="D776" s="22" t="s">
        <v>1344</v>
      </c>
      <c r="E776" s="2" t="s">
        <v>182</v>
      </c>
      <c r="F776" s="2" t="s">
        <v>182</v>
      </c>
      <c r="G776" s="3" t="s">
        <v>57</v>
      </c>
      <c r="H776" s="2" t="s">
        <v>67</v>
      </c>
      <c r="I776" s="17">
        <v>2</v>
      </c>
      <c r="J776" s="3">
        <v>173</v>
      </c>
      <c r="K776" s="3" t="s">
        <v>1345</v>
      </c>
      <c r="L776" s="21">
        <v>0</v>
      </c>
      <c r="M776" s="21">
        <v>0</v>
      </c>
      <c r="N776" s="21">
        <v>0</v>
      </c>
      <c r="O776" s="21">
        <v>0</v>
      </c>
      <c r="P776" s="21">
        <v>0</v>
      </c>
      <c r="Q776" s="21">
        <v>0</v>
      </c>
      <c r="R776" s="21">
        <v>0</v>
      </c>
      <c r="S776" s="21">
        <v>0</v>
      </c>
      <c r="T776" s="21">
        <v>0</v>
      </c>
      <c r="U776" s="21">
        <v>0</v>
      </c>
      <c r="V776" s="21">
        <v>0</v>
      </c>
      <c r="W776" s="21">
        <v>481</v>
      </c>
      <c r="X776" s="18">
        <v>0</v>
      </c>
      <c r="Y776" s="18">
        <v>2190</v>
      </c>
      <c r="Z776" s="18">
        <v>0</v>
      </c>
      <c r="AA776" s="18">
        <f>SUMIF([1]SA007!$C:$C,'SA007 2025.01-2026.05 '!$D776,[1]SA007!P:P)</f>
        <v>0</v>
      </c>
      <c r="AB776" s="18">
        <f>SUMIF([1]SA007!$C:$C,'SA007 2025.01-2026.05 '!$D776,[1]SA007!Q:Q)</f>
        <v>543</v>
      </c>
      <c r="AC776" s="19">
        <f t="shared" si="27"/>
        <v>3214</v>
      </c>
      <c r="AD776" s="19">
        <f t="shared" si="28"/>
        <v>189.05882352941177</v>
      </c>
      <c r="AG776" s="21">
        <f>SUMIF([1]SO003!$H:$H,'SA007 2025.01-2026.05 '!$D776,[1]SO003!AF:AF)</f>
        <v>0</v>
      </c>
      <c r="AH776" s="21">
        <f>SUMIF([1]SO003!$H:$H,'SA007 2025.01-2026.05 '!$D776,[1]SO003!AH:AH)</f>
        <v>0</v>
      </c>
      <c r="AI776" s="21">
        <f>SUMIF([1]SO003!$H:$H,'SA007 2025.01-2026.05 '!$D776,[1]SO003!AJ:AJ)</f>
        <v>0</v>
      </c>
    </row>
    <row r="777" spans="1:35" x14ac:dyDescent="0.55000000000000004">
      <c r="A777" s="2" t="s">
        <v>385</v>
      </c>
      <c r="D777" s="22" t="s">
        <v>1346</v>
      </c>
      <c r="E777" s="2" t="s">
        <v>182</v>
      </c>
      <c r="F777" s="2" t="s">
        <v>182</v>
      </c>
      <c r="G777" s="3" t="s">
        <v>57</v>
      </c>
      <c r="H777" s="2" t="s">
        <v>67</v>
      </c>
      <c r="I777" s="17">
        <v>2</v>
      </c>
      <c r="J777" s="3">
        <v>173</v>
      </c>
      <c r="K777" s="3" t="s">
        <v>1345</v>
      </c>
      <c r="L777" s="21">
        <v>0</v>
      </c>
      <c r="M777" s="21">
        <v>0</v>
      </c>
      <c r="N777" s="21">
        <v>0</v>
      </c>
      <c r="O777" s="21">
        <v>0</v>
      </c>
      <c r="P777" s="21">
        <v>0</v>
      </c>
      <c r="Q777" s="21">
        <v>0</v>
      </c>
      <c r="R777" s="21">
        <v>0</v>
      </c>
      <c r="S777" s="21">
        <v>0</v>
      </c>
      <c r="T777" s="21">
        <v>0</v>
      </c>
      <c r="U777" s="21">
        <v>0</v>
      </c>
      <c r="V777" s="21">
        <v>0</v>
      </c>
      <c r="W777" s="21">
        <v>493</v>
      </c>
      <c r="X777" s="18">
        <v>49</v>
      </c>
      <c r="Y777" s="18">
        <v>2190</v>
      </c>
      <c r="Z777" s="18">
        <v>0</v>
      </c>
      <c r="AA777" s="18">
        <f>SUMIF([1]SA007!$C:$C,'SA007 2025.01-2026.05 '!$D777,[1]SA007!P:P)</f>
        <v>0</v>
      </c>
      <c r="AB777" s="18">
        <f>SUMIF([1]SA007!$C:$C,'SA007 2025.01-2026.05 '!$D777,[1]SA007!Q:Q)</f>
        <v>542</v>
      </c>
      <c r="AC777" s="19">
        <f t="shared" si="27"/>
        <v>3274</v>
      </c>
      <c r="AD777" s="19">
        <f t="shared" si="28"/>
        <v>192.58823529411765</v>
      </c>
      <c r="AG777" s="21">
        <f>SUMIF([1]SO003!$H:$H,'SA007 2025.01-2026.05 '!$D777,[1]SO003!AF:AF)</f>
        <v>0</v>
      </c>
      <c r="AH777" s="21">
        <f>SUMIF([1]SO003!$H:$H,'SA007 2025.01-2026.05 '!$D777,[1]SO003!AH:AH)</f>
        <v>0</v>
      </c>
      <c r="AI777" s="21">
        <f>SUMIF([1]SO003!$H:$H,'SA007 2025.01-2026.05 '!$D777,[1]SO003!AJ:AJ)</f>
        <v>0</v>
      </c>
    </row>
    <row r="778" spans="1:35" x14ac:dyDescent="0.55000000000000004">
      <c r="A778" s="23" t="s">
        <v>219</v>
      </c>
      <c r="D778" s="22" t="s">
        <v>1347</v>
      </c>
      <c r="E778" s="2" t="s">
        <v>182</v>
      </c>
      <c r="F778" s="2" t="s">
        <v>182</v>
      </c>
      <c r="G778" s="3" t="s">
        <v>57</v>
      </c>
      <c r="H778" s="2" t="s">
        <v>67</v>
      </c>
      <c r="I778" s="17">
        <v>1.2</v>
      </c>
      <c r="J778" s="3">
        <v>390</v>
      </c>
      <c r="K778" s="3" t="s">
        <v>41</v>
      </c>
      <c r="L778" s="21">
        <v>0</v>
      </c>
      <c r="M778" s="21">
        <v>0</v>
      </c>
      <c r="N778" s="21">
        <v>0</v>
      </c>
      <c r="O778" s="21">
        <v>0</v>
      </c>
      <c r="P778" s="21">
        <v>0</v>
      </c>
      <c r="Q778" s="21">
        <v>0</v>
      </c>
      <c r="R778" s="21">
        <v>0</v>
      </c>
      <c r="S778" s="21">
        <v>0</v>
      </c>
      <c r="T778" s="21">
        <v>0</v>
      </c>
      <c r="U778" s="21">
        <v>0</v>
      </c>
      <c r="V778" s="21">
        <v>0</v>
      </c>
      <c r="W778" s="21">
        <v>190</v>
      </c>
      <c r="X778" s="18">
        <v>0</v>
      </c>
      <c r="Y778" s="18">
        <v>0</v>
      </c>
      <c r="Z778" s="18">
        <v>489</v>
      </c>
      <c r="AA778" s="18">
        <f>SUMIF([1]SA007!$C:$C,'SA007 2025.01-2026.05 '!$D778,[1]SA007!P:P)</f>
        <v>0</v>
      </c>
      <c r="AB778" s="18">
        <f>SUMIF([1]SA007!$C:$C,'SA007 2025.01-2026.05 '!$D778,[1]SA007!Q:Q)</f>
        <v>375</v>
      </c>
      <c r="AC778" s="19">
        <f t="shared" si="27"/>
        <v>1054</v>
      </c>
      <c r="AD778" s="19">
        <f t="shared" si="28"/>
        <v>62</v>
      </c>
      <c r="AG778" s="21">
        <f>SUMIF([1]SO003!$H:$H,'SA007 2025.01-2026.05 '!$D778,[1]SO003!AF:AF)</f>
        <v>0</v>
      </c>
      <c r="AH778" s="21">
        <f>SUMIF([1]SO003!$H:$H,'SA007 2025.01-2026.05 '!$D778,[1]SO003!AH:AH)</f>
        <v>0</v>
      </c>
      <c r="AI778" s="21">
        <f>SUMIF([1]SO003!$H:$H,'SA007 2025.01-2026.05 '!$D778,[1]SO003!AJ:AJ)</f>
        <v>0</v>
      </c>
    </row>
    <row r="779" spans="1:35" x14ac:dyDescent="0.55000000000000004">
      <c r="A779" s="2" t="s">
        <v>145</v>
      </c>
      <c r="D779" s="22" t="s">
        <v>1348</v>
      </c>
      <c r="E779" s="2" t="s">
        <v>182</v>
      </c>
      <c r="F779" s="2" t="s">
        <v>182</v>
      </c>
      <c r="G779" s="3" t="s">
        <v>63</v>
      </c>
      <c r="H779" s="2" t="s">
        <v>61</v>
      </c>
      <c r="I779" s="17">
        <v>0.8</v>
      </c>
      <c r="J779" s="3">
        <v>241</v>
      </c>
      <c r="K779" s="3" t="s">
        <v>936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1">
        <v>0</v>
      </c>
      <c r="S779" s="21">
        <v>17</v>
      </c>
      <c r="T779" s="21">
        <v>0</v>
      </c>
      <c r="U779" s="21">
        <v>0</v>
      </c>
      <c r="V779" s="21">
        <v>0</v>
      </c>
      <c r="W779" s="21">
        <v>0</v>
      </c>
      <c r="X779" s="18">
        <v>0</v>
      </c>
      <c r="Y779" s="18">
        <v>0</v>
      </c>
      <c r="Z779" s="18">
        <v>0</v>
      </c>
      <c r="AA779" s="18">
        <f>SUMIF([1]SA007!$C:$C,'SA007 2025.01-2026.05 '!$D779,[1]SA007!P:P)</f>
        <v>0</v>
      </c>
      <c r="AB779" s="18">
        <f>SUMIF([1]SA007!$C:$C,'SA007 2025.01-2026.05 '!$D779,[1]SA007!Q:Q)</f>
        <v>0</v>
      </c>
      <c r="AC779" s="19">
        <f t="shared" si="27"/>
        <v>17</v>
      </c>
      <c r="AD779" s="19">
        <f t="shared" si="28"/>
        <v>1</v>
      </c>
      <c r="AG779" s="21">
        <f>SUMIF([1]SO003!$H:$H,'SA007 2025.01-2026.05 '!$D779,[1]SO003!AF:AF)</f>
        <v>0</v>
      </c>
      <c r="AH779" s="21">
        <f>SUMIF([1]SO003!$H:$H,'SA007 2025.01-2026.05 '!$D779,[1]SO003!AH:AH)</f>
        <v>0</v>
      </c>
      <c r="AI779" s="21">
        <f>SUMIF([1]SO003!$H:$H,'SA007 2025.01-2026.05 '!$D779,[1]SO003!AJ:AJ)</f>
        <v>0</v>
      </c>
    </row>
    <row r="780" spans="1:35" x14ac:dyDescent="0.55000000000000004">
      <c r="A780" s="2" t="s">
        <v>247</v>
      </c>
      <c r="D780" s="22" t="s">
        <v>1349</v>
      </c>
      <c r="E780" s="2" t="s">
        <v>185</v>
      </c>
      <c r="F780" s="2" t="s">
        <v>185</v>
      </c>
      <c r="G780" s="3" t="s">
        <v>57</v>
      </c>
      <c r="H780" s="2" t="s">
        <v>160</v>
      </c>
      <c r="I780" s="17">
        <v>2</v>
      </c>
      <c r="J780" s="3">
        <v>145</v>
      </c>
      <c r="K780" s="3" t="s">
        <v>41</v>
      </c>
      <c r="L780" s="21">
        <v>0</v>
      </c>
      <c r="M780" s="21">
        <v>0</v>
      </c>
      <c r="N780" s="21">
        <v>0</v>
      </c>
      <c r="O780" s="21">
        <v>0</v>
      </c>
      <c r="P780" s="21">
        <v>0</v>
      </c>
      <c r="Q780" s="21">
        <v>0</v>
      </c>
      <c r="R780" s="21">
        <v>0</v>
      </c>
      <c r="S780" s="21">
        <v>0</v>
      </c>
      <c r="T780" s="21">
        <v>0</v>
      </c>
      <c r="U780" s="21">
        <v>0</v>
      </c>
      <c r="V780" s="21">
        <v>0</v>
      </c>
      <c r="W780" s="21">
        <v>2080</v>
      </c>
      <c r="X780" s="18">
        <v>9016</v>
      </c>
      <c r="Y780" s="18">
        <v>1160</v>
      </c>
      <c r="Z780" s="18">
        <v>0</v>
      </c>
      <c r="AA780" s="18">
        <f>SUMIF([1]SA007!$C:$C,'SA007 2025.01-2026.05 '!$D780,[1]SA007!P:P)</f>
        <v>0</v>
      </c>
      <c r="AB780" s="18">
        <f>SUMIF([1]SA007!$C:$C,'SA007 2025.01-2026.05 '!$D780,[1]SA007!Q:Q)</f>
        <v>4032</v>
      </c>
      <c r="AC780" s="19">
        <f t="shared" si="27"/>
        <v>16288</v>
      </c>
      <c r="AD780" s="19">
        <f t="shared" si="28"/>
        <v>958.11764705882354</v>
      </c>
      <c r="AG780" s="21">
        <f>SUMIF([1]SO003!$H:$H,'SA007 2025.01-2026.05 '!$D780,[1]SO003!AF:AF)</f>
        <v>0</v>
      </c>
      <c r="AH780" s="21">
        <f>SUMIF([1]SO003!$H:$H,'SA007 2025.01-2026.05 '!$D780,[1]SO003!AH:AH)</f>
        <v>0</v>
      </c>
      <c r="AI780" s="21">
        <f>SUMIF([1]SO003!$H:$H,'SA007 2025.01-2026.05 '!$D780,[1]SO003!AJ:AJ)</f>
        <v>0</v>
      </c>
    </row>
    <row r="781" spans="1:35" x14ac:dyDescent="0.55000000000000004">
      <c r="A781" s="2" t="s">
        <v>867</v>
      </c>
      <c r="D781" s="22" t="s">
        <v>1350</v>
      </c>
      <c r="E781" s="2" t="s">
        <v>363</v>
      </c>
      <c r="F781" s="2" t="s">
        <v>363</v>
      </c>
      <c r="G781" s="3" t="s">
        <v>63</v>
      </c>
      <c r="H781" s="2" t="s">
        <v>64</v>
      </c>
      <c r="I781" s="17">
        <v>1.2</v>
      </c>
      <c r="J781" s="3">
        <v>76</v>
      </c>
      <c r="K781" s="3" t="s">
        <v>819</v>
      </c>
      <c r="L781" s="21">
        <v>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1">
        <v>0</v>
      </c>
      <c r="S781" s="21">
        <v>0</v>
      </c>
      <c r="T781" s="21">
        <v>0</v>
      </c>
      <c r="U781" s="21">
        <v>0</v>
      </c>
      <c r="V781" s="21">
        <v>0</v>
      </c>
      <c r="W781" s="21">
        <v>0</v>
      </c>
      <c r="X781" s="18">
        <v>421</v>
      </c>
      <c r="Y781" s="18">
        <v>679</v>
      </c>
      <c r="Z781" s="18">
        <v>0</v>
      </c>
      <c r="AA781" s="18">
        <f>SUMIF([1]SA007!$C:$C,'SA007 2025.01-2026.05 '!$D781,[1]SA007!P:P)</f>
        <v>0</v>
      </c>
      <c r="AB781" s="18">
        <f>SUMIF([1]SA007!$C:$C,'SA007 2025.01-2026.05 '!$D781,[1]SA007!Q:Q)</f>
        <v>0</v>
      </c>
      <c r="AC781" s="19">
        <f t="shared" si="27"/>
        <v>1100</v>
      </c>
      <c r="AD781" s="19">
        <f t="shared" si="28"/>
        <v>64.705882352941174</v>
      </c>
      <c r="AG781" s="21">
        <f>SUMIF([1]SO003!$H:$H,'SA007 2025.01-2026.05 '!$D781,[1]SO003!AF:AF)</f>
        <v>0</v>
      </c>
      <c r="AH781" s="21">
        <f>SUMIF([1]SO003!$H:$H,'SA007 2025.01-2026.05 '!$D781,[1]SO003!AH:AH)</f>
        <v>0</v>
      </c>
      <c r="AI781" s="21">
        <f>SUMIF([1]SO003!$H:$H,'SA007 2025.01-2026.05 '!$D781,[1]SO003!AJ:AJ)</f>
        <v>0</v>
      </c>
    </row>
    <row r="782" spans="1:35" x14ac:dyDescent="0.55000000000000004">
      <c r="A782" s="2" t="s">
        <v>280</v>
      </c>
      <c r="D782" s="22" t="s">
        <v>1351</v>
      </c>
      <c r="E782" s="2" t="s">
        <v>240</v>
      </c>
      <c r="F782" s="2" t="s">
        <v>240</v>
      </c>
      <c r="G782" s="3" t="s">
        <v>39</v>
      </c>
      <c r="H782" s="2" t="s">
        <v>1352</v>
      </c>
      <c r="I782" s="17">
        <v>1.5</v>
      </c>
      <c r="J782" s="3">
        <v>128</v>
      </c>
      <c r="K782" s="3" t="s">
        <v>711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>
        <v>0</v>
      </c>
      <c r="R782" s="21">
        <v>0</v>
      </c>
      <c r="S782" s="21">
        <v>0</v>
      </c>
      <c r="T782" s="21">
        <v>0</v>
      </c>
      <c r="U782" s="21">
        <v>0</v>
      </c>
      <c r="V782" s="21">
        <v>0</v>
      </c>
      <c r="W782" s="21">
        <v>0</v>
      </c>
      <c r="X782" s="18">
        <v>636</v>
      </c>
      <c r="Y782" s="18">
        <v>0</v>
      </c>
      <c r="Z782" s="18">
        <v>0</v>
      </c>
      <c r="AA782" s="18">
        <f>SUMIF([1]SA007!$C:$C,'SA007 2025.01-2026.05 '!$D782,[1]SA007!P:P)</f>
        <v>0</v>
      </c>
      <c r="AB782" s="18">
        <f>SUMIF([1]SA007!$C:$C,'SA007 2025.01-2026.05 '!$D782,[1]SA007!Q:Q)</f>
        <v>1438</v>
      </c>
      <c r="AC782" s="19">
        <f t="shared" si="27"/>
        <v>2074</v>
      </c>
      <c r="AD782" s="19">
        <f t="shared" si="28"/>
        <v>122</v>
      </c>
      <c r="AG782" s="21">
        <f>SUMIF([1]SO003!$H:$H,'SA007 2025.01-2026.05 '!$D782,[1]SO003!AF:AF)</f>
        <v>0</v>
      </c>
      <c r="AH782" s="21">
        <f>SUMIF([1]SO003!$H:$H,'SA007 2025.01-2026.05 '!$D782,[1]SO003!AH:AH)</f>
        <v>0</v>
      </c>
      <c r="AI782" s="21">
        <f>SUMIF([1]SO003!$H:$H,'SA007 2025.01-2026.05 '!$D782,[1]SO003!AJ:AJ)</f>
        <v>0</v>
      </c>
    </row>
    <row r="783" spans="1:35" x14ac:dyDescent="0.55000000000000004">
      <c r="A783" s="2" t="s">
        <v>206</v>
      </c>
      <c r="D783" s="22" t="s">
        <v>1353</v>
      </c>
      <c r="E783" s="2" t="s">
        <v>363</v>
      </c>
      <c r="F783" s="2" t="s">
        <v>363</v>
      </c>
      <c r="G783" s="3" t="s">
        <v>63</v>
      </c>
      <c r="H783" s="2" t="s">
        <v>64</v>
      </c>
      <c r="I783" s="17">
        <v>1</v>
      </c>
      <c r="J783" s="3">
        <v>39</v>
      </c>
      <c r="K783" s="3" t="s">
        <v>819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1">
        <v>0</v>
      </c>
      <c r="S783" s="21">
        <v>0</v>
      </c>
      <c r="T783" s="21">
        <v>0</v>
      </c>
      <c r="U783" s="21">
        <v>0</v>
      </c>
      <c r="V783" s="21">
        <v>0</v>
      </c>
      <c r="W783" s="21">
        <v>0</v>
      </c>
      <c r="X783" s="18">
        <v>185</v>
      </c>
      <c r="Y783" s="18">
        <v>483</v>
      </c>
      <c r="Z783" s="18">
        <v>0</v>
      </c>
      <c r="AA783" s="18">
        <f>SUMIF([1]SA007!$C:$C,'SA007 2025.01-2026.05 '!$D783,[1]SA007!P:P)</f>
        <v>220</v>
      </c>
      <c r="AB783" s="18">
        <f>SUMIF([1]SA007!$C:$C,'SA007 2025.01-2026.05 '!$D783,[1]SA007!Q:Q)</f>
        <v>0</v>
      </c>
      <c r="AC783" s="19">
        <f t="shared" si="27"/>
        <v>888</v>
      </c>
      <c r="AD783" s="19">
        <f t="shared" si="28"/>
        <v>52.235294117647058</v>
      </c>
      <c r="AG783" s="21">
        <f>SUMIF([1]SO003!$H:$H,'SA007 2025.01-2026.05 '!$D783,[1]SO003!AF:AF)</f>
        <v>0</v>
      </c>
      <c r="AH783" s="21">
        <f>SUMIF([1]SO003!$H:$H,'SA007 2025.01-2026.05 '!$D783,[1]SO003!AH:AH)</f>
        <v>0</v>
      </c>
      <c r="AI783" s="21">
        <f>SUMIF([1]SO003!$H:$H,'SA007 2025.01-2026.05 '!$D783,[1]SO003!AJ:AJ)</f>
        <v>0</v>
      </c>
    </row>
    <row r="784" spans="1:35" x14ac:dyDescent="0.55000000000000004">
      <c r="A784" s="2" t="s">
        <v>157</v>
      </c>
      <c r="D784" s="22" t="s">
        <v>1354</v>
      </c>
      <c r="E784" s="2" t="s">
        <v>240</v>
      </c>
      <c r="F784" s="2" t="s">
        <v>240</v>
      </c>
      <c r="G784" s="3" t="s">
        <v>57</v>
      </c>
      <c r="H784" s="2" t="s">
        <v>54</v>
      </c>
      <c r="I784" s="17">
        <v>0.8</v>
      </c>
      <c r="J784" s="3">
        <v>390</v>
      </c>
      <c r="K784" s="3" t="s">
        <v>41</v>
      </c>
      <c r="L784" s="21">
        <v>0</v>
      </c>
      <c r="M784" s="21">
        <v>0</v>
      </c>
      <c r="N784" s="21">
        <v>0</v>
      </c>
      <c r="O784" s="21">
        <v>0</v>
      </c>
      <c r="P784" s="21">
        <v>0</v>
      </c>
      <c r="Q784" s="21">
        <v>0</v>
      </c>
      <c r="R784" s="21">
        <v>0</v>
      </c>
      <c r="S784" s="21">
        <v>0</v>
      </c>
      <c r="T784" s="21">
        <v>0</v>
      </c>
      <c r="U784" s="21">
        <v>0</v>
      </c>
      <c r="V784" s="21">
        <v>0</v>
      </c>
      <c r="W784" s="21">
        <v>0</v>
      </c>
      <c r="X784" s="18">
        <v>1191</v>
      </c>
      <c r="Y784" s="18">
        <v>0</v>
      </c>
      <c r="Z784" s="18">
        <v>0</v>
      </c>
      <c r="AA784" s="18">
        <f>SUMIF([1]SA007!$C:$C,'SA007 2025.01-2026.05 '!$D784,[1]SA007!P:P)</f>
        <v>0</v>
      </c>
      <c r="AB784" s="18">
        <f>SUMIF([1]SA007!$C:$C,'SA007 2025.01-2026.05 '!$D784,[1]SA007!Q:Q)</f>
        <v>0</v>
      </c>
      <c r="AC784" s="19">
        <f t="shared" si="27"/>
        <v>1191</v>
      </c>
      <c r="AD784" s="19">
        <f t="shared" si="28"/>
        <v>70.058823529411768</v>
      </c>
      <c r="AG784" s="21">
        <f>SUMIF([1]SO003!$H:$H,'SA007 2025.01-2026.05 '!$D784,[1]SO003!AF:AF)</f>
        <v>0</v>
      </c>
      <c r="AH784" s="21">
        <f>SUMIF([1]SO003!$H:$H,'SA007 2025.01-2026.05 '!$D784,[1]SO003!AH:AH)</f>
        <v>0</v>
      </c>
      <c r="AI784" s="21">
        <f>SUMIF([1]SO003!$H:$H,'SA007 2025.01-2026.05 '!$D784,[1]SO003!AJ:AJ)</f>
        <v>0</v>
      </c>
    </row>
    <row r="785" spans="1:35" x14ac:dyDescent="0.55000000000000004">
      <c r="A785" s="2" t="s">
        <v>178</v>
      </c>
      <c r="D785" s="22" t="s">
        <v>1355</v>
      </c>
      <c r="E785" s="2" t="s">
        <v>185</v>
      </c>
      <c r="F785" s="2" t="s">
        <v>185</v>
      </c>
      <c r="G785" s="3" t="s">
        <v>57</v>
      </c>
      <c r="H785" s="2" t="s">
        <v>160</v>
      </c>
      <c r="I785" s="17">
        <v>1</v>
      </c>
      <c r="J785" s="3">
        <v>572</v>
      </c>
      <c r="K785" s="3" t="s">
        <v>1356</v>
      </c>
      <c r="L785" s="21">
        <v>0</v>
      </c>
      <c r="M785" s="21">
        <v>0</v>
      </c>
      <c r="N785" s="21">
        <v>0</v>
      </c>
      <c r="O785" s="21">
        <v>0</v>
      </c>
      <c r="P785" s="21">
        <v>0</v>
      </c>
      <c r="Q785" s="21">
        <v>0</v>
      </c>
      <c r="R785" s="21">
        <v>0</v>
      </c>
      <c r="S785" s="21">
        <v>0</v>
      </c>
      <c r="T785" s="21">
        <v>0</v>
      </c>
      <c r="U785" s="21">
        <v>0</v>
      </c>
      <c r="V785" s="21">
        <v>0</v>
      </c>
      <c r="W785" s="21">
        <v>0</v>
      </c>
      <c r="X785" s="18">
        <v>6235</v>
      </c>
      <c r="Y785" s="18">
        <v>1647</v>
      </c>
      <c r="Z785" s="18">
        <v>8018</v>
      </c>
      <c r="AA785" s="18">
        <f>SUMIF([1]SA007!$C:$C,'SA007 2025.01-2026.05 '!$D785,[1]SA007!P:P)</f>
        <v>0</v>
      </c>
      <c r="AB785" s="18">
        <f>SUMIF([1]SA007!$C:$C,'SA007 2025.01-2026.05 '!$D785,[1]SA007!Q:Q)</f>
        <v>10715</v>
      </c>
      <c r="AC785" s="19">
        <f t="shared" si="27"/>
        <v>26615</v>
      </c>
      <c r="AD785" s="19">
        <f t="shared" si="28"/>
        <v>1565.5882352941176</v>
      </c>
      <c r="AG785" s="21">
        <f>SUMIF([1]SO003!$H:$H,'SA007 2025.01-2026.05 '!$D785,[1]SO003!AF:AF)</f>
        <v>0</v>
      </c>
      <c r="AH785" s="21">
        <f>SUMIF([1]SO003!$H:$H,'SA007 2025.01-2026.05 '!$D785,[1]SO003!AH:AH)</f>
        <v>0</v>
      </c>
      <c r="AI785" s="21">
        <f>SUMIF([1]SO003!$H:$H,'SA007 2025.01-2026.05 '!$D785,[1]SO003!AJ:AJ)</f>
        <v>0</v>
      </c>
    </row>
    <row r="786" spans="1:35" x14ac:dyDescent="0.55000000000000004">
      <c r="A786" s="2" t="s">
        <v>72</v>
      </c>
      <c r="D786" s="22" t="s">
        <v>1357</v>
      </c>
      <c r="E786" s="2" t="s">
        <v>185</v>
      </c>
      <c r="F786" s="2" t="s">
        <v>185</v>
      </c>
      <c r="G786" s="3" t="s">
        <v>57</v>
      </c>
      <c r="H786" s="2" t="s">
        <v>160</v>
      </c>
      <c r="I786" s="17">
        <v>1.5</v>
      </c>
      <c r="J786" s="3">
        <v>470</v>
      </c>
      <c r="K786" s="3" t="s">
        <v>1358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>
        <v>0</v>
      </c>
      <c r="R786" s="21">
        <v>0</v>
      </c>
      <c r="S786" s="21">
        <v>0</v>
      </c>
      <c r="T786" s="21">
        <v>0</v>
      </c>
      <c r="U786" s="21">
        <v>0</v>
      </c>
      <c r="V786" s="21">
        <v>0</v>
      </c>
      <c r="W786" s="21">
        <v>0</v>
      </c>
      <c r="X786" s="18">
        <v>12534</v>
      </c>
      <c r="Y786" s="18">
        <v>2511</v>
      </c>
      <c r="Z786" s="18">
        <v>11027</v>
      </c>
      <c r="AA786" s="18">
        <f>SUMIF([1]SA007!$C:$C,'SA007 2025.01-2026.05 '!$D786,[1]SA007!P:P)</f>
        <v>0</v>
      </c>
      <c r="AB786" s="18">
        <f>SUMIF([1]SA007!$C:$C,'SA007 2025.01-2026.05 '!$D786,[1]SA007!Q:Q)</f>
        <v>19778</v>
      </c>
      <c r="AC786" s="19">
        <f t="shared" si="27"/>
        <v>45850</v>
      </c>
      <c r="AD786" s="19">
        <f t="shared" si="28"/>
        <v>2697.0588235294117</v>
      </c>
      <c r="AG786" s="21">
        <f>SUMIF([1]SO003!$H:$H,'SA007 2025.01-2026.05 '!$D786,[1]SO003!AF:AF)</f>
        <v>0</v>
      </c>
      <c r="AH786" s="21">
        <f>SUMIF([1]SO003!$H:$H,'SA007 2025.01-2026.05 '!$D786,[1]SO003!AH:AH)</f>
        <v>0</v>
      </c>
      <c r="AI786" s="21">
        <f>SUMIF([1]SO003!$H:$H,'SA007 2025.01-2026.05 '!$D786,[1]SO003!AJ:AJ)</f>
        <v>0</v>
      </c>
    </row>
    <row r="787" spans="1:35" x14ac:dyDescent="0.55000000000000004">
      <c r="A787" s="23" t="s">
        <v>219</v>
      </c>
      <c r="D787" s="22" t="s">
        <v>1359</v>
      </c>
      <c r="E787" s="2" t="s">
        <v>185</v>
      </c>
      <c r="F787" s="2" t="s">
        <v>185</v>
      </c>
      <c r="G787" s="3" t="s">
        <v>57</v>
      </c>
      <c r="H787" s="2" t="s">
        <v>67</v>
      </c>
      <c r="I787" s="17">
        <v>1.2</v>
      </c>
      <c r="J787" s="3">
        <v>224</v>
      </c>
      <c r="K787" s="3" t="s">
        <v>731</v>
      </c>
      <c r="L787" s="21">
        <v>0</v>
      </c>
      <c r="M787" s="21">
        <v>0</v>
      </c>
      <c r="N787" s="21">
        <v>0</v>
      </c>
      <c r="O787" s="21">
        <v>0</v>
      </c>
      <c r="P787" s="21">
        <v>0</v>
      </c>
      <c r="Q787" s="21">
        <v>0</v>
      </c>
      <c r="R787" s="21">
        <v>0</v>
      </c>
      <c r="S787" s="21">
        <v>0</v>
      </c>
      <c r="T787" s="21">
        <v>0</v>
      </c>
      <c r="U787" s="21">
        <v>0</v>
      </c>
      <c r="V787" s="21">
        <v>0</v>
      </c>
      <c r="W787" s="21">
        <v>0</v>
      </c>
      <c r="X787" s="18">
        <v>1029</v>
      </c>
      <c r="Y787" s="18">
        <v>2065</v>
      </c>
      <c r="Z787" s="18">
        <v>0</v>
      </c>
      <c r="AA787" s="18">
        <f>SUMIF([1]SA007!$C:$C,'SA007 2025.01-2026.05 '!$D787,[1]SA007!P:P)</f>
        <v>1137</v>
      </c>
      <c r="AB787" s="18">
        <f>SUMIF([1]SA007!$C:$C,'SA007 2025.01-2026.05 '!$D787,[1]SA007!Q:Q)</f>
        <v>0</v>
      </c>
      <c r="AC787" s="19">
        <f t="shared" si="27"/>
        <v>4231</v>
      </c>
      <c r="AD787" s="19">
        <f t="shared" si="28"/>
        <v>248.88235294117646</v>
      </c>
      <c r="AG787" s="21">
        <f>SUMIF([1]SO003!$H:$H,'SA007 2025.01-2026.05 '!$D787,[1]SO003!AF:AF)</f>
        <v>3215.2343999999998</v>
      </c>
      <c r="AH787" s="21">
        <f>SUMIF([1]SO003!$H:$H,'SA007 2025.01-2026.05 '!$D787,[1]SO003!AH:AH)</f>
        <v>3148.3575244799999</v>
      </c>
      <c r="AI787" s="21">
        <f>SUMIF([1]SO003!$H:$H,'SA007 2025.01-2026.05 '!$D787,[1]SO003!AJ:AJ)</f>
        <v>66.876875519999999</v>
      </c>
    </row>
    <row r="788" spans="1:35" x14ac:dyDescent="0.55000000000000004">
      <c r="A788" s="2" t="s">
        <v>361</v>
      </c>
      <c r="D788" s="22" t="s">
        <v>1360</v>
      </c>
      <c r="E788" s="2" t="s">
        <v>363</v>
      </c>
      <c r="F788" s="2" t="s">
        <v>363</v>
      </c>
      <c r="G788" s="3" t="s">
        <v>47</v>
      </c>
      <c r="H788" s="2" t="s">
        <v>213</v>
      </c>
      <c r="I788" s="17">
        <v>4.5</v>
      </c>
      <c r="J788" s="3">
        <v>102</v>
      </c>
      <c r="K788" s="3" t="s">
        <v>819</v>
      </c>
      <c r="L788" s="21">
        <v>0</v>
      </c>
      <c r="M788" s="21">
        <v>0</v>
      </c>
      <c r="N788" s="21">
        <v>0</v>
      </c>
      <c r="O788" s="21">
        <v>0</v>
      </c>
      <c r="P788" s="21">
        <v>0</v>
      </c>
      <c r="Q788" s="21">
        <v>0</v>
      </c>
      <c r="R788" s="21">
        <v>0</v>
      </c>
      <c r="S788" s="21">
        <v>0</v>
      </c>
      <c r="T788" s="21">
        <v>0</v>
      </c>
      <c r="U788" s="21">
        <v>0</v>
      </c>
      <c r="V788" s="21">
        <v>0</v>
      </c>
      <c r="W788" s="21">
        <v>0</v>
      </c>
      <c r="X788" s="18">
        <v>438</v>
      </c>
      <c r="Y788" s="18">
        <v>0</v>
      </c>
      <c r="Z788" s="18">
        <v>0</v>
      </c>
      <c r="AA788" s="18">
        <f>SUMIF([1]SA007!$C:$C,'SA007 2025.01-2026.05 '!$D788,[1]SA007!P:P)</f>
        <v>0</v>
      </c>
      <c r="AB788" s="18">
        <f>SUMIF([1]SA007!$C:$C,'SA007 2025.01-2026.05 '!$D788,[1]SA007!Q:Q)</f>
        <v>0</v>
      </c>
      <c r="AC788" s="19">
        <f t="shared" si="27"/>
        <v>438</v>
      </c>
      <c r="AD788" s="19">
        <f t="shared" si="28"/>
        <v>25.764705882352942</v>
      </c>
      <c r="AG788" s="21">
        <f>SUMIF([1]SO003!$H:$H,'SA007 2025.01-2026.05 '!$D788,[1]SO003!AF:AF)</f>
        <v>0</v>
      </c>
      <c r="AH788" s="21">
        <f>SUMIF([1]SO003!$H:$H,'SA007 2025.01-2026.05 '!$D788,[1]SO003!AH:AH)</f>
        <v>0</v>
      </c>
      <c r="AI788" s="21">
        <f>SUMIF([1]SO003!$H:$H,'SA007 2025.01-2026.05 '!$D788,[1]SO003!AJ:AJ)</f>
        <v>0</v>
      </c>
    </row>
    <row r="789" spans="1:35" x14ac:dyDescent="0.55000000000000004">
      <c r="A789" s="2" t="s">
        <v>157</v>
      </c>
      <c r="D789" s="22" t="s">
        <v>1361</v>
      </c>
      <c r="E789" s="2" t="s">
        <v>1362</v>
      </c>
      <c r="F789" s="2" t="s">
        <v>1362</v>
      </c>
      <c r="G789" s="3" t="s">
        <v>57</v>
      </c>
      <c r="H789" s="2" t="s">
        <v>67</v>
      </c>
      <c r="I789" s="17">
        <v>0.8</v>
      </c>
      <c r="J789" s="3">
        <v>127</v>
      </c>
      <c r="K789" s="3" t="s">
        <v>1363</v>
      </c>
      <c r="L789" s="21">
        <v>0</v>
      </c>
      <c r="M789" s="21">
        <v>0</v>
      </c>
      <c r="N789" s="21">
        <v>0</v>
      </c>
      <c r="O789" s="21">
        <v>0</v>
      </c>
      <c r="P789" s="21">
        <v>0</v>
      </c>
      <c r="Q789" s="21">
        <v>0</v>
      </c>
      <c r="R789" s="21">
        <v>0</v>
      </c>
      <c r="S789" s="21">
        <v>0</v>
      </c>
      <c r="T789" s="21">
        <v>0</v>
      </c>
      <c r="U789" s="21">
        <v>0</v>
      </c>
      <c r="V789" s="21">
        <v>3542</v>
      </c>
      <c r="W789" s="21">
        <v>6139</v>
      </c>
      <c r="X789" s="18">
        <v>2915</v>
      </c>
      <c r="Y789" s="18">
        <v>3045</v>
      </c>
      <c r="Z789" s="18">
        <v>3066</v>
      </c>
      <c r="AA789" s="18">
        <f>SUMIF([1]SA007!$C:$C,'SA007 2025.01-2026.05 '!$D789,[1]SA007!P:P)</f>
        <v>971</v>
      </c>
      <c r="AB789" s="18">
        <f>SUMIF([1]SA007!$C:$C,'SA007 2025.01-2026.05 '!$D789,[1]SA007!Q:Q)</f>
        <v>5866</v>
      </c>
      <c r="AC789" s="19">
        <f t="shared" si="27"/>
        <v>25544</v>
      </c>
      <c r="AD789" s="19">
        <f t="shared" si="28"/>
        <v>1502.5882352941176</v>
      </c>
      <c r="AG789" s="21">
        <f>SUMIF([1]SO003!$H:$H,'SA007 2025.01-2026.05 '!$D789,[1]SO003!AF:AF)</f>
        <v>0</v>
      </c>
      <c r="AH789" s="21">
        <f>SUMIF([1]SO003!$H:$H,'SA007 2025.01-2026.05 '!$D789,[1]SO003!AH:AH)</f>
        <v>0</v>
      </c>
      <c r="AI789" s="21">
        <f>SUMIF([1]SO003!$H:$H,'SA007 2025.01-2026.05 '!$D789,[1]SO003!AJ:AJ)</f>
        <v>0</v>
      </c>
    </row>
    <row r="790" spans="1:35" x14ac:dyDescent="0.55000000000000004">
      <c r="A790" s="2" t="s">
        <v>157</v>
      </c>
      <c r="D790" s="22" t="s">
        <v>1364</v>
      </c>
      <c r="E790" s="2" t="s">
        <v>1362</v>
      </c>
      <c r="F790" s="2" t="s">
        <v>1362</v>
      </c>
      <c r="G790" s="3" t="s">
        <v>57</v>
      </c>
      <c r="H790" s="2" t="s">
        <v>67</v>
      </c>
      <c r="I790" s="17">
        <v>0.8</v>
      </c>
      <c r="J790" s="3">
        <v>127</v>
      </c>
      <c r="K790" s="3" t="s">
        <v>319</v>
      </c>
      <c r="L790" s="21">
        <v>0</v>
      </c>
      <c r="M790" s="21">
        <v>0</v>
      </c>
      <c r="N790" s="21">
        <v>0</v>
      </c>
      <c r="O790" s="21">
        <v>0</v>
      </c>
      <c r="P790" s="21">
        <v>0</v>
      </c>
      <c r="Q790" s="21">
        <v>0</v>
      </c>
      <c r="R790" s="21">
        <v>0</v>
      </c>
      <c r="S790" s="21">
        <v>0</v>
      </c>
      <c r="T790" s="21">
        <v>0</v>
      </c>
      <c r="U790" s="21">
        <v>0</v>
      </c>
      <c r="V790" s="21">
        <v>2182</v>
      </c>
      <c r="W790" s="21">
        <v>3808</v>
      </c>
      <c r="X790" s="18">
        <v>1936</v>
      </c>
      <c r="Y790" s="18">
        <v>1926</v>
      </c>
      <c r="Z790" s="18">
        <v>1888</v>
      </c>
      <c r="AA790" s="18">
        <f>SUMIF([1]SA007!$C:$C,'SA007 2025.01-2026.05 '!$D790,[1]SA007!P:P)</f>
        <v>558</v>
      </c>
      <c r="AB790" s="18">
        <f>SUMIF([1]SA007!$C:$C,'SA007 2025.01-2026.05 '!$D790,[1]SA007!Q:Q)</f>
        <v>3844</v>
      </c>
      <c r="AC790" s="19">
        <f t="shared" si="27"/>
        <v>16142</v>
      </c>
      <c r="AD790" s="19">
        <f t="shared" si="28"/>
        <v>949.52941176470586</v>
      </c>
      <c r="AG790" s="21">
        <f>SUMIF([1]SO003!$H:$H,'SA007 2025.01-2026.05 '!$D790,[1]SO003!AF:AF)</f>
        <v>0</v>
      </c>
      <c r="AH790" s="21">
        <f>SUMIF([1]SO003!$H:$H,'SA007 2025.01-2026.05 '!$D790,[1]SO003!AH:AH)</f>
        <v>0</v>
      </c>
      <c r="AI790" s="21">
        <f>SUMIF([1]SO003!$H:$H,'SA007 2025.01-2026.05 '!$D790,[1]SO003!AJ:AJ)</f>
        <v>0</v>
      </c>
    </row>
    <row r="791" spans="1:35" x14ac:dyDescent="0.55000000000000004">
      <c r="A791" s="2" t="s">
        <v>247</v>
      </c>
      <c r="D791" s="22" t="s">
        <v>1365</v>
      </c>
      <c r="E791" s="2" t="s">
        <v>185</v>
      </c>
      <c r="F791" s="2" t="s">
        <v>185</v>
      </c>
      <c r="G791" s="3" t="s">
        <v>57</v>
      </c>
      <c r="H791" s="2" t="s">
        <v>160</v>
      </c>
      <c r="I791" s="17">
        <v>2</v>
      </c>
      <c r="J791" s="3">
        <v>190</v>
      </c>
      <c r="K791" s="3" t="s">
        <v>315</v>
      </c>
      <c r="L791" s="21">
        <v>0</v>
      </c>
      <c r="M791" s="21">
        <v>0</v>
      </c>
      <c r="N791" s="21">
        <v>0</v>
      </c>
      <c r="O791" s="21">
        <v>0</v>
      </c>
      <c r="P791" s="21">
        <v>0</v>
      </c>
      <c r="Q791" s="21">
        <v>0</v>
      </c>
      <c r="R791" s="21">
        <v>0</v>
      </c>
      <c r="S791" s="21">
        <v>0</v>
      </c>
      <c r="T791" s="21">
        <v>0</v>
      </c>
      <c r="U791" s="21">
        <v>0</v>
      </c>
      <c r="V791" s="21">
        <v>0</v>
      </c>
      <c r="W791" s="21">
        <v>0</v>
      </c>
      <c r="X791" s="18">
        <v>1005</v>
      </c>
      <c r="Y791" s="18">
        <v>0</v>
      </c>
      <c r="Z791" s="18">
        <v>1036</v>
      </c>
      <c r="AA791" s="18">
        <f>SUMIF([1]SA007!$C:$C,'SA007 2025.01-2026.05 '!$D791,[1]SA007!P:P)</f>
        <v>0</v>
      </c>
      <c r="AB791" s="18">
        <f>SUMIF([1]SA007!$C:$C,'SA007 2025.01-2026.05 '!$D791,[1]SA007!Q:Q)</f>
        <v>3473</v>
      </c>
      <c r="AC791" s="19">
        <f t="shared" si="27"/>
        <v>5514</v>
      </c>
      <c r="AD791" s="19">
        <f t="shared" si="28"/>
        <v>324.35294117647061</v>
      </c>
      <c r="AG791" s="21">
        <f>SUMIF([1]SO003!$H:$H,'SA007 2025.01-2026.05 '!$D791,[1]SO003!AF:AF)</f>
        <v>0</v>
      </c>
      <c r="AH791" s="21">
        <f>SUMIF([1]SO003!$H:$H,'SA007 2025.01-2026.05 '!$D791,[1]SO003!AH:AH)</f>
        <v>0</v>
      </c>
      <c r="AI791" s="21">
        <f>SUMIF([1]SO003!$H:$H,'SA007 2025.01-2026.05 '!$D791,[1]SO003!AJ:AJ)</f>
        <v>0</v>
      </c>
    </row>
    <row r="792" spans="1:35" x14ac:dyDescent="0.55000000000000004">
      <c r="A792" s="2" t="s">
        <v>489</v>
      </c>
      <c r="D792" s="22" t="s">
        <v>1366</v>
      </c>
      <c r="E792" s="2" t="s">
        <v>129</v>
      </c>
      <c r="F792" s="2" t="s">
        <v>129</v>
      </c>
      <c r="G792" s="3" t="s">
        <v>47</v>
      </c>
      <c r="H792" s="2" t="s">
        <v>402</v>
      </c>
      <c r="I792" s="17">
        <v>2.2999999999999998</v>
      </c>
      <c r="J792" s="3">
        <v>210</v>
      </c>
      <c r="K792" s="3" t="s">
        <v>183</v>
      </c>
      <c r="L792" s="21">
        <v>0</v>
      </c>
      <c r="M792" s="21">
        <v>0</v>
      </c>
      <c r="N792" s="21">
        <v>0</v>
      </c>
      <c r="O792" s="21">
        <v>0</v>
      </c>
      <c r="P792" s="21">
        <v>0</v>
      </c>
      <c r="Q792" s="21">
        <v>0</v>
      </c>
      <c r="R792" s="21">
        <v>0</v>
      </c>
      <c r="S792" s="21">
        <v>0</v>
      </c>
      <c r="T792" s="21">
        <v>0</v>
      </c>
      <c r="U792" s="21">
        <v>0</v>
      </c>
      <c r="V792" s="21">
        <v>0</v>
      </c>
      <c r="W792" s="21">
        <v>0</v>
      </c>
      <c r="X792" s="18">
        <v>279</v>
      </c>
      <c r="Y792" s="18">
        <v>0</v>
      </c>
      <c r="Z792" s="18">
        <v>0</v>
      </c>
      <c r="AA792" s="18">
        <f>SUMIF([1]SA007!$C:$C,'SA007 2025.01-2026.05 '!$D792,[1]SA007!P:P)</f>
        <v>0</v>
      </c>
      <c r="AB792" s="18">
        <f>SUMIF([1]SA007!$C:$C,'SA007 2025.01-2026.05 '!$D792,[1]SA007!Q:Q)</f>
        <v>0</v>
      </c>
      <c r="AC792" s="19">
        <f t="shared" si="27"/>
        <v>279</v>
      </c>
      <c r="AD792" s="19">
        <f t="shared" si="28"/>
        <v>16.411764705882351</v>
      </c>
      <c r="AG792" s="21">
        <f>SUMIF([1]SO003!$H:$H,'SA007 2025.01-2026.05 '!$D792,[1]SO003!AF:AF)</f>
        <v>451.19444999999996</v>
      </c>
      <c r="AH792" s="21">
        <f>SUMIF([1]SO003!$H:$H,'SA007 2025.01-2026.05 '!$D792,[1]SO003!AH:AH)</f>
        <v>464.08571999999992</v>
      </c>
      <c r="AI792" s="21">
        <f>SUMIF([1]SO003!$H:$H,'SA007 2025.01-2026.05 '!$D792,[1]SO003!AJ:AJ)</f>
        <v>0</v>
      </c>
    </row>
    <row r="793" spans="1:35" x14ac:dyDescent="0.55000000000000004">
      <c r="A793" s="2" t="s">
        <v>489</v>
      </c>
      <c r="D793" s="22" t="s">
        <v>1367</v>
      </c>
      <c r="E793" s="2" t="s">
        <v>129</v>
      </c>
      <c r="F793" s="2" t="s">
        <v>129</v>
      </c>
      <c r="G793" s="3" t="s">
        <v>47</v>
      </c>
      <c r="H793" s="2" t="s">
        <v>402</v>
      </c>
      <c r="I793" s="17">
        <v>2.2999999999999998</v>
      </c>
      <c r="J793" s="3">
        <v>185</v>
      </c>
      <c r="K793" s="3" t="s">
        <v>1368</v>
      </c>
      <c r="L793" s="21">
        <v>0</v>
      </c>
      <c r="M793" s="21">
        <v>0</v>
      </c>
      <c r="N793" s="21">
        <v>0</v>
      </c>
      <c r="O793" s="21">
        <v>0</v>
      </c>
      <c r="P793" s="21">
        <v>0</v>
      </c>
      <c r="Q793" s="21">
        <v>0</v>
      </c>
      <c r="R793" s="21">
        <v>0</v>
      </c>
      <c r="S793" s="21">
        <v>0</v>
      </c>
      <c r="T793" s="21">
        <v>0</v>
      </c>
      <c r="U793" s="21">
        <v>0</v>
      </c>
      <c r="V793" s="21">
        <v>0</v>
      </c>
      <c r="W793" s="21">
        <v>0</v>
      </c>
      <c r="X793" s="18">
        <v>725</v>
      </c>
      <c r="Y793" s="18">
        <v>0</v>
      </c>
      <c r="Z793" s="18">
        <v>0</v>
      </c>
      <c r="AA793" s="18">
        <f>SUMIF([1]SA007!$C:$C,'SA007 2025.01-2026.05 '!$D793,[1]SA007!P:P)</f>
        <v>0</v>
      </c>
      <c r="AB793" s="18">
        <f>SUMIF([1]SA007!$C:$C,'SA007 2025.01-2026.05 '!$D793,[1]SA007!Q:Q)</f>
        <v>0</v>
      </c>
      <c r="AC793" s="19">
        <f t="shared" si="27"/>
        <v>725</v>
      </c>
      <c r="AD793" s="19">
        <f t="shared" si="28"/>
        <v>42.647058823529413</v>
      </c>
      <c r="AG793" s="21">
        <f>SUMIF([1]SO003!$H:$H,'SA007 2025.01-2026.05 '!$D793,[1]SO003!AF:AF)</f>
        <v>877.7979899999998</v>
      </c>
      <c r="AH793" s="21">
        <f>SUMIF([1]SO003!$H:$H,'SA007 2025.01-2026.05 '!$D793,[1]SO003!AH:AH)</f>
        <v>877.7979899999998</v>
      </c>
      <c r="AI793" s="21">
        <f>SUMIF([1]SO003!$H:$H,'SA007 2025.01-2026.05 '!$D793,[1]SO003!AJ:AJ)</f>
        <v>0</v>
      </c>
    </row>
    <row r="794" spans="1:35" x14ac:dyDescent="0.55000000000000004">
      <c r="A794" s="2" t="s">
        <v>489</v>
      </c>
      <c r="D794" s="22" t="s">
        <v>1369</v>
      </c>
      <c r="E794" s="2" t="s">
        <v>129</v>
      </c>
      <c r="F794" s="2" t="s">
        <v>129</v>
      </c>
      <c r="G794" s="3" t="s">
        <v>47</v>
      </c>
      <c r="H794" s="2" t="s">
        <v>402</v>
      </c>
      <c r="I794" s="17">
        <v>2.2999999999999998</v>
      </c>
      <c r="J794" s="3">
        <v>125</v>
      </c>
      <c r="K794" s="3" t="s">
        <v>1370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>
        <v>0</v>
      </c>
      <c r="R794" s="21">
        <v>0</v>
      </c>
      <c r="S794" s="21">
        <v>0</v>
      </c>
      <c r="T794" s="21">
        <v>0</v>
      </c>
      <c r="U794" s="21">
        <v>0</v>
      </c>
      <c r="V794" s="21">
        <v>0</v>
      </c>
      <c r="W794" s="21">
        <v>0</v>
      </c>
      <c r="X794" s="18">
        <v>149</v>
      </c>
      <c r="Y794" s="18">
        <v>0</v>
      </c>
      <c r="Z794" s="18">
        <v>0</v>
      </c>
      <c r="AA794" s="18">
        <f>SUMIF([1]SA007!$C:$C,'SA007 2025.01-2026.05 '!$D794,[1]SA007!P:P)</f>
        <v>0</v>
      </c>
      <c r="AB794" s="18">
        <f>SUMIF([1]SA007!$C:$C,'SA007 2025.01-2026.05 '!$D794,[1]SA007!Q:Q)</f>
        <v>0</v>
      </c>
      <c r="AC794" s="19">
        <f t="shared" si="27"/>
        <v>149</v>
      </c>
      <c r="AD794" s="19">
        <f t="shared" si="28"/>
        <v>8.764705882352942</v>
      </c>
      <c r="AG794" s="21">
        <f>SUMIF([1]SO003!$H:$H,'SA007 2025.01-2026.05 '!$D794,[1]SO003!AF:AF)</f>
        <v>0</v>
      </c>
      <c r="AH794" s="21">
        <f>SUMIF([1]SO003!$H:$H,'SA007 2025.01-2026.05 '!$D794,[1]SO003!AH:AH)</f>
        <v>0</v>
      </c>
      <c r="AI794" s="21">
        <f>SUMIF([1]SO003!$H:$H,'SA007 2025.01-2026.05 '!$D794,[1]SO003!AJ:AJ)</f>
        <v>0</v>
      </c>
    </row>
    <row r="795" spans="1:35" x14ac:dyDescent="0.55000000000000004">
      <c r="A795" s="2" t="s">
        <v>157</v>
      </c>
      <c r="D795" s="22" t="s">
        <v>1371</v>
      </c>
      <c r="E795" s="2" t="s">
        <v>129</v>
      </c>
      <c r="F795" s="2" t="s">
        <v>129</v>
      </c>
      <c r="G795" s="3" t="s">
        <v>57</v>
      </c>
      <c r="H795" s="2" t="s">
        <v>160</v>
      </c>
      <c r="I795" s="17">
        <v>0.8</v>
      </c>
      <c r="J795" s="3">
        <v>148</v>
      </c>
      <c r="K795" s="3" t="s">
        <v>102</v>
      </c>
      <c r="L795" s="21">
        <v>0</v>
      </c>
      <c r="M795" s="21">
        <v>0</v>
      </c>
      <c r="N795" s="21">
        <v>0</v>
      </c>
      <c r="O795" s="21">
        <v>0</v>
      </c>
      <c r="P795" s="21">
        <v>0</v>
      </c>
      <c r="Q795" s="21">
        <v>0</v>
      </c>
      <c r="R795" s="21">
        <v>0</v>
      </c>
      <c r="S795" s="21">
        <v>0</v>
      </c>
      <c r="T795" s="21">
        <v>0</v>
      </c>
      <c r="U795" s="21">
        <v>0</v>
      </c>
      <c r="V795" s="21">
        <v>0</v>
      </c>
      <c r="W795" s="21">
        <v>0</v>
      </c>
      <c r="X795" s="18">
        <v>604</v>
      </c>
      <c r="Y795" s="18">
        <v>0</v>
      </c>
      <c r="Z795" s="18">
        <v>0</v>
      </c>
      <c r="AA795" s="18">
        <f>SUMIF([1]SA007!$C:$C,'SA007 2025.01-2026.05 '!$D795,[1]SA007!P:P)</f>
        <v>0</v>
      </c>
      <c r="AB795" s="18">
        <f>SUMIF([1]SA007!$C:$C,'SA007 2025.01-2026.05 '!$D795,[1]SA007!Q:Q)</f>
        <v>1566</v>
      </c>
      <c r="AC795" s="19">
        <f t="shared" si="27"/>
        <v>2170</v>
      </c>
      <c r="AD795" s="19">
        <f t="shared" si="28"/>
        <v>127.64705882352941</v>
      </c>
      <c r="AG795" s="21">
        <f>SUMIF([1]SO003!$H:$H,'SA007 2025.01-2026.05 '!$D795,[1]SO003!AF:AF)</f>
        <v>0</v>
      </c>
      <c r="AH795" s="21">
        <f>SUMIF([1]SO003!$H:$H,'SA007 2025.01-2026.05 '!$D795,[1]SO003!AH:AH)</f>
        <v>0</v>
      </c>
      <c r="AI795" s="21">
        <f>SUMIF([1]SO003!$H:$H,'SA007 2025.01-2026.05 '!$D795,[1]SO003!AJ:AJ)</f>
        <v>0</v>
      </c>
    </row>
    <row r="796" spans="1:35" x14ac:dyDescent="0.55000000000000004">
      <c r="A796" s="23" t="s">
        <v>219</v>
      </c>
      <c r="D796" s="22" t="s">
        <v>1372</v>
      </c>
      <c r="E796" s="2" t="s">
        <v>1373</v>
      </c>
      <c r="F796" s="2" t="s">
        <v>1373</v>
      </c>
      <c r="G796" s="3" t="s">
        <v>57</v>
      </c>
      <c r="H796" s="2" t="s">
        <v>160</v>
      </c>
      <c r="I796" s="17">
        <v>1.2</v>
      </c>
      <c r="J796" s="3">
        <v>405</v>
      </c>
      <c r="K796" s="3" t="s">
        <v>1374</v>
      </c>
      <c r="L796" s="21">
        <v>0</v>
      </c>
      <c r="M796" s="21">
        <v>0</v>
      </c>
      <c r="N796" s="21">
        <v>0</v>
      </c>
      <c r="O796" s="21">
        <v>0</v>
      </c>
      <c r="P796" s="21">
        <v>0</v>
      </c>
      <c r="Q796" s="21">
        <v>0</v>
      </c>
      <c r="R796" s="21">
        <v>0</v>
      </c>
      <c r="S796" s="21">
        <v>0</v>
      </c>
      <c r="T796" s="21">
        <v>0</v>
      </c>
      <c r="U796" s="21">
        <v>0</v>
      </c>
      <c r="V796" s="21">
        <v>0</v>
      </c>
      <c r="W796" s="21">
        <v>0</v>
      </c>
      <c r="X796" s="18">
        <v>2948</v>
      </c>
      <c r="Y796" s="18">
        <v>2159</v>
      </c>
      <c r="Z796" s="18">
        <v>0</v>
      </c>
      <c r="AA796" s="18">
        <f>SUMIF([1]SA007!$C:$C,'SA007 2025.01-2026.05 '!$D796,[1]SA007!P:P)</f>
        <v>0</v>
      </c>
      <c r="AB796" s="18">
        <f>SUMIF([1]SA007!$C:$C,'SA007 2025.01-2026.05 '!$D796,[1]SA007!Q:Q)</f>
        <v>0</v>
      </c>
      <c r="AC796" s="19">
        <f t="shared" si="27"/>
        <v>5107</v>
      </c>
      <c r="AD796" s="19">
        <f t="shared" si="28"/>
        <v>300.41176470588238</v>
      </c>
      <c r="AG796" s="21">
        <f>SUMIF([1]SO003!$H:$H,'SA007 2025.01-2026.05 '!$D796,[1]SO003!AF:AF)</f>
        <v>0</v>
      </c>
      <c r="AH796" s="21">
        <f>SUMIF([1]SO003!$H:$H,'SA007 2025.01-2026.05 '!$D796,[1]SO003!AH:AH)</f>
        <v>0</v>
      </c>
      <c r="AI796" s="21">
        <f>SUMIF([1]SO003!$H:$H,'SA007 2025.01-2026.05 '!$D796,[1]SO003!AJ:AJ)</f>
        <v>0</v>
      </c>
    </row>
    <row r="797" spans="1:35" x14ac:dyDescent="0.55000000000000004">
      <c r="A797" s="2" t="s">
        <v>1375</v>
      </c>
      <c r="D797" s="22" t="s">
        <v>1376</v>
      </c>
      <c r="E797" s="2" t="s">
        <v>1373</v>
      </c>
      <c r="F797" s="2" t="s">
        <v>1373</v>
      </c>
      <c r="G797" s="3" t="s">
        <v>57</v>
      </c>
      <c r="H797" s="2" t="s">
        <v>160</v>
      </c>
      <c r="I797" s="17">
        <v>1.8</v>
      </c>
      <c r="J797" s="3">
        <v>424</v>
      </c>
      <c r="K797" s="3" t="s">
        <v>1377</v>
      </c>
      <c r="L797" s="21">
        <v>0</v>
      </c>
      <c r="M797" s="21">
        <v>0</v>
      </c>
      <c r="N797" s="21">
        <v>0</v>
      </c>
      <c r="O797" s="21">
        <v>0</v>
      </c>
      <c r="P797" s="21">
        <v>0</v>
      </c>
      <c r="Q797" s="21">
        <v>0</v>
      </c>
      <c r="R797" s="21">
        <v>0</v>
      </c>
      <c r="S797" s="21">
        <v>0</v>
      </c>
      <c r="T797" s="21">
        <v>0</v>
      </c>
      <c r="U797" s="21">
        <v>0</v>
      </c>
      <c r="V797" s="21">
        <v>0</v>
      </c>
      <c r="W797" s="21">
        <v>0</v>
      </c>
      <c r="X797" s="18">
        <v>5106</v>
      </c>
      <c r="Y797" s="18">
        <v>0</v>
      </c>
      <c r="Z797" s="18">
        <v>0</v>
      </c>
      <c r="AA797" s="18">
        <f>SUMIF([1]SA007!$C:$C,'SA007 2025.01-2026.05 '!$D797,[1]SA007!P:P)</f>
        <v>0</v>
      </c>
      <c r="AB797" s="18">
        <f>SUMIF([1]SA007!$C:$C,'SA007 2025.01-2026.05 '!$D797,[1]SA007!Q:Q)</f>
        <v>0</v>
      </c>
      <c r="AC797" s="19">
        <f t="shared" si="27"/>
        <v>5106</v>
      </c>
      <c r="AD797" s="19">
        <f t="shared" si="28"/>
        <v>300.35294117647061</v>
      </c>
      <c r="AG797" s="21">
        <f>SUMIF([1]SO003!$H:$H,'SA007 2025.01-2026.05 '!$D797,[1]SO003!AF:AF)</f>
        <v>0</v>
      </c>
      <c r="AH797" s="21">
        <f>SUMIF([1]SO003!$H:$H,'SA007 2025.01-2026.05 '!$D797,[1]SO003!AH:AH)</f>
        <v>0</v>
      </c>
      <c r="AI797" s="21">
        <f>SUMIF([1]SO003!$H:$H,'SA007 2025.01-2026.05 '!$D797,[1]SO003!AJ:AJ)</f>
        <v>0</v>
      </c>
    </row>
    <row r="798" spans="1:35" x14ac:dyDescent="0.55000000000000004">
      <c r="A798" s="2" t="s">
        <v>145</v>
      </c>
      <c r="D798" s="22" t="s">
        <v>1378</v>
      </c>
      <c r="E798" s="2" t="s">
        <v>182</v>
      </c>
      <c r="F798" s="2" t="s">
        <v>182</v>
      </c>
      <c r="G798" s="3" t="s">
        <v>63</v>
      </c>
      <c r="H798" s="2" t="s">
        <v>61</v>
      </c>
      <c r="I798" s="17">
        <v>0.8</v>
      </c>
      <c r="J798" s="3">
        <v>95</v>
      </c>
      <c r="K798" s="3" t="s">
        <v>41</v>
      </c>
      <c r="L798" s="21">
        <v>0</v>
      </c>
      <c r="M798" s="21">
        <v>0</v>
      </c>
      <c r="N798" s="21">
        <v>0</v>
      </c>
      <c r="O798" s="21">
        <v>0</v>
      </c>
      <c r="P798" s="21">
        <v>0</v>
      </c>
      <c r="Q798" s="21">
        <v>0</v>
      </c>
      <c r="R798" s="21">
        <v>0</v>
      </c>
      <c r="S798" s="21">
        <v>0</v>
      </c>
      <c r="T798" s="21">
        <v>0</v>
      </c>
      <c r="U798" s="21">
        <v>0</v>
      </c>
      <c r="V798" s="21">
        <v>0</v>
      </c>
      <c r="W798" s="21">
        <v>0</v>
      </c>
      <c r="X798" s="18">
        <v>0</v>
      </c>
      <c r="Y798" s="18">
        <v>180</v>
      </c>
      <c r="Z798" s="18">
        <v>207</v>
      </c>
      <c r="AA798" s="18">
        <f>SUMIF([1]SA007!$C:$C,'SA007 2025.01-2026.05 '!$D798,[1]SA007!P:P)</f>
        <v>0</v>
      </c>
      <c r="AB798" s="18">
        <f>SUMIF([1]SA007!$C:$C,'SA007 2025.01-2026.05 '!$D798,[1]SA007!Q:Q)</f>
        <v>0</v>
      </c>
      <c r="AC798" s="19">
        <f t="shared" si="27"/>
        <v>387</v>
      </c>
      <c r="AD798" s="19">
        <f t="shared" si="28"/>
        <v>22.764705882352942</v>
      </c>
      <c r="AG798" s="21">
        <f>SUMIF([1]SO003!$H:$H,'SA007 2025.01-2026.05 '!$D798,[1]SO003!AF:AF)</f>
        <v>364</v>
      </c>
      <c r="AH798" s="21">
        <f>SUMIF([1]SO003!$H:$H,'SA007 2025.01-2026.05 '!$D798,[1]SO003!AH:AH)</f>
        <v>0</v>
      </c>
      <c r="AI798" s="21">
        <f>SUMIF([1]SO003!$H:$H,'SA007 2025.01-2026.05 '!$D798,[1]SO003!AJ:AJ)</f>
        <v>364</v>
      </c>
    </row>
    <row r="799" spans="1:35" x14ac:dyDescent="0.55000000000000004">
      <c r="A799" s="2" t="s">
        <v>456</v>
      </c>
      <c r="D799" s="22" t="s">
        <v>1379</v>
      </c>
      <c r="E799" s="2" t="s">
        <v>129</v>
      </c>
      <c r="F799" s="2" t="s">
        <v>129</v>
      </c>
      <c r="G799" s="3" t="s">
        <v>47</v>
      </c>
      <c r="H799" s="2" t="s">
        <v>402</v>
      </c>
      <c r="I799" s="17">
        <v>3</v>
      </c>
      <c r="J799" s="3">
        <v>124</v>
      </c>
      <c r="K799" s="3" t="s">
        <v>1370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>
        <v>0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  <c r="W799" s="21">
        <v>0</v>
      </c>
      <c r="X799" s="18">
        <v>0</v>
      </c>
      <c r="Y799" s="18">
        <v>4773</v>
      </c>
      <c r="Z799" s="18">
        <v>286</v>
      </c>
      <c r="AA799" s="18">
        <f>SUMIF([1]SA007!$C:$C,'SA007 2025.01-2026.05 '!$D799,[1]SA007!P:P)</f>
        <v>2130</v>
      </c>
      <c r="AB799" s="18">
        <f>SUMIF([1]SA007!$C:$C,'SA007 2025.01-2026.05 '!$D799,[1]SA007!Q:Q)</f>
        <v>1192</v>
      </c>
      <c r="AC799" s="19">
        <f t="shared" si="27"/>
        <v>8381</v>
      </c>
      <c r="AD799" s="19">
        <f t="shared" si="28"/>
        <v>493</v>
      </c>
      <c r="AG799" s="21">
        <f>SUMIF([1]SO003!$H:$H,'SA007 2025.01-2026.05 '!$D799,[1]SO003!AF:AF)</f>
        <v>0</v>
      </c>
      <c r="AH799" s="21">
        <f>SUMIF([1]SO003!$H:$H,'SA007 2025.01-2026.05 '!$D799,[1]SO003!AH:AH)</f>
        <v>0</v>
      </c>
      <c r="AI799" s="21">
        <f>SUMIF([1]SO003!$H:$H,'SA007 2025.01-2026.05 '!$D799,[1]SO003!AJ:AJ)</f>
        <v>0</v>
      </c>
    </row>
    <row r="800" spans="1:35" x14ac:dyDescent="0.55000000000000004">
      <c r="A800" s="2" t="s">
        <v>456</v>
      </c>
      <c r="D800" s="22" t="s">
        <v>1380</v>
      </c>
      <c r="E800" s="2" t="s">
        <v>129</v>
      </c>
      <c r="F800" s="2" t="s">
        <v>129</v>
      </c>
      <c r="G800" s="3" t="s">
        <v>47</v>
      </c>
      <c r="H800" s="2" t="s">
        <v>402</v>
      </c>
      <c r="I800" s="17">
        <v>3</v>
      </c>
      <c r="J800" s="3">
        <v>475</v>
      </c>
      <c r="K800" s="3" t="s">
        <v>1381</v>
      </c>
      <c r="L800" s="21">
        <v>0</v>
      </c>
      <c r="M800" s="21">
        <v>0</v>
      </c>
      <c r="N800" s="21">
        <v>0</v>
      </c>
      <c r="O800" s="21">
        <v>0</v>
      </c>
      <c r="P800" s="21">
        <v>0</v>
      </c>
      <c r="Q800" s="21">
        <v>0</v>
      </c>
      <c r="R800" s="21">
        <v>0</v>
      </c>
      <c r="S800" s="21">
        <v>0</v>
      </c>
      <c r="T800" s="21">
        <v>0</v>
      </c>
      <c r="U800" s="21">
        <v>0</v>
      </c>
      <c r="V800" s="21">
        <v>0</v>
      </c>
      <c r="W800" s="21">
        <v>0</v>
      </c>
      <c r="X800" s="18">
        <v>0</v>
      </c>
      <c r="Y800" s="18">
        <v>4592</v>
      </c>
      <c r="Z800" s="18">
        <v>0</v>
      </c>
      <c r="AA800" s="18">
        <f>SUMIF([1]SA007!$C:$C,'SA007 2025.01-2026.05 '!$D800,[1]SA007!P:P)</f>
        <v>0</v>
      </c>
      <c r="AB800" s="18">
        <f>SUMIF([1]SA007!$C:$C,'SA007 2025.01-2026.05 '!$D800,[1]SA007!Q:Q)</f>
        <v>0</v>
      </c>
      <c r="AC800" s="19">
        <f t="shared" si="27"/>
        <v>4592</v>
      </c>
      <c r="AD800" s="19">
        <f t="shared" si="28"/>
        <v>270.11764705882354</v>
      </c>
      <c r="AG800" s="21">
        <f>SUMIF([1]SO003!$H:$H,'SA007 2025.01-2026.05 '!$D800,[1]SO003!AF:AF)</f>
        <v>0</v>
      </c>
      <c r="AH800" s="21">
        <f>SUMIF([1]SO003!$H:$H,'SA007 2025.01-2026.05 '!$D800,[1]SO003!AH:AH)</f>
        <v>0</v>
      </c>
      <c r="AI800" s="21">
        <f>SUMIF([1]SO003!$H:$H,'SA007 2025.01-2026.05 '!$D800,[1]SO003!AJ:AJ)</f>
        <v>0</v>
      </c>
    </row>
    <row r="801" spans="1:35" x14ac:dyDescent="0.55000000000000004">
      <c r="A801" s="2" t="s">
        <v>1096</v>
      </c>
      <c r="D801" s="22" t="s">
        <v>1382</v>
      </c>
      <c r="E801" s="2" t="s">
        <v>363</v>
      </c>
      <c r="F801" s="2" t="s">
        <v>363</v>
      </c>
      <c r="G801" s="3" t="s">
        <v>47</v>
      </c>
      <c r="H801" s="2" t="s">
        <v>1383</v>
      </c>
      <c r="I801" s="17">
        <v>2</v>
      </c>
      <c r="J801" s="3">
        <v>1220</v>
      </c>
      <c r="K801" s="3" t="s">
        <v>371</v>
      </c>
      <c r="L801" s="21">
        <v>0</v>
      </c>
      <c r="M801" s="21">
        <v>0</v>
      </c>
      <c r="N801" s="21">
        <v>0</v>
      </c>
      <c r="O801" s="21">
        <v>0</v>
      </c>
      <c r="P801" s="21">
        <v>0</v>
      </c>
      <c r="Q801" s="21">
        <v>0</v>
      </c>
      <c r="R801" s="21">
        <v>0</v>
      </c>
      <c r="S801" s="21">
        <v>0</v>
      </c>
      <c r="T801" s="21">
        <v>0</v>
      </c>
      <c r="U801" s="21">
        <v>0</v>
      </c>
      <c r="V801" s="21">
        <v>0</v>
      </c>
      <c r="W801" s="21">
        <v>0</v>
      </c>
      <c r="X801" s="18">
        <v>0</v>
      </c>
      <c r="Y801" s="18">
        <v>1074</v>
      </c>
      <c r="Z801" s="18">
        <v>0</v>
      </c>
      <c r="AA801" s="18">
        <f>SUMIF([1]SA007!$C:$C,'SA007 2025.01-2026.05 '!$D801,[1]SA007!P:P)</f>
        <v>755</v>
      </c>
      <c r="AB801" s="18">
        <f>SUMIF([1]SA007!$C:$C,'SA007 2025.01-2026.05 '!$D801,[1]SA007!Q:Q)</f>
        <v>0</v>
      </c>
      <c r="AC801" s="19">
        <f t="shared" si="27"/>
        <v>1829</v>
      </c>
      <c r="AD801" s="19">
        <f t="shared" si="28"/>
        <v>107.58823529411765</v>
      </c>
      <c r="AG801" s="21">
        <f>SUMIF([1]SO003!$H:$H,'SA007 2025.01-2026.05 '!$D801,[1]SO003!AF:AF)</f>
        <v>0</v>
      </c>
      <c r="AH801" s="21">
        <f>SUMIF([1]SO003!$H:$H,'SA007 2025.01-2026.05 '!$D801,[1]SO003!AH:AH)</f>
        <v>0</v>
      </c>
      <c r="AI801" s="21">
        <f>SUMIF([1]SO003!$H:$H,'SA007 2025.01-2026.05 '!$D801,[1]SO003!AJ:AJ)</f>
        <v>0</v>
      </c>
    </row>
    <row r="802" spans="1:35" x14ac:dyDescent="0.55000000000000004">
      <c r="A802" s="2" t="s">
        <v>389</v>
      </c>
      <c r="D802" s="22" t="s">
        <v>1384</v>
      </c>
      <c r="E802" s="2" t="s">
        <v>363</v>
      </c>
      <c r="F802" s="2" t="s">
        <v>363</v>
      </c>
      <c r="G802" s="3" t="s">
        <v>47</v>
      </c>
      <c r="H802" s="2" t="s">
        <v>402</v>
      </c>
      <c r="I802" s="17">
        <v>2</v>
      </c>
      <c r="J802" s="3">
        <v>1220</v>
      </c>
      <c r="K802" s="3" t="s">
        <v>371</v>
      </c>
      <c r="L802" s="21">
        <v>0</v>
      </c>
      <c r="M802" s="21">
        <v>0</v>
      </c>
      <c r="N802" s="21">
        <v>0</v>
      </c>
      <c r="O802" s="21">
        <v>0</v>
      </c>
      <c r="P802" s="21">
        <v>0</v>
      </c>
      <c r="Q802" s="21">
        <v>0</v>
      </c>
      <c r="R802" s="21">
        <v>0</v>
      </c>
      <c r="S802" s="21">
        <v>0</v>
      </c>
      <c r="T802" s="21">
        <v>0</v>
      </c>
      <c r="U802" s="21">
        <v>0</v>
      </c>
      <c r="V802" s="21">
        <v>0</v>
      </c>
      <c r="W802" s="21">
        <v>0</v>
      </c>
      <c r="X802" s="18">
        <v>0</v>
      </c>
      <c r="Y802" s="18">
        <v>1115</v>
      </c>
      <c r="Z802" s="18">
        <v>0</v>
      </c>
      <c r="AA802" s="18">
        <f>SUMIF([1]SA007!$C:$C,'SA007 2025.01-2026.05 '!$D802,[1]SA007!P:P)</f>
        <v>0</v>
      </c>
      <c r="AB802" s="18">
        <f>SUMIF([1]SA007!$C:$C,'SA007 2025.01-2026.05 '!$D802,[1]SA007!Q:Q)</f>
        <v>0</v>
      </c>
      <c r="AC802" s="19">
        <f t="shared" si="27"/>
        <v>1115</v>
      </c>
      <c r="AD802" s="19">
        <f t="shared" si="28"/>
        <v>65.588235294117652</v>
      </c>
      <c r="AG802" s="21">
        <f>SUMIF([1]SO003!$H:$H,'SA007 2025.01-2026.05 '!$D802,[1]SO003!AF:AF)</f>
        <v>0</v>
      </c>
      <c r="AH802" s="21">
        <f>SUMIF([1]SO003!$H:$H,'SA007 2025.01-2026.05 '!$D802,[1]SO003!AH:AH)</f>
        <v>0</v>
      </c>
      <c r="AI802" s="21">
        <f>SUMIF([1]SO003!$H:$H,'SA007 2025.01-2026.05 '!$D802,[1]SO003!AJ:AJ)</f>
        <v>0</v>
      </c>
    </row>
    <row r="803" spans="1:35" x14ac:dyDescent="0.55000000000000004">
      <c r="A803" s="2" t="s">
        <v>361</v>
      </c>
      <c r="D803" s="22" t="s">
        <v>1385</v>
      </c>
      <c r="E803" s="2" t="s">
        <v>363</v>
      </c>
      <c r="F803" s="2" t="s">
        <v>363</v>
      </c>
      <c r="G803" s="3" t="s">
        <v>47</v>
      </c>
      <c r="H803" s="2" t="s">
        <v>213</v>
      </c>
      <c r="I803" s="17">
        <v>4.5</v>
      </c>
      <c r="J803" s="3">
        <v>77</v>
      </c>
      <c r="K803" s="3" t="s">
        <v>731</v>
      </c>
      <c r="L803" s="21">
        <v>0</v>
      </c>
      <c r="M803" s="21">
        <v>0</v>
      </c>
      <c r="N803" s="21">
        <v>0</v>
      </c>
      <c r="O803" s="21">
        <v>0</v>
      </c>
      <c r="P803" s="21">
        <v>0</v>
      </c>
      <c r="Q803" s="21">
        <v>0</v>
      </c>
      <c r="R803" s="21">
        <v>0</v>
      </c>
      <c r="S803" s="21">
        <v>0</v>
      </c>
      <c r="T803" s="21">
        <v>0</v>
      </c>
      <c r="U803" s="21">
        <v>0</v>
      </c>
      <c r="V803" s="21">
        <v>0</v>
      </c>
      <c r="W803" s="21">
        <v>0</v>
      </c>
      <c r="X803" s="18">
        <v>0</v>
      </c>
      <c r="Y803" s="18">
        <v>328</v>
      </c>
      <c r="Z803" s="18">
        <v>642</v>
      </c>
      <c r="AA803" s="18">
        <f>SUMIF([1]SA007!$C:$C,'SA007 2025.01-2026.05 '!$D803,[1]SA007!P:P)</f>
        <v>0</v>
      </c>
      <c r="AB803" s="18">
        <f>SUMIF([1]SA007!$C:$C,'SA007 2025.01-2026.05 '!$D803,[1]SA007!Q:Q)</f>
        <v>0</v>
      </c>
      <c r="AC803" s="19">
        <f t="shared" si="27"/>
        <v>970</v>
      </c>
      <c r="AD803" s="19">
        <f t="shared" si="28"/>
        <v>57.058823529411768</v>
      </c>
      <c r="AG803" s="21">
        <f>SUMIF([1]SO003!$H:$H,'SA007 2025.01-2026.05 '!$D803,[1]SO003!AF:AF)</f>
        <v>0</v>
      </c>
      <c r="AH803" s="21">
        <f>SUMIF([1]SO003!$H:$H,'SA007 2025.01-2026.05 '!$D803,[1]SO003!AH:AH)</f>
        <v>0</v>
      </c>
      <c r="AI803" s="21">
        <f>SUMIF([1]SO003!$H:$H,'SA007 2025.01-2026.05 '!$D803,[1]SO003!AJ:AJ)</f>
        <v>0</v>
      </c>
    </row>
    <row r="804" spans="1:35" x14ac:dyDescent="0.55000000000000004">
      <c r="A804" s="2" t="s">
        <v>456</v>
      </c>
      <c r="D804" s="22" t="s">
        <v>1386</v>
      </c>
      <c r="E804" s="2" t="s">
        <v>129</v>
      </c>
      <c r="F804" s="2" t="s">
        <v>129</v>
      </c>
      <c r="G804" s="3" t="s">
        <v>47</v>
      </c>
      <c r="H804" s="2" t="s">
        <v>402</v>
      </c>
      <c r="I804" s="17">
        <v>3</v>
      </c>
      <c r="J804" s="3">
        <v>186</v>
      </c>
      <c r="K804" s="3" t="s">
        <v>1300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>
        <v>0</v>
      </c>
      <c r="R804" s="21">
        <v>0</v>
      </c>
      <c r="S804" s="21">
        <v>0</v>
      </c>
      <c r="T804" s="21">
        <v>0</v>
      </c>
      <c r="U804" s="21">
        <v>0</v>
      </c>
      <c r="V804" s="21">
        <v>0</v>
      </c>
      <c r="W804" s="21">
        <v>0</v>
      </c>
      <c r="X804" s="18">
        <v>0</v>
      </c>
      <c r="Y804" s="18">
        <v>8508</v>
      </c>
      <c r="Z804" s="18">
        <v>0</v>
      </c>
      <c r="AA804" s="18">
        <f>SUMIF([1]SA007!$C:$C,'SA007 2025.01-2026.05 '!$D804,[1]SA007!P:P)</f>
        <v>3901</v>
      </c>
      <c r="AB804" s="18">
        <f>SUMIF([1]SA007!$C:$C,'SA007 2025.01-2026.05 '!$D804,[1]SA007!Q:Q)</f>
        <v>2024</v>
      </c>
      <c r="AC804" s="19">
        <f t="shared" si="27"/>
        <v>14433</v>
      </c>
      <c r="AD804" s="19">
        <f t="shared" si="28"/>
        <v>849</v>
      </c>
      <c r="AG804" s="21">
        <f>SUMIF([1]SO003!$H:$H,'SA007 2025.01-2026.05 '!$D804,[1]SO003!AF:AF)</f>
        <v>0</v>
      </c>
      <c r="AH804" s="21">
        <f>SUMIF([1]SO003!$H:$H,'SA007 2025.01-2026.05 '!$D804,[1]SO003!AH:AH)</f>
        <v>0</v>
      </c>
      <c r="AI804" s="21">
        <f>SUMIF([1]SO003!$H:$H,'SA007 2025.01-2026.05 '!$D804,[1]SO003!AJ:AJ)</f>
        <v>0</v>
      </c>
    </row>
    <row r="805" spans="1:35" x14ac:dyDescent="0.55000000000000004">
      <c r="A805" s="2" t="s">
        <v>456</v>
      </c>
      <c r="D805" s="22" t="s">
        <v>1387</v>
      </c>
      <c r="E805" s="2" t="s">
        <v>129</v>
      </c>
      <c r="F805" s="2" t="s">
        <v>129</v>
      </c>
      <c r="G805" s="3" t="s">
        <v>47</v>
      </c>
      <c r="H805" s="2" t="s">
        <v>402</v>
      </c>
      <c r="I805" s="17">
        <v>3</v>
      </c>
      <c r="J805" s="3">
        <v>319</v>
      </c>
      <c r="K805" s="3" t="s">
        <v>1388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>
        <v>0</v>
      </c>
      <c r="R805" s="21">
        <v>0</v>
      </c>
      <c r="S805" s="21">
        <v>0</v>
      </c>
      <c r="T805" s="21">
        <v>0</v>
      </c>
      <c r="U805" s="21">
        <v>0</v>
      </c>
      <c r="V805" s="21">
        <v>0</v>
      </c>
      <c r="W805" s="21">
        <v>0</v>
      </c>
      <c r="X805" s="18">
        <v>0</v>
      </c>
      <c r="Y805" s="18">
        <v>1424</v>
      </c>
      <c r="Z805" s="18">
        <v>0</v>
      </c>
      <c r="AA805" s="18">
        <f>SUMIF([1]SA007!$C:$C,'SA007 2025.01-2026.05 '!$D805,[1]SA007!P:P)</f>
        <v>904</v>
      </c>
      <c r="AB805" s="18">
        <f>SUMIF([1]SA007!$C:$C,'SA007 2025.01-2026.05 '!$D805,[1]SA007!Q:Q)</f>
        <v>598</v>
      </c>
      <c r="AC805" s="19">
        <f t="shared" si="27"/>
        <v>2926</v>
      </c>
      <c r="AD805" s="19">
        <f t="shared" si="28"/>
        <v>172.11764705882354</v>
      </c>
      <c r="AG805" s="21">
        <f>SUMIF([1]SO003!$H:$H,'SA007 2025.01-2026.05 '!$D805,[1]SO003!AF:AF)</f>
        <v>0</v>
      </c>
      <c r="AH805" s="21">
        <f>SUMIF([1]SO003!$H:$H,'SA007 2025.01-2026.05 '!$D805,[1]SO003!AH:AH)</f>
        <v>0</v>
      </c>
      <c r="AI805" s="21">
        <f>SUMIF([1]SO003!$H:$H,'SA007 2025.01-2026.05 '!$D805,[1]SO003!AJ:AJ)</f>
        <v>0</v>
      </c>
    </row>
    <row r="806" spans="1:35" x14ac:dyDescent="0.55000000000000004">
      <c r="A806" s="2" t="s">
        <v>456</v>
      </c>
      <c r="D806" s="22" t="s">
        <v>1389</v>
      </c>
      <c r="E806" s="2" t="s">
        <v>129</v>
      </c>
      <c r="F806" s="2" t="s">
        <v>129</v>
      </c>
      <c r="G806" s="3" t="s">
        <v>47</v>
      </c>
      <c r="H806" s="2" t="s">
        <v>402</v>
      </c>
      <c r="I806" s="17">
        <v>3</v>
      </c>
      <c r="J806" s="3">
        <v>520</v>
      </c>
      <c r="K806" s="3" t="s">
        <v>1390</v>
      </c>
      <c r="L806" s="21">
        <v>0</v>
      </c>
      <c r="M806" s="21">
        <v>0</v>
      </c>
      <c r="N806" s="21">
        <v>0</v>
      </c>
      <c r="O806" s="21">
        <v>0</v>
      </c>
      <c r="P806" s="21">
        <v>0</v>
      </c>
      <c r="Q806" s="21">
        <v>0</v>
      </c>
      <c r="R806" s="21">
        <v>0</v>
      </c>
      <c r="S806" s="21">
        <v>0</v>
      </c>
      <c r="T806" s="21">
        <v>0</v>
      </c>
      <c r="U806" s="21">
        <v>0</v>
      </c>
      <c r="V806" s="21">
        <v>0</v>
      </c>
      <c r="W806" s="21">
        <v>0</v>
      </c>
      <c r="X806" s="18">
        <v>0</v>
      </c>
      <c r="Y806" s="18">
        <v>2515</v>
      </c>
      <c r="Z806" s="18">
        <v>396</v>
      </c>
      <c r="AA806" s="18">
        <f>SUMIF([1]SA007!$C:$C,'SA007 2025.01-2026.05 '!$D806,[1]SA007!P:P)</f>
        <v>0</v>
      </c>
      <c r="AB806" s="18">
        <f>SUMIF([1]SA007!$C:$C,'SA007 2025.01-2026.05 '!$D806,[1]SA007!Q:Q)</f>
        <v>0</v>
      </c>
      <c r="AC806" s="19">
        <f t="shared" si="27"/>
        <v>2911</v>
      </c>
      <c r="AD806" s="19">
        <f t="shared" si="28"/>
        <v>171.23529411764707</v>
      </c>
      <c r="AG806" s="21">
        <f>SUMIF([1]SO003!$H:$H,'SA007 2025.01-2026.05 '!$D806,[1]SO003!AF:AF)</f>
        <v>0</v>
      </c>
      <c r="AH806" s="21">
        <f>SUMIF([1]SO003!$H:$H,'SA007 2025.01-2026.05 '!$D806,[1]SO003!AH:AH)</f>
        <v>0</v>
      </c>
      <c r="AI806" s="21">
        <f>SUMIF([1]SO003!$H:$H,'SA007 2025.01-2026.05 '!$D806,[1]SO003!AJ:AJ)</f>
        <v>0</v>
      </c>
    </row>
    <row r="807" spans="1:35" x14ac:dyDescent="0.55000000000000004">
      <c r="A807" s="2" t="s">
        <v>456</v>
      </c>
      <c r="D807" s="22" t="s">
        <v>1391</v>
      </c>
      <c r="E807" s="2" t="s">
        <v>129</v>
      </c>
      <c r="F807" s="2" t="s">
        <v>129</v>
      </c>
      <c r="G807" s="3" t="s">
        <v>47</v>
      </c>
      <c r="H807" s="2" t="s">
        <v>402</v>
      </c>
      <c r="I807" s="17">
        <v>3</v>
      </c>
      <c r="J807" s="3">
        <v>342</v>
      </c>
      <c r="K807" s="3" t="s">
        <v>1392</v>
      </c>
      <c r="L807" s="21">
        <v>0</v>
      </c>
      <c r="M807" s="21">
        <v>0</v>
      </c>
      <c r="N807" s="21">
        <v>0</v>
      </c>
      <c r="O807" s="21">
        <v>0</v>
      </c>
      <c r="P807" s="21">
        <v>0</v>
      </c>
      <c r="Q807" s="21">
        <v>0</v>
      </c>
      <c r="R807" s="21">
        <v>0</v>
      </c>
      <c r="S807" s="21">
        <v>0</v>
      </c>
      <c r="T807" s="21">
        <v>0</v>
      </c>
      <c r="U807" s="21">
        <v>0</v>
      </c>
      <c r="V807" s="21">
        <v>0</v>
      </c>
      <c r="W807" s="21">
        <v>0</v>
      </c>
      <c r="X807" s="18">
        <v>0</v>
      </c>
      <c r="Y807" s="18">
        <v>1749</v>
      </c>
      <c r="Z807" s="18">
        <v>670</v>
      </c>
      <c r="AA807" s="18">
        <f>SUMIF([1]SA007!$C:$C,'SA007 2025.01-2026.05 '!$D807,[1]SA007!P:P)</f>
        <v>321</v>
      </c>
      <c r="AB807" s="18">
        <f>SUMIF([1]SA007!$C:$C,'SA007 2025.01-2026.05 '!$D807,[1]SA007!Q:Q)</f>
        <v>315</v>
      </c>
      <c r="AC807" s="19">
        <f t="shared" si="27"/>
        <v>3055</v>
      </c>
      <c r="AD807" s="19">
        <f t="shared" si="28"/>
        <v>179.70588235294119</v>
      </c>
      <c r="AG807" s="21">
        <f>SUMIF([1]SO003!$H:$H,'SA007 2025.01-2026.05 '!$D807,[1]SO003!AF:AF)</f>
        <v>0</v>
      </c>
      <c r="AH807" s="21">
        <f>SUMIF([1]SO003!$H:$H,'SA007 2025.01-2026.05 '!$D807,[1]SO003!AH:AH)</f>
        <v>0</v>
      </c>
      <c r="AI807" s="21">
        <f>SUMIF([1]SO003!$H:$H,'SA007 2025.01-2026.05 '!$D807,[1]SO003!AJ:AJ)</f>
        <v>0</v>
      </c>
    </row>
    <row r="808" spans="1:35" x14ac:dyDescent="0.55000000000000004">
      <c r="A808" s="2" t="s">
        <v>867</v>
      </c>
      <c r="D808" s="22" t="s">
        <v>1393</v>
      </c>
      <c r="E808" s="2" t="s">
        <v>363</v>
      </c>
      <c r="F808" s="2" t="s">
        <v>363</v>
      </c>
      <c r="G808" s="3" t="s">
        <v>63</v>
      </c>
      <c r="H808" s="2" t="s">
        <v>93</v>
      </c>
      <c r="I808" s="17">
        <v>1.2</v>
      </c>
      <c r="J808" s="3">
        <v>1220</v>
      </c>
      <c r="K808" s="3" t="s">
        <v>371</v>
      </c>
      <c r="L808" s="21">
        <v>0</v>
      </c>
      <c r="M808" s="21">
        <v>0</v>
      </c>
      <c r="N808" s="21">
        <v>0</v>
      </c>
      <c r="O808" s="21">
        <v>0</v>
      </c>
      <c r="P808" s="21">
        <v>0</v>
      </c>
      <c r="Q808" s="21">
        <v>0</v>
      </c>
      <c r="R808" s="21">
        <v>0</v>
      </c>
      <c r="S808" s="21">
        <v>0</v>
      </c>
      <c r="T808" s="21">
        <v>0</v>
      </c>
      <c r="U808" s="21">
        <v>0</v>
      </c>
      <c r="V808" s="21">
        <v>0</v>
      </c>
      <c r="W808" s="21">
        <v>0</v>
      </c>
      <c r="X808" s="18">
        <v>0</v>
      </c>
      <c r="Y808" s="18">
        <v>415</v>
      </c>
      <c r="Z808" s="18">
        <v>0</v>
      </c>
      <c r="AA808" s="18">
        <f>SUMIF([1]SA007!$C:$C,'SA007 2025.01-2026.05 '!$D808,[1]SA007!P:P)</f>
        <v>0</v>
      </c>
      <c r="AB808" s="18">
        <f>SUMIF([1]SA007!$C:$C,'SA007 2025.01-2026.05 '!$D808,[1]SA007!Q:Q)</f>
        <v>0</v>
      </c>
      <c r="AC808" s="19">
        <f t="shared" si="27"/>
        <v>415</v>
      </c>
      <c r="AD808" s="19">
        <f t="shared" si="28"/>
        <v>24.411764705882351</v>
      </c>
      <c r="AG808" s="21">
        <f>SUMIF([1]SO003!$H:$H,'SA007 2025.01-2026.05 '!$D808,[1]SO003!AF:AF)</f>
        <v>0</v>
      </c>
      <c r="AH808" s="21">
        <f>SUMIF([1]SO003!$H:$H,'SA007 2025.01-2026.05 '!$D808,[1]SO003!AH:AH)</f>
        <v>0</v>
      </c>
      <c r="AI808" s="21">
        <f>SUMIF([1]SO003!$H:$H,'SA007 2025.01-2026.05 '!$D808,[1]SO003!AJ:AJ)</f>
        <v>0</v>
      </c>
    </row>
    <row r="809" spans="1:35" x14ac:dyDescent="0.55000000000000004">
      <c r="A809" s="2" t="s">
        <v>247</v>
      </c>
      <c r="D809" s="22" t="s">
        <v>1394</v>
      </c>
      <c r="E809" s="2" t="s">
        <v>185</v>
      </c>
      <c r="F809" s="2" t="s">
        <v>185</v>
      </c>
      <c r="G809" s="3" t="s">
        <v>57</v>
      </c>
      <c r="H809" s="2" t="s">
        <v>160</v>
      </c>
      <c r="I809" s="17">
        <v>2</v>
      </c>
      <c r="J809" s="3">
        <v>100</v>
      </c>
      <c r="K809" s="3" t="s">
        <v>731</v>
      </c>
      <c r="L809" s="21">
        <v>0</v>
      </c>
      <c r="M809" s="21">
        <v>0</v>
      </c>
      <c r="N809" s="21">
        <v>0</v>
      </c>
      <c r="O809" s="21">
        <v>0</v>
      </c>
      <c r="P809" s="21">
        <v>0</v>
      </c>
      <c r="Q809" s="21">
        <v>0</v>
      </c>
      <c r="R809" s="21">
        <v>0</v>
      </c>
      <c r="S809" s="21">
        <v>0</v>
      </c>
      <c r="T809" s="21">
        <v>0</v>
      </c>
      <c r="U809" s="21">
        <v>0</v>
      </c>
      <c r="V809" s="21">
        <v>0</v>
      </c>
      <c r="W809" s="21">
        <v>0</v>
      </c>
      <c r="X809" s="18">
        <v>0</v>
      </c>
      <c r="Y809" s="18">
        <v>3557</v>
      </c>
      <c r="Z809" s="18">
        <v>1041</v>
      </c>
      <c r="AA809" s="18">
        <f>SUMIF([1]SA007!$C:$C,'SA007 2025.01-2026.05 '!$D809,[1]SA007!P:P)</f>
        <v>0</v>
      </c>
      <c r="AB809" s="18">
        <f>SUMIF([1]SA007!$C:$C,'SA007 2025.01-2026.05 '!$D809,[1]SA007!Q:Q)</f>
        <v>0</v>
      </c>
      <c r="AC809" s="19">
        <f t="shared" si="27"/>
        <v>4598</v>
      </c>
      <c r="AD809" s="19">
        <f t="shared" si="28"/>
        <v>270.47058823529414</v>
      </c>
      <c r="AG809" s="21">
        <f>SUMIF([1]SO003!$H:$H,'SA007 2025.01-2026.05 '!$D809,[1]SO003!AF:AF)</f>
        <v>0</v>
      </c>
      <c r="AH809" s="21">
        <f>SUMIF([1]SO003!$H:$H,'SA007 2025.01-2026.05 '!$D809,[1]SO003!AH:AH)</f>
        <v>0</v>
      </c>
      <c r="AI809" s="21">
        <f>SUMIF([1]SO003!$H:$H,'SA007 2025.01-2026.05 '!$D809,[1]SO003!AJ:AJ)</f>
        <v>0</v>
      </c>
    </row>
    <row r="810" spans="1:35" x14ac:dyDescent="0.55000000000000004">
      <c r="A810" s="23" t="s">
        <v>219</v>
      </c>
      <c r="D810" s="22" t="s">
        <v>1395</v>
      </c>
      <c r="E810" s="2" t="s">
        <v>1396</v>
      </c>
      <c r="F810" s="2" t="s">
        <v>1396</v>
      </c>
      <c r="G810" s="3" t="s">
        <v>57</v>
      </c>
      <c r="H810" s="2" t="s">
        <v>1397</v>
      </c>
      <c r="I810" s="17">
        <v>1.2</v>
      </c>
      <c r="J810" s="3">
        <v>60</v>
      </c>
      <c r="K810" s="3" t="s">
        <v>1398</v>
      </c>
      <c r="L810" s="21">
        <v>0</v>
      </c>
      <c r="M810" s="21">
        <v>0</v>
      </c>
      <c r="N810" s="21">
        <v>0</v>
      </c>
      <c r="O810" s="21">
        <v>0</v>
      </c>
      <c r="P810" s="21">
        <v>0</v>
      </c>
      <c r="Q810" s="21">
        <v>0</v>
      </c>
      <c r="R810" s="21">
        <v>0</v>
      </c>
      <c r="S810" s="21">
        <v>0</v>
      </c>
      <c r="T810" s="21">
        <v>0</v>
      </c>
      <c r="U810" s="21">
        <v>0</v>
      </c>
      <c r="V810" s="21">
        <v>0</v>
      </c>
      <c r="W810" s="21">
        <v>0</v>
      </c>
      <c r="X810" s="18">
        <v>0</v>
      </c>
      <c r="Y810" s="18">
        <v>456</v>
      </c>
      <c r="Z810" s="18">
        <v>413</v>
      </c>
      <c r="AA810" s="18">
        <f>SUMIF([1]SA007!$C:$C,'SA007 2025.01-2026.05 '!$D810,[1]SA007!P:P)</f>
        <v>0</v>
      </c>
      <c r="AB810" s="18">
        <f>SUMIF([1]SA007!$C:$C,'SA007 2025.01-2026.05 '!$D810,[1]SA007!Q:Q)</f>
        <v>0</v>
      </c>
      <c r="AC810" s="19">
        <f t="shared" si="27"/>
        <v>869</v>
      </c>
      <c r="AD810" s="19">
        <f t="shared" si="28"/>
        <v>51.117647058823529</v>
      </c>
      <c r="AG810" s="21">
        <f>SUMIF([1]SO003!$H:$H,'SA007 2025.01-2026.05 '!$D810,[1]SO003!AF:AF)</f>
        <v>0</v>
      </c>
      <c r="AH810" s="21">
        <f>SUMIF([1]SO003!$H:$H,'SA007 2025.01-2026.05 '!$D810,[1]SO003!AH:AH)</f>
        <v>0</v>
      </c>
      <c r="AI810" s="21">
        <f>SUMIF([1]SO003!$H:$H,'SA007 2025.01-2026.05 '!$D810,[1]SO003!AJ:AJ)</f>
        <v>0</v>
      </c>
    </row>
    <row r="811" spans="1:35" x14ac:dyDescent="0.55000000000000004">
      <c r="A811" s="2" t="s">
        <v>433</v>
      </c>
      <c r="D811" s="22" t="s">
        <v>1399</v>
      </c>
      <c r="E811" s="2" t="s">
        <v>363</v>
      </c>
      <c r="F811" s="2" t="s">
        <v>363</v>
      </c>
      <c r="G811" s="3" t="s">
        <v>47</v>
      </c>
      <c r="H811" s="2" t="s">
        <v>402</v>
      </c>
      <c r="I811" s="17">
        <v>2.6</v>
      </c>
      <c r="J811" s="3">
        <v>93</v>
      </c>
      <c r="K811" s="3" t="s">
        <v>819</v>
      </c>
      <c r="L811" s="21">
        <v>0</v>
      </c>
      <c r="M811" s="21">
        <v>0</v>
      </c>
      <c r="N811" s="21">
        <v>0</v>
      </c>
      <c r="O811" s="21">
        <v>0</v>
      </c>
      <c r="P811" s="21">
        <v>0</v>
      </c>
      <c r="Q811" s="21">
        <v>0</v>
      </c>
      <c r="R811" s="21">
        <v>0</v>
      </c>
      <c r="S811" s="21">
        <v>0</v>
      </c>
      <c r="T811" s="21">
        <v>0</v>
      </c>
      <c r="U811" s="21">
        <v>0</v>
      </c>
      <c r="V811" s="21">
        <v>0</v>
      </c>
      <c r="W811" s="21">
        <v>0</v>
      </c>
      <c r="X811" s="18">
        <v>0</v>
      </c>
      <c r="Y811" s="18">
        <v>5822</v>
      </c>
      <c r="Z811" s="18">
        <v>0</v>
      </c>
      <c r="AA811" s="18">
        <f>SUMIF([1]SA007!$C:$C,'SA007 2025.01-2026.05 '!$D811,[1]SA007!P:P)</f>
        <v>3086</v>
      </c>
      <c r="AB811" s="18">
        <f>SUMIF([1]SA007!$C:$C,'SA007 2025.01-2026.05 '!$D811,[1]SA007!Q:Q)</f>
        <v>5817</v>
      </c>
      <c r="AC811" s="19">
        <f t="shared" si="27"/>
        <v>14725</v>
      </c>
      <c r="AD811" s="19">
        <f t="shared" si="28"/>
        <v>866.17647058823525</v>
      </c>
      <c r="AG811" s="21">
        <f>SUMIF([1]SO003!$H:$H,'SA007 2025.01-2026.05 '!$D811,[1]SO003!AF:AF)</f>
        <v>0</v>
      </c>
      <c r="AH811" s="21">
        <f>SUMIF([1]SO003!$H:$H,'SA007 2025.01-2026.05 '!$D811,[1]SO003!AH:AH)</f>
        <v>0</v>
      </c>
      <c r="AI811" s="21">
        <f>SUMIF([1]SO003!$H:$H,'SA007 2025.01-2026.05 '!$D811,[1]SO003!AJ:AJ)</f>
        <v>0</v>
      </c>
    </row>
    <row r="812" spans="1:35" x14ac:dyDescent="0.55000000000000004">
      <c r="A812" s="2" t="s">
        <v>178</v>
      </c>
      <c r="D812" s="22" t="s">
        <v>1400</v>
      </c>
      <c r="E812" s="2" t="s">
        <v>182</v>
      </c>
      <c r="F812" s="2" t="s">
        <v>182</v>
      </c>
      <c r="G812" s="3" t="s">
        <v>57</v>
      </c>
      <c r="H812" s="2" t="s">
        <v>67</v>
      </c>
      <c r="I812" s="17">
        <v>1</v>
      </c>
      <c r="J812" s="3">
        <v>190</v>
      </c>
      <c r="K812" s="3" t="s">
        <v>1343</v>
      </c>
      <c r="L812" s="21">
        <v>0</v>
      </c>
      <c r="M812" s="21">
        <v>0</v>
      </c>
      <c r="N812" s="21">
        <v>0</v>
      </c>
      <c r="O812" s="21">
        <v>0</v>
      </c>
      <c r="P812" s="21">
        <v>0</v>
      </c>
      <c r="Q812" s="21">
        <v>0</v>
      </c>
      <c r="R812" s="21">
        <v>0</v>
      </c>
      <c r="S812" s="21">
        <v>0</v>
      </c>
      <c r="T812" s="21">
        <v>0</v>
      </c>
      <c r="U812" s="21">
        <v>0</v>
      </c>
      <c r="V812" s="21">
        <v>0</v>
      </c>
      <c r="W812" s="21">
        <v>0</v>
      </c>
      <c r="X812" s="18">
        <v>0</v>
      </c>
      <c r="Y812" s="18">
        <v>912</v>
      </c>
      <c r="Z812" s="18">
        <v>0</v>
      </c>
      <c r="AA812" s="18">
        <f>SUMIF([1]SA007!$C:$C,'SA007 2025.01-2026.05 '!$D812,[1]SA007!P:P)</f>
        <v>239</v>
      </c>
      <c r="AB812" s="18">
        <f>SUMIF([1]SA007!$C:$C,'SA007 2025.01-2026.05 '!$D812,[1]SA007!Q:Q)</f>
        <v>0</v>
      </c>
      <c r="AC812" s="19">
        <f t="shared" si="27"/>
        <v>1151</v>
      </c>
      <c r="AD812" s="19">
        <f t="shared" si="28"/>
        <v>67.705882352941174</v>
      </c>
      <c r="AG812" s="21">
        <f>SUMIF([1]SO003!$H:$H,'SA007 2025.01-2026.05 '!$D812,[1]SO003!AF:AF)</f>
        <v>0</v>
      </c>
      <c r="AH812" s="21">
        <f>SUMIF([1]SO003!$H:$H,'SA007 2025.01-2026.05 '!$D812,[1]SO003!AH:AH)</f>
        <v>0</v>
      </c>
      <c r="AI812" s="21">
        <f>SUMIF([1]SO003!$H:$H,'SA007 2025.01-2026.05 '!$D812,[1]SO003!AJ:AJ)</f>
        <v>0</v>
      </c>
    </row>
    <row r="813" spans="1:35" x14ac:dyDescent="0.55000000000000004">
      <c r="A813" s="2" t="s">
        <v>178</v>
      </c>
      <c r="D813" s="22" t="s">
        <v>1401</v>
      </c>
      <c r="E813" s="2" t="s">
        <v>182</v>
      </c>
      <c r="F813" s="2" t="s">
        <v>182</v>
      </c>
      <c r="G813" s="3" t="s">
        <v>57</v>
      </c>
      <c r="H813" s="2" t="s">
        <v>67</v>
      </c>
      <c r="I813" s="17">
        <v>1</v>
      </c>
      <c r="J813" s="3">
        <v>142</v>
      </c>
      <c r="K813" s="3" t="s">
        <v>1402</v>
      </c>
      <c r="L813" s="21">
        <v>0</v>
      </c>
      <c r="M813" s="21">
        <v>0</v>
      </c>
      <c r="N813" s="21">
        <v>0</v>
      </c>
      <c r="O813" s="21">
        <v>0</v>
      </c>
      <c r="P813" s="21">
        <v>0</v>
      </c>
      <c r="Q813" s="21">
        <v>0</v>
      </c>
      <c r="R813" s="21">
        <v>0</v>
      </c>
      <c r="S813" s="21">
        <v>0</v>
      </c>
      <c r="T813" s="21">
        <v>0</v>
      </c>
      <c r="U813" s="21">
        <v>0</v>
      </c>
      <c r="V813" s="21">
        <v>0</v>
      </c>
      <c r="W813" s="21">
        <v>0</v>
      </c>
      <c r="X813" s="18">
        <v>0</v>
      </c>
      <c r="Y813" s="18">
        <v>774</v>
      </c>
      <c r="Z813" s="18">
        <v>0</v>
      </c>
      <c r="AA813" s="18">
        <f>SUMIF([1]SA007!$C:$C,'SA007 2025.01-2026.05 '!$D813,[1]SA007!P:P)</f>
        <v>0</v>
      </c>
      <c r="AB813" s="18">
        <f>SUMIF([1]SA007!$C:$C,'SA007 2025.01-2026.05 '!$D813,[1]SA007!Q:Q)</f>
        <v>0</v>
      </c>
      <c r="AC813" s="19">
        <f t="shared" si="27"/>
        <v>774</v>
      </c>
      <c r="AD813" s="19">
        <f t="shared" si="28"/>
        <v>45.529411764705884</v>
      </c>
      <c r="AG813" s="21">
        <f>SUMIF([1]SO003!$H:$H,'SA007 2025.01-2026.05 '!$D813,[1]SO003!AF:AF)</f>
        <v>0</v>
      </c>
      <c r="AH813" s="21">
        <f>SUMIF([1]SO003!$H:$H,'SA007 2025.01-2026.05 '!$D813,[1]SO003!AH:AH)</f>
        <v>0</v>
      </c>
      <c r="AI813" s="21">
        <f>SUMIF([1]SO003!$H:$H,'SA007 2025.01-2026.05 '!$D813,[1]SO003!AJ:AJ)</f>
        <v>0</v>
      </c>
    </row>
    <row r="814" spans="1:35" x14ac:dyDescent="0.55000000000000004">
      <c r="A814" s="2" t="s">
        <v>178</v>
      </c>
      <c r="D814" s="22" t="s">
        <v>1403</v>
      </c>
      <c r="E814" s="2" t="s">
        <v>182</v>
      </c>
      <c r="F814" s="2" t="s">
        <v>182</v>
      </c>
      <c r="G814" s="3" t="s">
        <v>57</v>
      </c>
      <c r="H814" s="2" t="s">
        <v>67</v>
      </c>
      <c r="I814" s="17">
        <v>1</v>
      </c>
      <c r="J814" s="3">
        <v>165</v>
      </c>
      <c r="K814" s="3" t="s">
        <v>1404</v>
      </c>
      <c r="L814" s="21">
        <v>0</v>
      </c>
      <c r="M814" s="21">
        <v>0</v>
      </c>
      <c r="N814" s="21">
        <v>0</v>
      </c>
      <c r="O814" s="21">
        <v>0</v>
      </c>
      <c r="P814" s="21">
        <v>0</v>
      </c>
      <c r="Q814" s="21">
        <v>0</v>
      </c>
      <c r="R814" s="21">
        <v>0</v>
      </c>
      <c r="S814" s="21">
        <v>0</v>
      </c>
      <c r="T814" s="21">
        <v>0</v>
      </c>
      <c r="U814" s="21">
        <v>0</v>
      </c>
      <c r="V814" s="21">
        <v>0</v>
      </c>
      <c r="W814" s="21">
        <v>0</v>
      </c>
      <c r="X814" s="18">
        <v>0</v>
      </c>
      <c r="Y814" s="18">
        <v>540</v>
      </c>
      <c r="Z814" s="18">
        <v>0</v>
      </c>
      <c r="AA814" s="18">
        <f>SUMIF([1]SA007!$C:$C,'SA007 2025.01-2026.05 '!$D814,[1]SA007!P:P)</f>
        <v>0</v>
      </c>
      <c r="AB814" s="18">
        <f>SUMIF([1]SA007!$C:$C,'SA007 2025.01-2026.05 '!$D814,[1]SA007!Q:Q)</f>
        <v>0</v>
      </c>
      <c r="AC814" s="19">
        <f t="shared" si="27"/>
        <v>540</v>
      </c>
      <c r="AD814" s="19">
        <f t="shared" si="28"/>
        <v>31.764705882352942</v>
      </c>
      <c r="AG814" s="21">
        <f>SUMIF([1]SO003!$H:$H,'SA007 2025.01-2026.05 '!$D814,[1]SO003!AF:AF)</f>
        <v>0</v>
      </c>
      <c r="AH814" s="21">
        <f>SUMIF([1]SO003!$H:$H,'SA007 2025.01-2026.05 '!$D814,[1]SO003!AH:AH)</f>
        <v>0</v>
      </c>
      <c r="AI814" s="21">
        <f>SUMIF([1]SO003!$H:$H,'SA007 2025.01-2026.05 '!$D814,[1]SO003!AJ:AJ)</f>
        <v>0</v>
      </c>
    </row>
    <row r="815" spans="1:35" x14ac:dyDescent="0.55000000000000004">
      <c r="A815" s="2" t="s">
        <v>212</v>
      </c>
      <c r="D815" s="22" t="s">
        <v>1405</v>
      </c>
      <c r="E815" s="2" t="s">
        <v>363</v>
      </c>
      <c r="F815" s="2" t="s">
        <v>363</v>
      </c>
      <c r="G815" s="3" t="s">
        <v>47</v>
      </c>
      <c r="H815" s="2" t="s">
        <v>213</v>
      </c>
      <c r="I815" s="17">
        <v>1.6</v>
      </c>
      <c r="J815" s="3">
        <v>1220</v>
      </c>
      <c r="K815" s="3" t="s">
        <v>371</v>
      </c>
      <c r="L815" s="21">
        <v>0</v>
      </c>
      <c r="M815" s="21">
        <v>0</v>
      </c>
      <c r="N815" s="21">
        <v>0</v>
      </c>
      <c r="O815" s="21">
        <v>0</v>
      </c>
      <c r="P815" s="21">
        <v>0</v>
      </c>
      <c r="Q815" s="21">
        <v>0</v>
      </c>
      <c r="R815" s="21">
        <v>0</v>
      </c>
      <c r="S815" s="21">
        <v>0</v>
      </c>
      <c r="T815" s="21">
        <v>0</v>
      </c>
      <c r="U815" s="21">
        <v>0</v>
      </c>
      <c r="V815" s="21">
        <v>0</v>
      </c>
      <c r="W815" s="21">
        <v>0</v>
      </c>
      <c r="X815" s="18">
        <v>0</v>
      </c>
      <c r="Y815" s="18">
        <v>220</v>
      </c>
      <c r="Z815" s="18">
        <v>1520</v>
      </c>
      <c r="AA815" s="18">
        <f>SUMIF([1]SA007!$C:$C,'SA007 2025.01-2026.05 '!$D815,[1]SA007!P:P)</f>
        <v>728</v>
      </c>
      <c r="AB815" s="18">
        <f>SUMIF([1]SA007!$C:$C,'SA007 2025.01-2026.05 '!$D815,[1]SA007!Q:Q)</f>
        <v>0</v>
      </c>
      <c r="AC815" s="19">
        <f t="shared" si="27"/>
        <v>2468</v>
      </c>
      <c r="AD815" s="19">
        <f t="shared" si="28"/>
        <v>145.1764705882353</v>
      </c>
      <c r="AG815" s="21">
        <f>SUMIF([1]SO003!$H:$H,'SA007 2025.01-2026.05 '!$D815,[1]SO003!AF:AF)</f>
        <v>0</v>
      </c>
      <c r="AH815" s="21">
        <f>SUMIF([1]SO003!$H:$H,'SA007 2025.01-2026.05 '!$D815,[1]SO003!AH:AH)</f>
        <v>0</v>
      </c>
      <c r="AI815" s="21">
        <f>SUMIF([1]SO003!$H:$H,'SA007 2025.01-2026.05 '!$D815,[1]SO003!AJ:AJ)</f>
        <v>0</v>
      </c>
    </row>
    <row r="816" spans="1:35" x14ac:dyDescent="0.55000000000000004">
      <c r="A816" s="2" t="s">
        <v>247</v>
      </c>
      <c r="D816" s="22" t="s">
        <v>1406</v>
      </c>
      <c r="E816" s="2" t="s">
        <v>185</v>
      </c>
      <c r="F816" s="2" t="s">
        <v>185</v>
      </c>
      <c r="G816" s="3" t="s">
        <v>57</v>
      </c>
      <c r="H816" s="2" t="s">
        <v>160</v>
      </c>
      <c r="I816" s="17">
        <v>2</v>
      </c>
      <c r="J816" s="3">
        <v>140</v>
      </c>
      <c r="K816" s="3" t="s">
        <v>1283</v>
      </c>
      <c r="L816" s="21">
        <v>0</v>
      </c>
      <c r="M816" s="21">
        <v>0</v>
      </c>
      <c r="N816" s="21">
        <v>0</v>
      </c>
      <c r="O816" s="21">
        <v>0</v>
      </c>
      <c r="P816" s="21">
        <v>0</v>
      </c>
      <c r="Q816" s="21">
        <v>0</v>
      </c>
      <c r="R816" s="21">
        <v>0</v>
      </c>
      <c r="S816" s="21">
        <v>0</v>
      </c>
      <c r="T816" s="21">
        <v>0</v>
      </c>
      <c r="U816" s="21">
        <v>0</v>
      </c>
      <c r="V816" s="21">
        <v>0</v>
      </c>
      <c r="W816" s="21">
        <v>0</v>
      </c>
      <c r="X816" s="18">
        <v>0</v>
      </c>
      <c r="Y816" s="18">
        <v>1106</v>
      </c>
      <c r="Z816" s="18">
        <v>1249</v>
      </c>
      <c r="AA816" s="18">
        <f>SUMIF([1]SA007!$C:$C,'SA007 2025.01-2026.05 '!$D816,[1]SA007!P:P)</f>
        <v>1145</v>
      </c>
      <c r="AB816" s="18">
        <f>SUMIF([1]SA007!$C:$C,'SA007 2025.01-2026.05 '!$D816,[1]SA007!Q:Q)</f>
        <v>2725</v>
      </c>
      <c r="AC816" s="19">
        <f t="shared" si="27"/>
        <v>6225</v>
      </c>
      <c r="AD816" s="19">
        <f t="shared" si="28"/>
        <v>366.1764705882353</v>
      </c>
      <c r="AG816" s="21">
        <f>SUMIF([1]SO003!$H:$H,'SA007 2025.01-2026.05 '!$D816,[1]SO003!AF:AF)</f>
        <v>0</v>
      </c>
      <c r="AH816" s="21">
        <f>SUMIF([1]SO003!$H:$H,'SA007 2025.01-2026.05 '!$D816,[1]SO003!AH:AH)</f>
        <v>0</v>
      </c>
      <c r="AI816" s="21">
        <f>SUMIF([1]SO003!$H:$H,'SA007 2025.01-2026.05 '!$D816,[1]SO003!AJ:AJ)</f>
        <v>0</v>
      </c>
    </row>
    <row r="817" spans="1:35" x14ac:dyDescent="0.55000000000000004">
      <c r="A817" s="2" t="s">
        <v>157</v>
      </c>
      <c r="D817" s="22" t="s">
        <v>1407</v>
      </c>
      <c r="E817" s="2" t="s">
        <v>182</v>
      </c>
      <c r="F817" s="2" t="s">
        <v>182</v>
      </c>
      <c r="G817" s="3" t="s">
        <v>57</v>
      </c>
      <c r="H817" s="2" t="s">
        <v>67</v>
      </c>
      <c r="I817" s="17">
        <v>0.8</v>
      </c>
      <c r="J817" s="3">
        <v>108</v>
      </c>
      <c r="K817" s="3" t="s">
        <v>1408</v>
      </c>
      <c r="L817" s="21">
        <v>0</v>
      </c>
      <c r="M817" s="21">
        <v>0</v>
      </c>
      <c r="N817" s="21">
        <v>0</v>
      </c>
      <c r="O817" s="21">
        <v>0</v>
      </c>
      <c r="P817" s="21">
        <v>0</v>
      </c>
      <c r="Q817" s="21">
        <v>0</v>
      </c>
      <c r="R817" s="21">
        <v>0</v>
      </c>
      <c r="S817" s="21">
        <v>0</v>
      </c>
      <c r="T817" s="21">
        <v>0</v>
      </c>
      <c r="U817" s="21">
        <v>0</v>
      </c>
      <c r="V817" s="21">
        <v>0</v>
      </c>
      <c r="W817" s="21">
        <v>0</v>
      </c>
      <c r="X817" s="18">
        <v>0</v>
      </c>
      <c r="Y817" s="18">
        <v>381</v>
      </c>
      <c r="Z817" s="18">
        <v>0</v>
      </c>
      <c r="AA817" s="18">
        <f>SUMIF([1]SA007!$C:$C,'SA007 2025.01-2026.05 '!$D817,[1]SA007!P:P)</f>
        <v>0</v>
      </c>
      <c r="AB817" s="18">
        <f>SUMIF([1]SA007!$C:$C,'SA007 2025.01-2026.05 '!$D817,[1]SA007!Q:Q)</f>
        <v>0</v>
      </c>
      <c r="AC817" s="19">
        <f t="shared" si="27"/>
        <v>381</v>
      </c>
      <c r="AD817" s="19">
        <f t="shared" si="28"/>
        <v>22.411764705882351</v>
      </c>
      <c r="AG817" s="21">
        <f>SUMIF([1]SO003!$H:$H,'SA007 2025.01-2026.05 '!$D817,[1]SO003!AF:AF)</f>
        <v>0</v>
      </c>
      <c r="AH817" s="21">
        <f>SUMIF([1]SO003!$H:$H,'SA007 2025.01-2026.05 '!$D817,[1]SO003!AH:AH)</f>
        <v>0</v>
      </c>
      <c r="AI817" s="21">
        <f>SUMIF([1]SO003!$H:$H,'SA007 2025.01-2026.05 '!$D817,[1]SO003!AJ:AJ)</f>
        <v>0</v>
      </c>
    </row>
    <row r="818" spans="1:35" x14ac:dyDescent="0.55000000000000004">
      <c r="A818" s="2" t="s">
        <v>247</v>
      </c>
      <c r="D818" s="2" t="s">
        <v>1409</v>
      </c>
      <c r="E818" s="2" t="s">
        <v>185</v>
      </c>
      <c r="F818" s="2" t="s">
        <v>185</v>
      </c>
      <c r="G818" s="3" t="s">
        <v>57</v>
      </c>
      <c r="H818" s="2" t="s">
        <v>160</v>
      </c>
      <c r="I818" s="17">
        <v>2</v>
      </c>
      <c r="J818" s="3">
        <v>303</v>
      </c>
      <c r="K818" s="3" t="s">
        <v>1410</v>
      </c>
      <c r="L818" s="21">
        <v>0</v>
      </c>
      <c r="M818" s="21">
        <v>0</v>
      </c>
      <c r="N818" s="21">
        <v>0</v>
      </c>
      <c r="O818" s="21">
        <v>0</v>
      </c>
      <c r="P818" s="21">
        <v>0</v>
      </c>
      <c r="Q818" s="21">
        <v>0</v>
      </c>
      <c r="R818" s="21">
        <v>0</v>
      </c>
      <c r="S818" s="21">
        <v>0</v>
      </c>
      <c r="T818" s="21">
        <v>0</v>
      </c>
      <c r="U818" s="21">
        <v>0</v>
      </c>
      <c r="V818" s="21">
        <v>0</v>
      </c>
      <c r="W818" s="21">
        <v>0</v>
      </c>
      <c r="X818" s="18">
        <v>0</v>
      </c>
      <c r="Y818" s="18">
        <v>1098</v>
      </c>
      <c r="Z818" s="18">
        <v>3089</v>
      </c>
      <c r="AA818" s="18">
        <f>SUMIF([1]SA007!$C:$C,'SA007 2025.01-2026.05 '!$D818,[1]SA007!P:P)</f>
        <v>0</v>
      </c>
      <c r="AB818" s="18">
        <f>SUMIF([1]SA007!$C:$C,'SA007 2025.01-2026.05 '!$D818,[1]SA007!Q:Q)</f>
        <v>10898</v>
      </c>
      <c r="AC818" s="19">
        <f t="shared" si="27"/>
        <v>15085</v>
      </c>
      <c r="AD818" s="19">
        <f t="shared" si="28"/>
        <v>887.35294117647061</v>
      </c>
      <c r="AG818" s="21">
        <f>SUMIF([1]SO003!$H:$H,'SA007 2025.01-2026.05 '!$D818,[1]SO003!AF:AF)</f>
        <v>0</v>
      </c>
      <c r="AH818" s="21">
        <f>SUMIF([1]SO003!$H:$H,'SA007 2025.01-2026.05 '!$D818,[1]SO003!AH:AH)</f>
        <v>0</v>
      </c>
      <c r="AI818" s="21">
        <f>SUMIF([1]SO003!$H:$H,'SA007 2025.01-2026.05 '!$D818,[1]SO003!AJ:AJ)</f>
        <v>0</v>
      </c>
    </row>
    <row r="819" spans="1:35" x14ac:dyDescent="0.55000000000000004">
      <c r="A819" s="2" t="s">
        <v>178</v>
      </c>
      <c r="D819" s="2" t="s">
        <v>1411</v>
      </c>
      <c r="E819" s="2" t="s">
        <v>185</v>
      </c>
      <c r="F819" s="2" t="s">
        <v>185</v>
      </c>
      <c r="G819" s="3" t="s">
        <v>57</v>
      </c>
      <c r="H819" s="2" t="s">
        <v>160</v>
      </c>
      <c r="I819" s="17">
        <v>1</v>
      </c>
      <c r="J819" s="3">
        <v>369</v>
      </c>
      <c r="K819" s="3" t="s">
        <v>1412</v>
      </c>
      <c r="L819" s="21">
        <v>0</v>
      </c>
      <c r="M819" s="21">
        <v>0</v>
      </c>
      <c r="N819" s="21">
        <v>0</v>
      </c>
      <c r="O819" s="21">
        <v>0</v>
      </c>
      <c r="P819" s="21">
        <v>0</v>
      </c>
      <c r="Q819" s="21">
        <v>0</v>
      </c>
      <c r="R819" s="21">
        <v>0</v>
      </c>
      <c r="S819" s="21">
        <v>0</v>
      </c>
      <c r="T819" s="21">
        <v>0</v>
      </c>
      <c r="U819" s="21">
        <v>0</v>
      </c>
      <c r="V819" s="21">
        <v>0</v>
      </c>
      <c r="W819" s="21">
        <v>5563</v>
      </c>
      <c r="X819" s="18">
        <v>0</v>
      </c>
      <c r="Y819" s="18">
        <v>2093</v>
      </c>
      <c r="Z819" s="18">
        <v>1704</v>
      </c>
      <c r="AA819" s="18">
        <f>SUMIF([1]SA007!$C:$C,'SA007 2025.01-2026.05 '!$D819,[1]SA007!P:P)</f>
        <v>3802</v>
      </c>
      <c r="AB819" s="18">
        <f>SUMIF([1]SA007!$C:$C,'SA007 2025.01-2026.05 '!$D819,[1]SA007!Q:Q)</f>
        <v>16005</v>
      </c>
      <c r="AC819" s="19">
        <f t="shared" si="27"/>
        <v>29167</v>
      </c>
      <c r="AD819" s="19">
        <f t="shared" si="28"/>
        <v>1715.7058823529412</v>
      </c>
      <c r="AG819" s="21">
        <f>SUMIF([1]SO003!$H:$H,'SA007 2025.01-2026.05 '!$D819,[1]SO003!AF:AF)</f>
        <v>0</v>
      </c>
      <c r="AH819" s="21">
        <f>SUMIF([1]SO003!$H:$H,'SA007 2025.01-2026.05 '!$D819,[1]SO003!AH:AH)</f>
        <v>0</v>
      </c>
      <c r="AI819" s="21">
        <f>SUMIF([1]SO003!$H:$H,'SA007 2025.01-2026.05 '!$D819,[1]SO003!AJ:AJ)</f>
        <v>0</v>
      </c>
    </row>
    <row r="820" spans="1:35" x14ac:dyDescent="0.55000000000000004">
      <c r="A820" s="2" t="s">
        <v>247</v>
      </c>
      <c r="D820" s="2" t="s">
        <v>1413</v>
      </c>
      <c r="E820" s="2" t="s">
        <v>185</v>
      </c>
      <c r="F820" s="2" t="s">
        <v>185</v>
      </c>
      <c r="G820" s="3" t="s">
        <v>57</v>
      </c>
      <c r="H820" s="2" t="s">
        <v>160</v>
      </c>
      <c r="I820" s="17">
        <v>2</v>
      </c>
      <c r="J820" s="3">
        <v>78</v>
      </c>
      <c r="K820" s="3" t="s">
        <v>1331</v>
      </c>
      <c r="L820" s="21">
        <v>0</v>
      </c>
      <c r="M820" s="21">
        <v>0</v>
      </c>
      <c r="N820" s="21">
        <v>0</v>
      </c>
      <c r="O820" s="21">
        <v>0</v>
      </c>
      <c r="P820" s="21">
        <v>0</v>
      </c>
      <c r="Q820" s="21">
        <v>0</v>
      </c>
      <c r="R820" s="21">
        <v>0</v>
      </c>
      <c r="S820" s="21">
        <v>0</v>
      </c>
      <c r="T820" s="21">
        <v>0</v>
      </c>
      <c r="U820" s="21">
        <v>0</v>
      </c>
      <c r="V820" s="21">
        <v>0</v>
      </c>
      <c r="W820" s="21">
        <v>0</v>
      </c>
      <c r="X820" s="18">
        <v>0</v>
      </c>
      <c r="Y820" s="18">
        <v>288</v>
      </c>
      <c r="Z820" s="18">
        <v>0</v>
      </c>
      <c r="AA820" s="18">
        <f>SUMIF([1]SA007!$C:$C,'SA007 2025.01-2026.05 '!$D820,[1]SA007!P:P)</f>
        <v>544</v>
      </c>
      <c r="AB820" s="18">
        <f>SUMIF([1]SA007!$C:$C,'SA007 2025.01-2026.05 '!$D820,[1]SA007!Q:Q)</f>
        <v>650</v>
      </c>
      <c r="AC820" s="19">
        <f t="shared" si="27"/>
        <v>1482</v>
      </c>
      <c r="AD820" s="19">
        <f t="shared" si="28"/>
        <v>87.17647058823529</v>
      </c>
      <c r="AG820" s="21">
        <f>SUMIF([1]SO003!$H:$H,'SA007 2025.01-2026.05 '!$D820,[1]SO003!AF:AF)</f>
        <v>0</v>
      </c>
      <c r="AH820" s="21">
        <f>SUMIF([1]SO003!$H:$H,'SA007 2025.01-2026.05 '!$D820,[1]SO003!AH:AH)</f>
        <v>0</v>
      </c>
      <c r="AI820" s="21">
        <f>SUMIF([1]SO003!$H:$H,'SA007 2025.01-2026.05 '!$D820,[1]SO003!AJ:AJ)</f>
        <v>0</v>
      </c>
    </row>
    <row r="821" spans="1:35" x14ac:dyDescent="0.55000000000000004">
      <c r="A821" s="2" t="s">
        <v>198</v>
      </c>
      <c r="D821" s="2" t="s">
        <v>1414</v>
      </c>
      <c r="E821" s="2" t="s">
        <v>182</v>
      </c>
      <c r="F821" s="2" t="s">
        <v>182</v>
      </c>
      <c r="G821" s="3" t="s">
        <v>63</v>
      </c>
      <c r="H821" s="2" t="s">
        <v>682</v>
      </c>
      <c r="I821" s="17">
        <v>1</v>
      </c>
      <c r="J821" s="3">
        <v>73</v>
      </c>
      <c r="K821" s="3" t="s">
        <v>41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21">
        <v>0</v>
      </c>
      <c r="S821" s="21">
        <v>0</v>
      </c>
      <c r="T821" s="21">
        <v>0</v>
      </c>
      <c r="U821" s="21">
        <v>0</v>
      </c>
      <c r="V821" s="21">
        <v>0</v>
      </c>
      <c r="W821" s="21">
        <v>0</v>
      </c>
      <c r="X821" s="18">
        <v>0</v>
      </c>
      <c r="Y821" s="18">
        <v>55</v>
      </c>
      <c r="Z821" s="18">
        <v>162</v>
      </c>
      <c r="AA821" s="18">
        <f>SUMIF([1]SA007!$C:$C,'SA007 2025.01-2026.05 '!$D821,[1]SA007!P:P)</f>
        <v>243</v>
      </c>
      <c r="AB821" s="18">
        <f>SUMIF([1]SA007!$C:$C,'SA007 2025.01-2026.05 '!$D821,[1]SA007!Q:Q)</f>
        <v>0</v>
      </c>
      <c r="AC821" s="19">
        <f t="shared" si="27"/>
        <v>460</v>
      </c>
      <c r="AD821" s="19">
        <f t="shared" si="28"/>
        <v>27.058823529411764</v>
      </c>
      <c r="AG821" s="21">
        <f>SUMIF([1]SO003!$H:$H,'SA007 2025.01-2026.05 '!$D821,[1]SO003!AF:AF)</f>
        <v>0</v>
      </c>
      <c r="AH821" s="21">
        <f>SUMIF([1]SO003!$H:$H,'SA007 2025.01-2026.05 '!$D821,[1]SO003!AH:AH)</f>
        <v>0</v>
      </c>
      <c r="AI821" s="21">
        <f>SUMIF([1]SO003!$H:$H,'SA007 2025.01-2026.05 '!$D821,[1]SO003!AJ:AJ)</f>
        <v>0</v>
      </c>
    </row>
    <row r="822" spans="1:35" x14ac:dyDescent="0.55000000000000004">
      <c r="A822" s="2" t="s">
        <v>1096</v>
      </c>
      <c r="D822" s="2" t="s">
        <v>1415</v>
      </c>
      <c r="E822" s="2" t="s">
        <v>363</v>
      </c>
      <c r="F822" s="2" t="s">
        <v>363</v>
      </c>
      <c r="G822" s="3" t="s">
        <v>47</v>
      </c>
      <c r="H822" s="2" t="s">
        <v>365</v>
      </c>
      <c r="I822" s="17">
        <v>2</v>
      </c>
      <c r="J822" s="3">
        <v>80</v>
      </c>
      <c r="K822" s="3" t="s">
        <v>819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>
        <v>0</v>
      </c>
      <c r="R822" s="21">
        <v>0</v>
      </c>
      <c r="S822" s="21">
        <v>0</v>
      </c>
      <c r="T822" s="21">
        <v>0</v>
      </c>
      <c r="U822" s="21">
        <v>0</v>
      </c>
      <c r="V822" s="21">
        <v>0</v>
      </c>
      <c r="W822" s="21">
        <v>0</v>
      </c>
      <c r="X822" s="18">
        <v>0</v>
      </c>
      <c r="Y822" s="18">
        <v>69</v>
      </c>
      <c r="Z822" s="18">
        <v>149</v>
      </c>
      <c r="AA822" s="18">
        <f>SUMIF([1]SA007!$C:$C,'SA007 2025.01-2026.05 '!$D822,[1]SA007!P:P)</f>
        <v>230</v>
      </c>
      <c r="AB822" s="18">
        <f>SUMIF([1]SA007!$C:$C,'SA007 2025.01-2026.05 '!$D822,[1]SA007!Q:Q)</f>
        <v>153</v>
      </c>
      <c r="AC822" s="19">
        <f t="shared" si="27"/>
        <v>601</v>
      </c>
      <c r="AD822" s="19">
        <f t="shared" si="28"/>
        <v>35.352941176470587</v>
      </c>
      <c r="AG822" s="21">
        <f>SUMIF([1]SO003!$H:$H,'SA007 2025.01-2026.05 '!$D822,[1]SO003!AF:AF)</f>
        <v>306.464</v>
      </c>
      <c r="AH822" s="21">
        <f>SUMIF([1]SO003!$H:$H,'SA007 2025.01-2026.05 '!$D822,[1]SO003!AH:AH)</f>
        <v>306.464</v>
      </c>
      <c r="AI822" s="21">
        <f>SUMIF([1]SO003!$H:$H,'SA007 2025.01-2026.05 '!$D822,[1]SO003!AJ:AJ)</f>
        <v>0</v>
      </c>
    </row>
    <row r="823" spans="1:35" x14ac:dyDescent="0.55000000000000004">
      <c r="A823" s="2" t="s">
        <v>1096</v>
      </c>
      <c r="D823" s="2" t="s">
        <v>1416</v>
      </c>
      <c r="E823" s="2" t="s">
        <v>363</v>
      </c>
      <c r="F823" s="2" t="s">
        <v>363</v>
      </c>
      <c r="G823" s="3" t="s">
        <v>47</v>
      </c>
      <c r="H823" s="2" t="s">
        <v>365</v>
      </c>
      <c r="I823" s="17">
        <v>2</v>
      </c>
      <c r="J823" s="3">
        <v>120</v>
      </c>
      <c r="K823" s="3" t="s">
        <v>819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>
        <v>0</v>
      </c>
      <c r="R823" s="21">
        <v>0</v>
      </c>
      <c r="S823" s="21">
        <v>0</v>
      </c>
      <c r="T823" s="21">
        <v>0</v>
      </c>
      <c r="U823" s="21">
        <v>0</v>
      </c>
      <c r="V823" s="21">
        <v>0</v>
      </c>
      <c r="W823" s="21">
        <v>0</v>
      </c>
      <c r="X823" s="18">
        <v>0</v>
      </c>
      <c r="Y823" s="18">
        <v>264</v>
      </c>
      <c r="Z823" s="18">
        <v>167</v>
      </c>
      <c r="AA823" s="18">
        <f>SUMIF([1]SA007!$C:$C,'SA007 2025.01-2026.05 '!$D823,[1]SA007!P:P)</f>
        <v>459</v>
      </c>
      <c r="AB823" s="18">
        <f>SUMIF([1]SA007!$C:$C,'SA007 2025.01-2026.05 '!$D823,[1]SA007!Q:Q)</f>
        <v>230</v>
      </c>
      <c r="AC823" s="19">
        <f t="shared" si="27"/>
        <v>1120</v>
      </c>
      <c r="AD823" s="19">
        <f t="shared" si="28"/>
        <v>65.882352941176464</v>
      </c>
      <c r="AG823" s="21">
        <f>SUMIF([1]SO003!$H:$H,'SA007 2025.01-2026.05 '!$D823,[1]SO003!AF:AF)</f>
        <v>459.69600000000003</v>
      </c>
      <c r="AH823" s="21">
        <f>SUMIF([1]SO003!$H:$H,'SA007 2025.01-2026.05 '!$D823,[1]SO003!AH:AH)</f>
        <v>459.69600000000003</v>
      </c>
      <c r="AI823" s="21">
        <f>SUMIF([1]SO003!$H:$H,'SA007 2025.01-2026.05 '!$D823,[1]SO003!AJ:AJ)</f>
        <v>0</v>
      </c>
    </row>
    <row r="824" spans="1:35" x14ac:dyDescent="0.55000000000000004">
      <c r="A824" s="2" t="s">
        <v>433</v>
      </c>
      <c r="D824" s="2" t="s">
        <v>1417</v>
      </c>
      <c r="E824" s="2" t="s">
        <v>363</v>
      </c>
      <c r="F824" s="2" t="s">
        <v>363</v>
      </c>
      <c r="G824" s="3" t="s">
        <v>47</v>
      </c>
      <c r="H824" s="2" t="s">
        <v>402</v>
      </c>
      <c r="I824" s="17">
        <v>2.6</v>
      </c>
      <c r="J824" s="3">
        <v>93</v>
      </c>
      <c r="K824" s="3" t="s">
        <v>819</v>
      </c>
      <c r="L824" s="21">
        <v>0</v>
      </c>
      <c r="M824" s="21">
        <v>0</v>
      </c>
      <c r="N824" s="21">
        <v>0</v>
      </c>
      <c r="O824" s="21">
        <v>0</v>
      </c>
      <c r="P824" s="21">
        <v>0</v>
      </c>
      <c r="Q824" s="21">
        <v>0</v>
      </c>
      <c r="R824" s="21">
        <v>0</v>
      </c>
      <c r="S824" s="21">
        <v>0</v>
      </c>
      <c r="T824" s="21">
        <v>0</v>
      </c>
      <c r="U824" s="21">
        <v>0</v>
      </c>
      <c r="V824" s="21">
        <v>0</v>
      </c>
      <c r="W824" s="21">
        <v>0</v>
      </c>
      <c r="X824" s="18">
        <v>0</v>
      </c>
      <c r="Y824" s="18">
        <v>2315</v>
      </c>
      <c r="Z824" s="18">
        <v>0</v>
      </c>
      <c r="AA824" s="18">
        <f>SUMIF([1]SA007!$C:$C,'SA007 2025.01-2026.05 '!$D824,[1]SA007!P:P)</f>
        <v>0</v>
      </c>
      <c r="AB824" s="18">
        <f>SUMIF([1]SA007!$C:$C,'SA007 2025.01-2026.05 '!$D824,[1]SA007!Q:Q)</f>
        <v>0</v>
      </c>
      <c r="AC824" s="19">
        <f t="shared" si="27"/>
        <v>2315</v>
      </c>
      <c r="AD824" s="19">
        <f t="shared" si="28"/>
        <v>136.1764705882353</v>
      </c>
      <c r="AG824" s="21">
        <f>SUMIF([1]SO003!$H:$H,'SA007 2025.01-2026.05 '!$D824,[1]SO003!AF:AF)</f>
        <v>0</v>
      </c>
      <c r="AH824" s="21">
        <f>SUMIF([1]SO003!$H:$H,'SA007 2025.01-2026.05 '!$D824,[1]SO003!AH:AH)</f>
        <v>0</v>
      </c>
      <c r="AI824" s="21">
        <f>SUMIF([1]SO003!$H:$H,'SA007 2025.01-2026.05 '!$D824,[1]SO003!AJ:AJ)</f>
        <v>0</v>
      </c>
    </row>
    <row r="825" spans="1:35" x14ac:dyDescent="0.55000000000000004">
      <c r="A825" s="2" t="s">
        <v>867</v>
      </c>
      <c r="D825" s="2" t="s">
        <v>1418</v>
      </c>
      <c r="E825" s="2" t="s">
        <v>363</v>
      </c>
      <c r="F825" s="2" t="s">
        <v>363</v>
      </c>
      <c r="G825" s="3" t="s">
        <v>63</v>
      </c>
      <c r="H825" s="2" t="s">
        <v>64</v>
      </c>
      <c r="I825" s="17">
        <v>1.2</v>
      </c>
      <c r="J825" s="3">
        <v>76</v>
      </c>
      <c r="K825" s="3" t="s">
        <v>819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>
        <v>0</v>
      </c>
      <c r="R825" s="21">
        <v>0</v>
      </c>
      <c r="S825" s="21">
        <v>0</v>
      </c>
      <c r="T825" s="21">
        <v>0</v>
      </c>
      <c r="U825" s="21">
        <v>0</v>
      </c>
      <c r="V825" s="21">
        <v>0</v>
      </c>
      <c r="W825" s="21">
        <v>0</v>
      </c>
      <c r="X825" s="18">
        <v>0</v>
      </c>
      <c r="Y825" s="18">
        <v>428</v>
      </c>
      <c r="Z825" s="18">
        <v>1949</v>
      </c>
      <c r="AA825" s="18">
        <f>SUMIF([1]SA007!$C:$C,'SA007 2025.01-2026.05 '!$D825,[1]SA007!P:P)</f>
        <v>0</v>
      </c>
      <c r="AB825" s="18">
        <f>SUMIF([1]SA007!$C:$C,'SA007 2025.01-2026.05 '!$D825,[1]SA007!Q:Q)</f>
        <v>0</v>
      </c>
      <c r="AC825" s="19">
        <f t="shared" si="27"/>
        <v>2377</v>
      </c>
      <c r="AD825" s="19">
        <f t="shared" si="28"/>
        <v>139.8235294117647</v>
      </c>
      <c r="AG825" s="21">
        <f>SUMIF([1]SO003!$H:$H,'SA007 2025.01-2026.05 '!$D825,[1]SO003!AF:AF)</f>
        <v>0</v>
      </c>
      <c r="AH825" s="21">
        <f>SUMIF([1]SO003!$H:$H,'SA007 2025.01-2026.05 '!$D825,[1]SO003!AH:AH)</f>
        <v>0</v>
      </c>
      <c r="AI825" s="21">
        <f>SUMIF([1]SO003!$H:$H,'SA007 2025.01-2026.05 '!$D825,[1]SO003!AJ:AJ)</f>
        <v>0</v>
      </c>
    </row>
    <row r="826" spans="1:35" x14ac:dyDescent="0.55000000000000004">
      <c r="A826" s="2" t="s">
        <v>361</v>
      </c>
      <c r="D826" s="2" t="s">
        <v>1419</v>
      </c>
      <c r="E826" s="2" t="s">
        <v>363</v>
      </c>
      <c r="F826" s="2" t="s">
        <v>363</v>
      </c>
      <c r="G826" s="3" t="s">
        <v>47</v>
      </c>
      <c r="H826" s="2" t="s">
        <v>213</v>
      </c>
      <c r="I826" s="17">
        <v>4.5</v>
      </c>
      <c r="J826" s="3">
        <v>102</v>
      </c>
      <c r="K826" s="3" t="s">
        <v>819</v>
      </c>
      <c r="L826" s="21">
        <v>0</v>
      </c>
      <c r="M826" s="21">
        <v>0</v>
      </c>
      <c r="N826" s="21">
        <v>0</v>
      </c>
      <c r="O826" s="21">
        <v>0</v>
      </c>
      <c r="P826" s="21">
        <v>0</v>
      </c>
      <c r="Q826" s="21">
        <v>0</v>
      </c>
      <c r="R826" s="21">
        <v>0</v>
      </c>
      <c r="S826" s="21">
        <v>0</v>
      </c>
      <c r="T826" s="21">
        <v>0</v>
      </c>
      <c r="U826" s="21">
        <v>0</v>
      </c>
      <c r="V826" s="21">
        <v>0</v>
      </c>
      <c r="W826" s="21">
        <v>0</v>
      </c>
      <c r="X826" s="18">
        <v>0</v>
      </c>
      <c r="Y826" s="18">
        <v>0</v>
      </c>
      <c r="Z826" s="18">
        <v>874</v>
      </c>
      <c r="AA826" s="18">
        <f>SUMIF([1]SA007!$C:$C,'SA007 2025.01-2026.05 '!$D826,[1]SA007!P:P)</f>
        <v>1094</v>
      </c>
      <c r="AB826" s="18">
        <f>SUMIF([1]SA007!$C:$C,'SA007 2025.01-2026.05 '!$D826,[1]SA007!Q:Q)</f>
        <v>0</v>
      </c>
      <c r="AC826" s="19">
        <f t="shared" si="27"/>
        <v>1968</v>
      </c>
      <c r="AD826" s="19">
        <f t="shared" si="28"/>
        <v>115.76470588235294</v>
      </c>
      <c r="AG826" s="21">
        <f>SUMIF([1]SO003!$H:$H,'SA007 2025.01-2026.05 '!$D826,[1]SO003!AF:AF)</f>
        <v>0</v>
      </c>
      <c r="AH826" s="21">
        <f>SUMIF([1]SO003!$H:$H,'SA007 2025.01-2026.05 '!$D826,[1]SO003!AH:AH)</f>
        <v>0</v>
      </c>
      <c r="AI826" s="21">
        <f>SUMIF([1]SO003!$H:$H,'SA007 2025.01-2026.05 '!$D826,[1]SO003!AJ:AJ)</f>
        <v>0</v>
      </c>
    </row>
    <row r="827" spans="1:35" x14ac:dyDescent="0.55000000000000004">
      <c r="A827" s="2" t="s">
        <v>460</v>
      </c>
      <c r="D827" s="2" t="s">
        <v>1420</v>
      </c>
      <c r="E827" s="2" t="s">
        <v>363</v>
      </c>
      <c r="F827" s="2" t="s">
        <v>363</v>
      </c>
      <c r="G827" s="3" t="s">
        <v>47</v>
      </c>
      <c r="H827" s="2" t="s">
        <v>213</v>
      </c>
      <c r="I827" s="17">
        <v>3.2</v>
      </c>
      <c r="J827" s="3">
        <v>98</v>
      </c>
      <c r="K827" s="3" t="s">
        <v>819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1">
        <v>0</v>
      </c>
      <c r="S827" s="21">
        <v>0</v>
      </c>
      <c r="T827" s="21">
        <v>0</v>
      </c>
      <c r="U827" s="21">
        <v>0</v>
      </c>
      <c r="V827" s="21">
        <v>0</v>
      </c>
      <c r="W827" s="21">
        <v>0</v>
      </c>
      <c r="X827" s="18">
        <v>0</v>
      </c>
      <c r="Y827" s="18">
        <v>0</v>
      </c>
      <c r="Z827" s="18">
        <v>598</v>
      </c>
      <c r="AA827" s="18">
        <f>SUMIF([1]SA007!$C:$C,'SA007 2025.01-2026.05 '!$D827,[1]SA007!P:P)</f>
        <v>0</v>
      </c>
      <c r="AB827" s="18">
        <f>SUMIF([1]SA007!$C:$C,'SA007 2025.01-2026.05 '!$D827,[1]SA007!Q:Q)</f>
        <v>0</v>
      </c>
      <c r="AC827" s="19">
        <f t="shared" si="27"/>
        <v>598</v>
      </c>
      <c r="AD827" s="19">
        <f t="shared" si="28"/>
        <v>35.176470588235297</v>
      </c>
      <c r="AG827" s="21">
        <f>SUMIF([1]SO003!$H:$H,'SA007 2025.01-2026.05 '!$D827,[1]SO003!AF:AF)</f>
        <v>0</v>
      </c>
      <c r="AH827" s="21">
        <f>SUMIF([1]SO003!$H:$H,'SA007 2025.01-2026.05 '!$D827,[1]SO003!AH:AH)</f>
        <v>0</v>
      </c>
      <c r="AI827" s="21">
        <f>SUMIF([1]SO003!$H:$H,'SA007 2025.01-2026.05 '!$D827,[1]SO003!AJ:AJ)</f>
        <v>0</v>
      </c>
    </row>
    <row r="828" spans="1:35" x14ac:dyDescent="0.55000000000000004">
      <c r="A828" s="2" t="s">
        <v>867</v>
      </c>
      <c r="D828" s="2" t="s">
        <v>1421</v>
      </c>
      <c r="E828" s="2" t="s">
        <v>363</v>
      </c>
      <c r="F828" s="2" t="s">
        <v>363</v>
      </c>
      <c r="G828" s="3" t="s">
        <v>63</v>
      </c>
      <c r="H828" s="2" t="s">
        <v>64</v>
      </c>
      <c r="I828" s="17">
        <v>1.2</v>
      </c>
      <c r="J828" s="3">
        <v>35</v>
      </c>
      <c r="K828" s="3" t="s">
        <v>819</v>
      </c>
      <c r="L828" s="21">
        <v>0</v>
      </c>
      <c r="M828" s="21">
        <v>0</v>
      </c>
      <c r="N828" s="21">
        <v>0</v>
      </c>
      <c r="O828" s="21">
        <v>0</v>
      </c>
      <c r="P828" s="21">
        <v>0</v>
      </c>
      <c r="Q828" s="21">
        <v>0</v>
      </c>
      <c r="R828" s="21">
        <v>0</v>
      </c>
      <c r="S828" s="21">
        <v>0</v>
      </c>
      <c r="T828" s="21">
        <v>0</v>
      </c>
      <c r="U828" s="21">
        <v>0</v>
      </c>
      <c r="V828" s="21">
        <v>0</v>
      </c>
      <c r="W828" s="21">
        <v>0</v>
      </c>
      <c r="X828" s="18">
        <v>0</v>
      </c>
      <c r="Y828" s="18">
        <v>0</v>
      </c>
      <c r="Z828" s="18">
        <v>345</v>
      </c>
      <c r="AA828" s="18">
        <f>SUMIF([1]SA007!$C:$C,'SA007 2025.01-2026.05 '!$D828,[1]SA007!P:P)</f>
        <v>155</v>
      </c>
      <c r="AB828" s="18">
        <f>SUMIF([1]SA007!$C:$C,'SA007 2025.01-2026.05 '!$D828,[1]SA007!Q:Q)</f>
        <v>0</v>
      </c>
      <c r="AC828" s="19">
        <f t="shared" si="27"/>
        <v>500</v>
      </c>
      <c r="AD828" s="19">
        <f t="shared" si="28"/>
        <v>29.411764705882351</v>
      </c>
      <c r="AG828" s="21">
        <f>SUMIF([1]SO003!$H:$H,'SA007 2025.01-2026.05 '!$D828,[1]SO003!AF:AF)</f>
        <v>321.78719999999998</v>
      </c>
      <c r="AH828" s="21">
        <f>SUMIF([1]SO003!$H:$H,'SA007 2025.01-2026.05 '!$D828,[1]SO003!AH:AH)</f>
        <v>331.84305000000001</v>
      </c>
      <c r="AI828" s="21">
        <f>SUMIF([1]SO003!$H:$H,'SA007 2025.01-2026.05 '!$D828,[1]SO003!AJ:AJ)</f>
        <v>0</v>
      </c>
    </row>
    <row r="829" spans="1:35" x14ac:dyDescent="0.55000000000000004">
      <c r="A829" s="2" t="s">
        <v>867</v>
      </c>
      <c r="D829" s="2" t="s">
        <v>1422</v>
      </c>
      <c r="E829" s="2" t="s">
        <v>363</v>
      </c>
      <c r="F829" s="2" t="s">
        <v>363</v>
      </c>
      <c r="G829" s="3" t="s">
        <v>63</v>
      </c>
      <c r="H829" s="2" t="s">
        <v>64</v>
      </c>
      <c r="I829" s="17">
        <v>1.2</v>
      </c>
      <c r="J829" s="3">
        <v>270</v>
      </c>
      <c r="K829" s="3" t="s">
        <v>819</v>
      </c>
      <c r="L829" s="21">
        <v>0</v>
      </c>
      <c r="M829" s="21">
        <v>0</v>
      </c>
      <c r="N829" s="21">
        <v>0</v>
      </c>
      <c r="O829" s="21">
        <v>0</v>
      </c>
      <c r="P829" s="21">
        <v>0</v>
      </c>
      <c r="Q829" s="21">
        <v>0</v>
      </c>
      <c r="R829" s="21">
        <v>0</v>
      </c>
      <c r="S829" s="21">
        <v>0</v>
      </c>
      <c r="T829" s="21">
        <v>0</v>
      </c>
      <c r="U829" s="21">
        <v>0</v>
      </c>
      <c r="V829" s="21">
        <v>0</v>
      </c>
      <c r="W829" s="21">
        <v>0</v>
      </c>
      <c r="X829" s="18">
        <v>0</v>
      </c>
      <c r="Y829" s="18">
        <v>0</v>
      </c>
      <c r="Z829" s="18">
        <v>772</v>
      </c>
      <c r="AA829" s="18">
        <f>SUMIF([1]SA007!$C:$C,'SA007 2025.01-2026.05 '!$D829,[1]SA007!P:P)</f>
        <v>0</v>
      </c>
      <c r="AB829" s="18">
        <f>SUMIF([1]SA007!$C:$C,'SA007 2025.01-2026.05 '!$D829,[1]SA007!Q:Q)</f>
        <v>0</v>
      </c>
      <c r="AC829" s="19">
        <f t="shared" si="27"/>
        <v>772</v>
      </c>
      <c r="AD829" s="19">
        <f t="shared" si="28"/>
        <v>45.411764705882355</v>
      </c>
      <c r="AG829" s="21">
        <f>SUMIF([1]SO003!$H:$H,'SA007 2025.01-2026.05 '!$D829,[1]SO003!AF:AF)</f>
        <v>0</v>
      </c>
      <c r="AH829" s="21">
        <f>SUMIF([1]SO003!$H:$H,'SA007 2025.01-2026.05 '!$D829,[1]SO003!AH:AH)</f>
        <v>0</v>
      </c>
      <c r="AI829" s="21">
        <f>SUMIF([1]SO003!$H:$H,'SA007 2025.01-2026.05 '!$D829,[1]SO003!AJ:AJ)</f>
        <v>0</v>
      </c>
    </row>
    <row r="830" spans="1:35" x14ac:dyDescent="0.55000000000000004">
      <c r="A830" s="2" t="s">
        <v>212</v>
      </c>
      <c r="B830" s="2" t="s">
        <v>213</v>
      </c>
      <c r="C830" s="2" t="s">
        <v>213</v>
      </c>
      <c r="D830" s="2" t="s">
        <v>1423</v>
      </c>
      <c r="E830" s="2" t="s">
        <v>363</v>
      </c>
      <c r="F830" s="2" t="s">
        <v>363</v>
      </c>
      <c r="G830" s="3" t="s">
        <v>47</v>
      </c>
      <c r="H830" s="2" t="s">
        <v>1424</v>
      </c>
      <c r="I830" s="17">
        <v>1.6</v>
      </c>
      <c r="J830" s="3">
        <v>146</v>
      </c>
      <c r="K830" s="3">
        <v>1220</v>
      </c>
      <c r="L830" s="18">
        <v>0</v>
      </c>
      <c r="M830" s="18">
        <v>0</v>
      </c>
      <c r="N830" s="18">
        <v>0</v>
      </c>
      <c r="O830" s="18">
        <v>124</v>
      </c>
      <c r="P830" s="18">
        <v>225</v>
      </c>
      <c r="Q830" s="18">
        <v>224</v>
      </c>
      <c r="R830" s="18">
        <v>464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f>SUMIF([1]SA007!$C:$C,'SA007 2025.01-2026.05 '!$D830,[1]SA007!P:P)</f>
        <v>0</v>
      </c>
      <c r="AB830" s="18">
        <f>SUMIF([1]SA007!$C:$C,'SA007 2025.01-2026.05 '!$D830,[1]SA007!Q:Q)</f>
        <v>0</v>
      </c>
      <c r="AC830" s="19">
        <f t="shared" si="27"/>
        <v>1037</v>
      </c>
      <c r="AD830" s="19">
        <f t="shared" si="28"/>
        <v>61</v>
      </c>
      <c r="AE830" s="20" t="s">
        <v>116</v>
      </c>
      <c r="AG830" s="21">
        <f>SUMIF([1]SO003!$H:$H,'SA007 2025.01-2026.05 '!$D830,[1]SO003!AF:AF)</f>
        <v>0</v>
      </c>
      <c r="AH830" s="21">
        <f>SUMIF([1]SO003!$H:$H,'SA007 2025.01-2026.05 '!$D830,[1]SO003!AH:AH)</f>
        <v>0</v>
      </c>
      <c r="AI830" s="21">
        <f>SUMIF([1]SO003!$H:$H,'SA007 2025.01-2026.05 '!$D830,[1]SO003!AJ:AJ)</f>
        <v>0</v>
      </c>
    </row>
    <row r="831" spans="1:35" x14ac:dyDescent="0.55000000000000004">
      <c r="A831" s="23" t="s">
        <v>219</v>
      </c>
      <c r="D831" s="2" t="s">
        <v>1425</v>
      </c>
      <c r="E831" s="2" t="s">
        <v>182</v>
      </c>
      <c r="F831" s="2" t="s">
        <v>182</v>
      </c>
      <c r="G831" s="3" t="s">
        <v>57</v>
      </c>
      <c r="H831" s="2" t="s">
        <v>67</v>
      </c>
      <c r="I831" s="17">
        <v>1.2</v>
      </c>
      <c r="J831" s="3">
        <v>390</v>
      </c>
      <c r="K831" s="3" t="s">
        <v>41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>
        <v>0</v>
      </c>
      <c r="T831" s="21">
        <v>0</v>
      </c>
      <c r="U831" s="21">
        <v>0</v>
      </c>
      <c r="V831" s="21">
        <v>0</v>
      </c>
      <c r="W831" s="21">
        <v>0</v>
      </c>
      <c r="X831" s="18">
        <v>0</v>
      </c>
      <c r="Y831" s="18">
        <v>0</v>
      </c>
      <c r="Z831" s="18">
        <v>489</v>
      </c>
      <c r="AA831" s="18">
        <f>SUMIF([1]SA007!$C:$C,'SA007 2025.01-2026.05 '!$D831,[1]SA007!P:P)</f>
        <v>0</v>
      </c>
      <c r="AB831" s="18">
        <f>SUMIF([1]SA007!$C:$C,'SA007 2025.01-2026.05 '!$D831,[1]SA007!Q:Q)</f>
        <v>0</v>
      </c>
      <c r="AC831" s="19">
        <f t="shared" si="27"/>
        <v>489</v>
      </c>
      <c r="AD831" s="19">
        <f t="shared" si="28"/>
        <v>28.764705882352942</v>
      </c>
      <c r="AG831" s="21">
        <f>SUMIF([1]SO003!$H:$H,'SA007 2025.01-2026.05 '!$D831,[1]SO003!AF:AF)</f>
        <v>0</v>
      </c>
      <c r="AH831" s="21">
        <f>SUMIF([1]SO003!$H:$H,'SA007 2025.01-2026.05 '!$D831,[1]SO003!AH:AH)</f>
        <v>0</v>
      </c>
      <c r="AI831" s="21">
        <f>SUMIF([1]SO003!$H:$H,'SA007 2025.01-2026.05 '!$D831,[1]SO003!AJ:AJ)</f>
        <v>0</v>
      </c>
    </row>
    <row r="832" spans="1:35" x14ac:dyDescent="0.55000000000000004">
      <c r="A832" s="2" t="s">
        <v>212</v>
      </c>
      <c r="B832" s="2" t="s">
        <v>213</v>
      </c>
      <c r="C832" s="2" t="s">
        <v>213</v>
      </c>
      <c r="D832" s="2" t="s">
        <v>1426</v>
      </c>
      <c r="E832" s="2" t="s">
        <v>363</v>
      </c>
      <c r="F832" s="2" t="s">
        <v>363</v>
      </c>
      <c r="G832" s="3" t="s">
        <v>47</v>
      </c>
      <c r="H832" s="2" t="s">
        <v>1424</v>
      </c>
      <c r="I832" s="17">
        <v>1.6</v>
      </c>
      <c r="J832" s="3">
        <v>124</v>
      </c>
      <c r="K832" s="3">
        <v>1220</v>
      </c>
      <c r="L832" s="18">
        <v>0</v>
      </c>
      <c r="M832" s="18">
        <v>0</v>
      </c>
      <c r="N832" s="18">
        <v>0</v>
      </c>
      <c r="O832" s="18">
        <v>0</v>
      </c>
      <c r="P832" s="18">
        <v>191</v>
      </c>
      <c r="Q832" s="18">
        <v>0</v>
      </c>
      <c r="R832" s="18">
        <v>296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8">
        <v>0</v>
      </c>
      <c r="Y832" s="18">
        <v>0</v>
      </c>
      <c r="Z832" s="18">
        <v>185</v>
      </c>
      <c r="AA832" s="18">
        <f>SUMIF([1]SA007!$C:$C,'SA007 2025.01-2026.05 '!$D832,[1]SA007!P:P)</f>
        <v>0</v>
      </c>
      <c r="AB832" s="18">
        <f>SUMIF([1]SA007!$C:$C,'SA007 2025.01-2026.05 '!$D832,[1]SA007!Q:Q)</f>
        <v>0</v>
      </c>
      <c r="AC832" s="19">
        <f t="shared" si="27"/>
        <v>672</v>
      </c>
      <c r="AD832" s="19">
        <f t="shared" si="28"/>
        <v>39.529411764705884</v>
      </c>
      <c r="AE832" s="20" t="s">
        <v>116</v>
      </c>
      <c r="AG832" s="21">
        <f>SUMIF([1]SO003!$H:$H,'SA007 2025.01-2026.05 '!$D832,[1]SO003!AF:AF)</f>
        <v>0</v>
      </c>
      <c r="AH832" s="21">
        <f>SUMIF([1]SO003!$H:$H,'SA007 2025.01-2026.05 '!$D832,[1]SO003!AH:AH)</f>
        <v>0</v>
      </c>
      <c r="AI832" s="21">
        <f>SUMIF([1]SO003!$H:$H,'SA007 2025.01-2026.05 '!$D832,[1]SO003!AJ:AJ)</f>
        <v>0</v>
      </c>
    </row>
    <row r="833" spans="1:35" x14ac:dyDescent="0.55000000000000004">
      <c r="A833" s="2" t="s">
        <v>867</v>
      </c>
      <c r="D833" s="2" t="s">
        <v>1427</v>
      </c>
      <c r="E833" s="2" t="s">
        <v>555</v>
      </c>
      <c r="F833" s="2" t="s">
        <v>1135</v>
      </c>
      <c r="G833" s="3" t="s">
        <v>63</v>
      </c>
      <c r="H833" s="2" t="s">
        <v>64</v>
      </c>
      <c r="I833" s="17">
        <v>1.2</v>
      </c>
      <c r="J833" s="3">
        <v>68</v>
      </c>
      <c r="K833" s="3" t="s">
        <v>731</v>
      </c>
      <c r="L833" s="21">
        <v>0</v>
      </c>
      <c r="M833" s="21">
        <v>0</v>
      </c>
      <c r="N833" s="21">
        <v>0</v>
      </c>
      <c r="O833" s="21">
        <v>0</v>
      </c>
      <c r="P833" s="21">
        <v>0</v>
      </c>
      <c r="Q833" s="21">
        <v>0</v>
      </c>
      <c r="R833" s="21">
        <v>0</v>
      </c>
      <c r="S833" s="21">
        <v>0</v>
      </c>
      <c r="T833" s="21">
        <v>0</v>
      </c>
      <c r="U833" s="21">
        <v>0</v>
      </c>
      <c r="V833" s="21">
        <v>0</v>
      </c>
      <c r="W833" s="21">
        <v>0</v>
      </c>
      <c r="X833" s="18">
        <v>0</v>
      </c>
      <c r="Y833" s="18">
        <v>0</v>
      </c>
      <c r="Z833" s="18">
        <v>79</v>
      </c>
      <c r="AA833" s="18">
        <f>SUMIF([1]SA007!$C:$C,'SA007 2025.01-2026.05 '!$D833,[1]SA007!P:P)</f>
        <v>0</v>
      </c>
      <c r="AB833" s="18">
        <f>SUMIF([1]SA007!$C:$C,'SA007 2025.01-2026.05 '!$D833,[1]SA007!Q:Q)</f>
        <v>0</v>
      </c>
      <c r="AC833" s="19">
        <f t="shared" si="27"/>
        <v>79</v>
      </c>
      <c r="AD833" s="19">
        <f t="shared" si="28"/>
        <v>4.6470588235294121</v>
      </c>
      <c r="AG833" s="21">
        <f>SUMIF([1]SO003!$H:$H,'SA007 2025.01-2026.05 '!$D833,[1]SO003!AF:AF)</f>
        <v>0</v>
      </c>
      <c r="AH833" s="21">
        <f>SUMIF([1]SO003!$H:$H,'SA007 2025.01-2026.05 '!$D833,[1]SO003!AH:AH)</f>
        <v>0</v>
      </c>
      <c r="AI833" s="21">
        <f>SUMIF([1]SO003!$H:$H,'SA007 2025.01-2026.05 '!$D833,[1]SO003!AJ:AJ)</f>
        <v>0</v>
      </c>
    </row>
    <row r="834" spans="1:35" x14ac:dyDescent="0.55000000000000004">
      <c r="A834" s="2" t="s">
        <v>867</v>
      </c>
      <c r="D834" s="2" t="s">
        <v>1428</v>
      </c>
      <c r="E834" s="2" t="s">
        <v>1429</v>
      </c>
      <c r="F834" s="2" t="s">
        <v>1429</v>
      </c>
      <c r="G834" s="3" t="s">
        <v>63</v>
      </c>
      <c r="H834" s="2" t="s">
        <v>61</v>
      </c>
      <c r="I834" s="17">
        <v>1.2</v>
      </c>
      <c r="J834" s="3">
        <v>44</v>
      </c>
      <c r="K834" s="3" t="s">
        <v>102</v>
      </c>
      <c r="L834" s="21">
        <v>0</v>
      </c>
      <c r="M834" s="21">
        <v>0</v>
      </c>
      <c r="N834" s="21">
        <v>0</v>
      </c>
      <c r="O834" s="21">
        <v>0</v>
      </c>
      <c r="P834" s="21">
        <v>0</v>
      </c>
      <c r="Q834" s="21">
        <v>0</v>
      </c>
      <c r="R834" s="21">
        <v>0</v>
      </c>
      <c r="S834" s="21">
        <v>0</v>
      </c>
      <c r="T834" s="21">
        <v>0</v>
      </c>
      <c r="U834" s="21">
        <v>0</v>
      </c>
      <c r="V834" s="21">
        <v>0</v>
      </c>
      <c r="W834" s="21">
        <v>0</v>
      </c>
      <c r="X834" s="18">
        <v>0</v>
      </c>
      <c r="Y834" s="18">
        <v>0</v>
      </c>
      <c r="Z834" s="18">
        <v>7459</v>
      </c>
      <c r="AA834" s="18">
        <f>SUMIF([1]SA007!$C:$C,'SA007 2025.01-2026.05 '!$D834,[1]SA007!P:P)</f>
        <v>0</v>
      </c>
      <c r="AB834" s="18">
        <f>SUMIF([1]SA007!$C:$C,'SA007 2025.01-2026.05 '!$D834,[1]SA007!Q:Q)</f>
        <v>0</v>
      </c>
      <c r="AC834" s="19">
        <f t="shared" si="27"/>
        <v>7459</v>
      </c>
      <c r="AD834" s="19">
        <f t="shared" si="28"/>
        <v>438.76470588235293</v>
      </c>
      <c r="AG834" s="21">
        <f>SUMIF([1]SO003!$H:$H,'SA007 2025.01-2026.05 '!$D834,[1]SO003!AF:AF)</f>
        <v>0</v>
      </c>
      <c r="AH834" s="21">
        <f>SUMIF([1]SO003!$H:$H,'SA007 2025.01-2026.05 '!$D834,[1]SO003!AH:AH)</f>
        <v>0</v>
      </c>
      <c r="AI834" s="21">
        <f>SUMIF([1]SO003!$H:$H,'SA007 2025.01-2026.05 '!$D834,[1]SO003!AJ:AJ)</f>
        <v>0</v>
      </c>
    </row>
    <row r="835" spans="1:35" x14ac:dyDescent="0.55000000000000004">
      <c r="A835" s="2" t="s">
        <v>178</v>
      </c>
      <c r="D835" s="2" t="s">
        <v>1430</v>
      </c>
      <c r="E835" s="2" t="s">
        <v>370</v>
      </c>
      <c r="F835" s="2" t="s">
        <v>370</v>
      </c>
      <c r="G835" s="3" t="s">
        <v>57</v>
      </c>
      <c r="H835" s="2" t="s">
        <v>158</v>
      </c>
      <c r="I835" s="17">
        <v>1</v>
      </c>
      <c r="J835" s="3">
        <v>1219</v>
      </c>
      <c r="K835" s="3" t="s">
        <v>1053</v>
      </c>
      <c r="L835" s="21">
        <v>0</v>
      </c>
      <c r="M835" s="21">
        <v>0</v>
      </c>
      <c r="N835" s="21">
        <v>0</v>
      </c>
      <c r="O835" s="21">
        <v>0</v>
      </c>
      <c r="P835" s="21">
        <v>0</v>
      </c>
      <c r="Q835" s="21">
        <v>0</v>
      </c>
      <c r="R835" s="21">
        <v>0</v>
      </c>
      <c r="S835" s="21">
        <v>0</v>
      </c>
      <c r="T835" s="21">
        <v>0</v>
      </c>
      <c r="U835" s="21">
        <v>0</v>
      </c>
      <c r="V835" s="21">
        <v>0</v>
      </c>
      <c r="W835" s="21">
        <v>0</v>
      </c>
      <c r="X835" s="18">
        <v>0</v>
      </c>
      <c r="Y835" s="18">
        <v>0</v>
      </c>
      <c r="Z835" s="18">
        <v>155</v>
      </c>
      <c r="AA835" s="18">
        <f>SUMIF([1]SA007!$C:$C,'SA007 2025.01-2026.05 '!$D835,[1]SA007!P:P)</f>
        <v>0</v>
      </c>
      <c r="AB835" s="18">
        <f>SUMIF([1]SA007!$C:$C,'SA007 2025.01-2026.05 '!$D835,[1]SA007!Q:Q)</f>
        <v>324</v>
      </c>
      <c r="AC835" s="19">
        <f t="shared" si="27"/>
        <v>479</v>
      </c>
      <c r="AD835" s="19">
        <f t="shared" si="28"/>
        <v>28.176470588235293</v>
      </c>
      <c r="AG835" s="21">
        <f>SUMIF([1]SO003!$H:$H,'SA007 2025.01-2026.05 '!$D835,[1]SO003!AF:AF)</f>
        <v>235.40108999999998</v>
      </c>
      <c r="AH835" s="21">
        <f>SUMIF([1]SO003!$H:$H,'SA007 2025.01-2026.05 '!$D835,[1]SO003!AH:AH)</f>
        <v>235.40108999999998</v>
      </c>
      <c r="AI835" s="21">
        <f>SUMIF([1]SO003!$H:$H,'SA007 2025.01-2026.05 '!$D835,[1]SO003!AJ:AJ)</f>
        <v>0</v>
      </c>
    </row>
    <row r="836" spans="1:35" x14ac:dyDescent="0.55000000000000004">
      <c r="A836" s="2" t="s">
        <v>178</v>
      </c>
      <c r="D836" s="2" t="s">
        <v>1431</v>
      </c>
      <c r="E836" s="2" t="s">
        <v>370</v>
      </c>
      <c r="F836" s="2" t="s">
        <v>370</v>
      </c>
      <c r="G836" s="3" t="s">
        <v>57</v>
      </c>
      <c r="H836" s="2" t="s">
        <v>158</v>
      </c>
      <c r="I836" s="17">
        <v>1</v>
      </c>
      <c r="J836" s="3">
        <v>1219</v>
      </c>
      <c r="K836" s="3" t="s">
        <v>731</v>
      </c>
      <c r="L836" s="21">
        <v>0</v>
      </c>
      <c r="M836" s="21">
        <v>0</v>
      </c>
      <c r="N836" s="21">
        <v>0</v>
      </c>
      <c r="O836" s="21">
        <v>0</v>
      </c>
      <c r="P836" s="21">
        <v>0</v>
      </c>
      <c r="Q836" s="21">
        <v>0</v>
      </c>
      <c r="R836" s="21">
        <v>0</v>
      </c>
      <c r="S836" s="21">
        <v>0</v>
      </c>
      <c r="T836" s="21">
        <v>0</v>
      </c>
      <c r="U836" s="21">
        <v>0</v>
      </c>
      <c r="V836" s="21">
        <v>0</v>
      </c>
      <c r="W836" s="21">
        <v>0</v>
      </c>
      <c r="X836" s="18">
        <v>0</v>
      </c>
      <c r="Y836" s="18">
        <v>0</v>
      </c>
      <c r="Z836" s="18">
        <v>137</v>
      </c>
      <c r="AA836" s="18">
        <f>SUMIF([1]SA007!$C:$C,'SA007 2025.01-2026.05 '!$D836,[1]SA007!P:P)</f>
        <v>0</v>
      </c>
      <c r="AB836" s="18">
        <f>SUMIF([1]SA007!$C:$C,'SA007 2025.01-2026.05 '!$D836,[1]SA007!Q:Q)</f>
        <v>172</v>
      </c>
      <c r="AC836" s="19">
        <f t="shared" si="27"/>
        <v>309</v>
      </c>
      <c r="AD836" s="19">
        <f t="shared" si="28"/>
        <v>18.176470588235293</v>
      </c>
      <c r="AG836" s="21">
        <f>SUMIF([1]SO003!$H:$H,'SA007 2025.01-2026.05 '!$D836,[1]SO003!AF:AF)</f>
        <v>174.97190774999999</v>
      </c>
      <c r="AH836" s="21">
        <f>SUMIF([1]SO003!$H:$H,'SA007 2025.01-2026.05 '!$D836,[1]SO003!AH:AH)</f>
        <v>174.97190774999999</v>
      </c>
      <c r="AI836" s="21">
        <f>SUMIF([1]SO003!$H:$H,'SA007 2025.01-2026.05 '!$D836,[1]SO003!AJ:AJ)</f>
        <v>0</v>
      </c>
    </row>
    <row r="837" spans="1:35" x14ac:dyDescent="0.55000000000000004">
      <c r="A837" s="2" t="s">
        <v>66</v>
      </c>
      <c r="D837" s="2" t="s">
        <v>1432</v>
      </c>
      <c r="E837" s="2" t="s">
        <v>69</v>
      </c>
      <c r="G837" s="3" t="s">
        <v>57</v>
      </c>
      <c r="H837" s="2" t="s">
        <v>158</v>
      </c>
      <c r="I837" s="17">
        <v>0.8</v>
      </c>
      <c r="J837" s="3">
        <v>459.8</v>
      </c>
      <c r="K837" s="3" t="s">
        <v>1433</v>
      </c>
      <c r="Z837" s="18">
        <v>890</v>
      </c>
      <c r="AA837" s="18">
        <f>SUMIF([1]SA007!$C:$C,'SA007 2025.01-2026.05 '!$D837,[1]SA007!P:P)</f>
        <v>1337</v>
      </c>
      <c r="AB837" s="18">
        <f>SUMIF([1]SA007!$C:$C,'SA007 2025.01-2026.05 '!$D837,[1]SA007!Q:Q)</f>
        <v>0</v>
      </c>
      <c r="AC837" s="19">
        <f t="shared" si="27"/>
        <v>2227</v>
      </c>
      <c r="AD837" s="19">
        <f t="shared" si="28"/>
        <v>742.33333333333337</v>
      </c>
      <c r="AG837" s="21">
        <f>SUMIF([1]SO003!$H:$H,'SA007 2025.01-2026.05 '!$D837,[1]SO003!AF:AF)</f>
        <v>913.38791808000008</v>
      </c>
      <c r="AH837" s="21">
        <f>SUMIF([1]SO003!$H:$H,'SA007 2025.01-2026.05 '!$D837,[1]SO003!AH:AH)</f>
        <v>0</v>
      </c>
      <c r="AI837" s="21">
        <f>SUMIF([1]SO003!$H:$H,'SA007 2025.01-2026.05 '!$D837,[1]SO003!AJ:AJ)</f>
        <v>913.38791808000008</v>
      </c>
    </row>
    <row r="838" spans="1:35" x14ac:dyDescent="0.55000000000000004">
      <c r="A838" s="23" t="s">
        <v>219</v>
      </c>
      <c r="D838" s="2" t="s">
        <v>1434</v>
      </c>
      <c r="E838" s="2" t="s">
        <v>249</v>
      </c>
      <c r="G838" s="3" t="s">
        <v>57</v>
      </c>
      <c r="H838" s="2" t="s">
        <v>218</v>
      </c>
      <c r="I838" s="17">
        <v>1.2</v>
      </c>
      <c r="J838" s="3">
        <v>74.400000000000006</v>
      </c>
      <c r="K838" s="3" t="s">
        <v>1435</v>
      </c>
      <c r="Z838" s="18">
        <v>700</v>
      </c>
      <c r="AA838" s="18">
        <f>SUMIF([1]SA007!$C:$C,'SA007 2025.01-2026.05 '!$D838,[1]SA007!P:P)</f>
        <v>612</v>
      </c>
      <c r="AB838" s="18">
        <f>SUMIF([1]SA007!$C:$C,'SA007 2025.01-2026.05 '!$D838,[1]SA007!Q:Q)</f>
        <v>31</v>
      </c>
      <c r="AC838" s="19">
        <f t="shared" ref="AC838:AC901" si="29">SUM(L838:AB838)</f>
        <v>1343</v>
      </c>
      <c r="AD838" s="19">
        <f t="shared" ref="AD838:AD901" si="30">AVERAGE(L838:AB838)</f>
        <v>447.66666666666669</v>
      </c>
      <c r="AG838" s="21">
        <f>SUMIF([1]SO003!$H:$H,'SA007 2025.01-2026.05 '!$D838,[1]SO003!AF:AF)</f>
        <v>621.79234559999998</v>
      </c>
      <c r="AH838" s="21">
        <f>SUMIF([1]SO003!$H:$H,'SA007 2025.01-2026.05 '!$D838,[1]SO003!AH:AH)</f>
        <v>921.02991192000002</v>
      </c>
      <c r="AI838" s="21">
        <f>SUMIF([1]SO003!$H:$H,'SA007 2025.01-2026.05 '!$D838,[1]SO003!AJ:AJ)</f>
        <v>0</v>
      </c>
    </row>
    <row r="839" spans="1:35" x14ac:dyDescent="0.55000000000000004">
      <c r="A839" s="2" t="s">
        <v>66</v>
      </c>
      <c r="D839" s="2" t="s">
        <v>1436</v>
      </c>
      <c r="E839" s="2" t="s">
        <v>69</v>
      </c>
      <c r="G839" s="3" t="s">
        <v>57</v>
      </c>
      <c r="H839" s="2" t="s">
        <v>158</v>
      </c>
      <c r="I839" s="17">
        <v>0.8</v>
      </c>
      <c r="J839" s="3">
        <v>80</v>
      </c>
      <c r="K839" s="3" t="s">
        <v>1437</v>
      </c>
      <c r="Z839" s="18">
        <v>48</v>
      </c>
      <c r="AA839" s="18">
        <f>SUMIF([1]SA007!$C:$C,'SA007 2025.01-2026.05 '!$D839,[1]SA007!P:P)</f>
        <v>0</v>
      </c>
      <c r="AB839" s="18">
        <f>SUMIF([1]SA007!$C:$C,'SA007 2025.01-2026.05 '!$D839,[1]SA007!Q:Q)</f>
        <v>145</v>
      </c>
      <c r="AC839" s="19">
        <f t="shared" si="29"/>
        <v>193</v>
      </c>
      <c r="AD839" s="19">
        <f t="shared" si="30"/>
        <v>64.333333333333329</v>
      </c>
      <c r="AG839" s="21">
        <f>SUMIF([1]SO003!$H:$H,'SA007 2025.01-2026.05 '!$D839,[1]SO003!AF:AF)</f>
        <v>0</v>
      </c>
      <c r="AH839" s="21">
        <f>SUMIF([1]SO003!$H:$H,'SA007 2025.01-2026.05 '!$D839,[1]SO003!AH:AH)</f>
        <v>0</v>
      </c>
      <c r="AI839" s="21">
        <f>SUMIF([1]SO003!$H:$H,'SA007 2025.01-2026.05 '!$D839,[1]SO003!AJ:AJ)</f>
        <v>0</v>
      </c>
    </row>
    <row r="840" spans="1:35" x14ac:dyDescent="0.55000000000000004">
      <c r="A840" s="23" t="s">
        <v>219</v>
      </c>
      <c r="D840" s="2" t="s">
        <v>1438</v>
      </c>
      <c r="E840" s="2" t="s">
        <v>249</v>
      </c>
      <c r="G840" s="3" t="s">
        <v>57</v>
      </c>
      <c r="H840" s="2" t="s">
        <v>218</v>
      </c>
      <c r="I840" s="17">
        <v>1.2</v>
      </c>
      <c r="J840" s="3">
        <v>74.400000000000006</v>
      </c>
      <c r="K840" s="3" t="s">
        <v>1439</v>
      </c>
      <c r="Z840" s="18">
        <v>1450</v>
      </c>
      <c r="AA840" s="18">
        <f>SUMIF([1]SA007!$C:$C,'SA007 2025.01-2026.05 '!$D840,[1]SA007!P:P)</f>
        <v>759</v>
      </c>
      <c r="AB840" s="18">
        <f>SUMIF([1]SA007!$C:$C,'SA007 2025.01-2026.05 '!$D840,[1]SA007!Q:Q)</f>
        <v>1993</v>
      </c>
      <c r="AC840" s="19">
        <f t="shared" si="29"/>
        <v>4202</v>
      </c>
      <c r="AD840" s="19">
        <f t="shared" si="30"/>
        <v>1400.6666666666667</v>
      </c>
      <c r="AG840" s="21">
        <f>SUMIF([1]SO003!$H:$H,'SA007 2025.01-2026.05 '!$D840,[1]SO003!AF:AF)</f>
        <v>1783.7983296</v>
      </c>
      <c r="AH840" s="21">
        <f>SUMIF([1]SO003!$H:$H,'SA007 2025.01-2026.05 '!$D840,[1]SO003!AH:AH)</f>
        <v>581.00859878400001</v>
      </c>
      <c r="AI840" s="21">
        <f>SUMIF([1]SO003!$H:$H,'SA007 2025.01-2026.05 '!$D840,[1]SO003!AJ:AJ)</f>
        <v>1202.789730816</v>
      </c>
    </row>
    <row r="841" spans="1:35" x14ac:dyDescent="0.55000000000000004">
      <c r="A841" s="23" t="s">
        <v>219</v>
      </c>
      <c r="D841" s="2" t="s">
        <v>1440</v>
      </c>
      <c r="E841" s="2" t="s">
        <v>249</v>
      </c>
      <c r="G841" s="3" t="s">
        <v>57</v>
      </c>
      <c r="H841" s="2" t="s">
        <v>218</v>
      </c>
      <c r="I841" s="17">
        <v>1.2</v>
      </c>
      <c r="J841" s="3">
        <v>74.400000000000006</v>
      </c>
      <c r="K841" s="3" t="s">
        <v>1441</v>
      </c>
      <c r="Z841" s="18">
        <v>913</v>
      </c>
      <c r="AA841" s="18">
        <f>SUMIF([1]SA007!$C:$C,'SA007 2025.01-2026.05 '!$D841,[1]SA007!P:P)</f>
        <v>452</v>
      </c>
      <c r="AB841" s="18">
        <f>SUMIF([1]SA007!$C:$C,'SA007 2025.01-2026.05 '!$D841,[1]SA007!Q:Q)</f>
        <v>878</v>
      </c>
      <c r="AC841" s="19">
        <f t="shared" si="29"/>
        <v>2243</v>
      </c>
      <c r="AD841" s="19">
        <f t="shared" si="30"/>
        <v>747.66666666666663</v>
      </c>
      <c r="AG841" s="21">
        <f>SUMIF([1]SO003!$H:$H,'SA007 2025.01-2026.05 '!$D841,[1]SO003!AF:AF)</f>
        <v>183.48200640000002</v>
      </c>
      <c r="AH841" s="21">
        <f>SUMIF([1]SO003!$H:$H,'SA007 2025.01-2026.05 '!$D841,[1]SO003!AH:AH)</f>
        <v>366.96401280000003</v>
      </c>
      <c r="AI841" s="21">
        <f>SUMIF([1]SO003!$H:$H,'SA007 2025.01-2026.05 '!$D841,[1]SO003!AJ:AJ)</f>
        <v>0</v>
      </c>
    </row>
    <row r="842" spans="1:35" x14ac:dyDescent="0.55000000000000004">
      <c r="A842" s="2" t="s">
        <v>247</v>
      </c>
      <c r="D842" s="2" t="s">
        <v>1442</v>
      </c>
      <c r="E842" s="2" t="s">
        <v>270</v>
      </c>
      <c r="G842" s="3" t="s">
        <v>57</v>
      </c>
      <c r="H842" s="2" t="s">
        <v>1443</v>
      </c>
      <c r="I842" s="17">
        <v>2</v>
      </c>
      <c r="J842" s="3">
        <v>1220</v>
      </c>
      <c r="K842" s="3" t="s">
        <v>371</v>
      </c>
      <c r="Z842" s="18">
        <v>2300</v>
      </c>
      <c r="AA842" s="18">
        <f>SUMIF([1]SA007!$C:$C,'SA007 2025.01-2026.05 '!$D842,[1]SA007!P:P)</f>
        <v>0</v>
      </c>
      <c r="AB842" s="18">
        <f>SUMIF([1]SA007!$C:$C,'SA007 2025.01-2026.05 '!$D842,[1]SA007!Q:Q)</f>
        <v>0</v>
      </c>
      <c r="AC842" s="19">
        <f t="shared" si="29"/>
        <v>2300</v>
      </c>
      <c r="AD842" s="19">
        <f t="shared" si="30"/>
        <v>766.66666666666663</v>
      </c>
      <c r="AG842" s="21">
        <f>SUMIF([1]SO003!$H:$H,'SA007 2025.01-2026.05 '!$D842,[1]SO003!AF:AF)</f>
        <v>0</v>
      </c>
      <c r="AH842" s="21">
        <f>SUMIF([1]SO003!$H:$H,'SA007 2025.01-2026.05 '!$D842,[1]SO003!AH:AH)</f>
        <v>0</v>
      </c>
      <c r="AI842" s="21">
        <f>SUMIF([1]SO003!$H:$H,'SA007 2025.01-2026.05 '!$D842,[1]SO003!AJ:AJ)</f>
        <v>0</v>
      </c>
    </row>
    <row r="843" spans="1:35" x14ac:dyDescent="0.55000000000000004">
      <c r="A843" s="2" t="s">
        <v>361</v>
      </c>
      <c r="D843" s="2" t="s">
        <v>1444</v>
      </c>
      <c r="E843" s="2" t="s">
        <v>363</v>
      </c>
      <c r="G843" s="3" t="s">
        <v>47</v>
      </c>
      <c r="H843" s="2" t="s">
        <v>402</v>
      </c>
      <c r="I843" s="17">
        <v>4.5</v>
      </c>
      <c r="J843" s="3">
        <v>93</v>
      </c>
      <c r="K843" s="3" t="s">
        <v>819</v>
      </c>
      <c r="Z843" s="18">
        <v>397</v>
      </c>
      <c r="AA843" s="18">
        <f>SUMIF([1]SA007!$C:$C,'SA007 2025.01-2026.05 '!$D843,[1]SA007!P:P)</f>
        <v>1190</v>
      </c>
      <c r="AB843" s="18">
        <f>SUMIF([1]SA007!$C:$C,'SA007 2025.01-2026.05 '!$D843,[1]SA007!Q:Q)</f>
        <v>599</v>
      </c>
      <c r="AC843" s="19">
        <f t="shared" si="29"/>
        <v>2186</v>
      </c>
      <c r="AD843" s="19">
        <f t="shared" si="30"/>
        <v>728.66666666666663</v>
      </c>
      <c r="AG843" s="21">
        <f>SUMIF([1]SO003!$H:$H,'SA007 2025.01-2026.05 '!$D843,[1]SO003!AF:AF)</f>
        <v>1001.9936249999998</v>
      </c>
      <c r="AH843" s="21">
        <f>SUMIF([1]SO003!$H:$H,'SA007 2025.01-2026.05 '!$D843,[1]SO003!AH:AH)</f>
        <v>1001.9936249999998</v>
      </c>
      <c r="AI843" s="21">
        <f>SUMIF([1]SO003!$H:$H,'SA007 2025.01-2026.05 '!$D843,[1]SO003!AJ:AJ)</f>
        <v>0</v>
      </c>
    </row>
    <row r="844" spans="1:35" x14ac:dyDescent="0.55000000000000004">
      <c r="A844" s="2" t="s">
        <v>867</v>
      </c>
      <c r="D844" s="2" t="s">
        <v>1445</v>
      </c>
      <c r="E844" s="2" t="s">
        <v>151</v>
      </c>
      <c r="G844" s="3" t="s">
        <v>63</v>
      </c>
      <c r="H844" s="2" t="s">
        <v>61</v>
      </c>
      <c r="I844" s="3">
        <v>1.2</v>
      </c>
      <c r="J844" s="3">
        <v>164</v>
      </c>
      <c r="K844" s="3" t="s">
        <v>731</v>
      </c>
      <c r="AA844" s="18">
        <f>SUMIF([1]SA007!$C:$C,'SA007 2025.01-2026.05 '!$D844,[1]SA007!P:P)</f>
        <v>0</v>
      </c>
      <c r="AB844" s="18">
        <f>SUMIF([1]SA007!$C:$C,'SA007 2025.01-2026.05 '!$D844,[1]SA007!Q:Q)</f>
        <v>0</v>
      </c>
      <c r="AC844" s="19">
        <f t="shared" si="29"/>
        <v>0</v>
      </c>
      <c r="AD844" s="19">
        <f t="shared" si="30"/>
        <v>0</v>
      </c>
      <c r="AG844" s="21">
        <f>SUMIF([1]SO003!$H:$H,'SA007 2025.01-2026.05 '!$D844,[1]SO003!AF:AF)</f>
        <v>0</v>
      </c>
      <c r="AH844" s="21">
        <f>SUMIF([1]SO003!$H:$H,'SA007 2025.01-2026.05 '!$D844,[1]SO003!AH:AH)</f>
        <v>0</v>
      </c>
      <c r="AI844" s="21">
        <f>SUMIF([1]SO003!$H:$H,'SA007 2025.01-2026.05 '!$D844,[1]SO003!AJ:AJ)</f>
        <v>0</v>
      </c>
    </row>
    <row r="845" spans="1:35" x14ac:dyDescent="0.55000000000000004">
      <c r="A845" s="2" t="s">
        <v>90</v>
      </c>
      <c r="D845" s="2" t="s">
        <v>1446</v>
      </c>
      <c r="E845" s="2" t="s">
        <v>129</v>
      </c>
      <c r="G845" s="3" t="s">
        <v>63</v>
      </c>
      <c r="H845" s="2" t="s">
        <v>64</v>
      </c>
      <c r="I845" s="3">
        <v>0.4</v>
      </c>
      <c r="J845" s="3">
        <v>102</v>
      </c>
      <c r="K845" s="3" t="s">
        <v>1447</v>
      </c>
      <c r="AA845" s="18">
        <f>SUMIF([1]SA007!$C:$C,'SA007 2025.01-2026.05 '!$D845,[1]SA007!P:P)</f>
        <v>0</v>
      </c>
      <c r="AB845" s="18">
        <f>SUMIF([1]SA007!$C:$C,'SA007 2025.01-2026.05 '!$D845,[1]SA007!Q:Q)</f>
        <v>59</v>
      </c>
      <c r="AC845" s="19">
        <f t="shared" si="29"/>
        <v>59</v>
      </c>
      <c r="AD845" s="19">
        <f t="shared" si="30"/>
        <v>29.5</v>
      </c>
      <c r="AG845" s="21">
        <f>SUMIF([1]SO003!$H:$H,'SA007 2025.01-2026.05 '!$D845,[1]SO003!AF:AF)</f>
        <v>0</v>
      </c>
      <c r="AH845" s="21">
        <f>SUMIF([1]SO003!$H:$H,'SA007 2025.01-2026.05 '!$D845,[1]SO003!AH:AH)</f>
        <v>0</v>
      </c>
      <c r="AI845" s="21">
        <f>SUMIF([1]SO003!$H:$H,'SA007 2025.01-2026.05 '!$D845,[1]SO003!AJ:AJ)</f>
        <v>0</v>
      </c>
    </row>
    <row r="846" spans="1:35" x14ac:dyDescent="0.55000000000000004">
      <c r="A846" s="2" t="s">
        <v>456</v>
      </c>
      <c r="D846" s="2" t="s">
        <v>1448</v>
      </c>
      <c r="E846" s="2" t="s">
        <v>129</v>
      </c>
      <c r="G846" s="3" t="s">
        <v>47</v>
      </c>
      <c r="H846" s="2" t="s">
        <v>213</v>
      </c>
      <c r="I846" s="3">
        <v>3</v>
      </c>
      <c r="J846" s="3">
        <v>475</v>
      </c>
      <c r="K846" s="3" t="s">
        <v>1026</v>
      </c>
      <c r="AA846" s="18">
        <f>SUMIF([1]SA007!$C:$C,'SA007 2025.01-2026.05 '!$D846,[1]SA007!P:P)</f>
        <v>1819</v>
      </c>
      <c r="AB846" s="18">
        <f>SUMIF([1]SA007!$C:$C,'SA007 2025.01-2026.05 '!$D846,[1]SA007!Q:Q)</f>
        <v>597</v>
      </c>
      <c r="AC846" s="19">
        <f t="shared" si="29"/>
        <v>2416</v>
      </c>
      <c r="AD846" s="19">
        <f t="shared" si="30"/>
        <v>1208</v>
      </c>
      <c r="AG846" s="21">
        <f>SUMIF([1]SO003!$H:$H,'SA007 2025.01-2026.05 '!$D846,[1]SO003!AF:AF)</f>
        <v>302.02874999999995</v>
      </c>
      <c r="AH846" s="21">
        <f>SUMIF([1]SO003!$H:$H,'SA007 2025.01-2026.05 '!$D846,[1]SO003!AH:AH)</f>
        <v>302.02874999999995</v>
      </c>
      <c r="AI846" s="21">
        <f>SUMIF([1]SO003!$H:$H,'SA007 2025.01-2026.05 '!$D846,[1]SO003!AJ:AJ)</f>
        <v>0</v>
      </c>
    </row>
    <row r="847" spans="1:35" x14ac:dyDescent="0.55000000000000004">
      <c r="A847" s="2" t="s">
        <v>456</v>
      </c>
      <c r="D847" s="2" t="s">
        <v>1449</v>
      </c>
      <c r="E847" s="2" t="s">
        <v>129</v>
      </c>
      <c r="G847" s="3" t="s">
        <v>47</v>
      </c>
      <c r="H847" s="2" t="s">
        <v>1424</v>
      </c>
      <c r="I847" s="3">
        <v>3</v>
      </c>
      <c r="J847" s="3">
        <v>520</v>
      </c>
      <c r="K847" s="3" t="s">
        <v>1450</v>
      </c>
      <c r="AA847" s="18">
        <f>SUMIF([1]SA007!$C:$C,'SA007 2025.01-2026.05 '!$D847,[1]SA007!P:P)</f>
        <v>0</v>
      </c>
      <c r="AB847" s="18">
        <f>SUMIF([1]SA007!$C:$C,'SA007 2025.01-2026.05 '!$D847,[1]SA007!Q:Q)</f>
        <v>1915</v>
      </c>
      <c r="AC847" s="19">
        <f t="shared" si="29"/>
        <v>1915</v>
      </c>
      <c r="AD847" s="19">
        <f t="shared" si="30"/>
        <v>957.5</v>
      </c>
      <c r="AG847" s="21">
        <f>SUMIF([1]SO003!$H:$H,'SA007 2025.01-2026.05 '!$D847,[1]SO003!AF:AF)</f>
        <v>0</v>
      </c>
      <c r="AH847" s="21">
        <f>SUMIF([1]SO003!$H:$H,'SA007 2025.01-2026.05 '!$D847,[1]SO003!AH:AH)</f>
        <v>0</v>
      </c>
      <c r="AI847" s="21">
        <f>SUMIF([1]SO003!$H:$H,'SA007 2025.01-2026.05 '!$D847,[1]SO003!AJ:AJ)</f>
        <v>0</v>
      </c>
    </row>
    <row r="848" spans="1:35" x14ac:dyDescent="0.55000000000000004">
      <c r="A848" s="2" t="s">
        <v>356</v>
      </c>
      <c r="D848" s="2" t="s">
        <v>1451</v>
      </c>
      <c r="E848" s="2" t="s">
        <v>1452</v>
      </c>
      <c r="G848" s="3" t="s">
        <v>63</v>
      </c>
      <c r="H848" s="2" t="s">
        <v>61</v>
      </c>
      <c r="I848" s="3">
        <v>2</v>
      </c>
      <c r="J848" s="3">
        <v>94.5</v>
      </c>
      <c r="K848" s="3" t="s">
        <v>731</v>
      </c>
      <c r="AA848" s="18">
        <f>SUMIF([1]SA007!$C:$C,'SA007 2025.01-2026.05 '!$D848,[1]SA007!P:P)</f>
        <v>0</v>
      </c>
      <c r="AB848" s="18">
        <f>SUMIF([1]SA007!$C:$C,'SA007 2025.01-2026.05 '!$D848,[1]SA007!Q:Q)</f>
        <v>7583</v>
      </c>
      <c r="AC848" s="19">
        <f t="shared" si="29"/>
        <v>7583</v>
      </c>
      <c r="AD848" s="19">
        <f t="shared" si="30"/>
        <v>3791.5</v>
      </c>
      <c r="AG848" s="21">
        <f>SUMIF([1]SO003!$H:$H,'SA007 2025.01-2026.05 '!$D848,[1]SO003!AF:AF)</f>
        <v>4883.1372449999999</v>
      </c>
      <c r="AH848" s="21">
        <f>SUMIF([1]SO003!$H:$H,'SA007 2025.01-2026.05 '!$D848,[1]SO003!AH:AH)</f>
        <v>0</v>
      </c>
      <c r="AI848" s="21">
        <f>SUMIF([1]SO003!$H:$H,'SA007 2025.01-2026.05 '!$D848,[1]SO003!AJ:AJ)</f>
        <v>4883.1372449999999</v>
      </c>
    </row>
    <row r="849" spans="1:35" x14ac:dyDescent="0.55000000000000004">
      <c r="A849" s="2" t="s">
        <v>1106</v>
      </c>
      <c r="D849" s="2" t="s">
        <v>1453</v>
      </c>
      <c r="E849" s="2" t="s">
        <v>1108</v>
      </c>
      <c r="G849" s="3" t="s">
        <v>63</v>
      </c>
      <c r="H849" s="2" t="s">
        <v>61</v>
      </c>
      <c r="I849" s="3">
        <v>1.6</v>
      </c>
      <c r="J849" s="3">
        <v>90</v>
      </c>
      <c r="K849" s="3" t="s">
        <v>41</v>
      </c>
      <c r="AA849" s="18">
        <f>SUMIF([1]SA007!$C:$C,'SA007 2025.01-2026.05 '!$D849,[1]SA007!P:P)</f>
        <v>0</v>
      </c>
      <c r="AB849" s="18">
        <f>SUMIF([1]SA007!$C:$C,'SA007 2025.01-2026.05 '!$D849,[1]SA007!Q:Q)</f>
        <v>414</v>
      </c>
      <c r="AC849" s="19">
        <f t="shared" si="29"/>
        <v>414</v>
      </c>
      <c r="AD849" s="19">
        <f t="shared" si="30"/>
        <v>207</v>
      </c>
      <c r="AG849" s="21">
        <f>SUMIF([1]SO003!$H:$H,'SA007 2025.01-2026.05 '!$D849,[1]SO003!AF:AF)</f>
        <v>0</v>
      </c>
      <c r="AH849" s="21">
        <f>SUMIF([1]SO003!$H:$H,'SA007 2025.01-2026.05 '!$D849,[1]SO003!AH:AH)</f>
        <v>0</v>
      </c>
      <c r="AI849" s="21">
        <f>SUMIF([1]SO003!$H:$H,'SA007 2025.01-2026.05 '!$D849,[1]SO003!AJ:AJ)</f>
        <v>0</v>
      </c>
    </row>
    <row r="850" spans="1:35" x14ac:dyDescent="0.55000000000000004">
      <c r="A850" s="2" t="s">
        <v>867</v>
      </c>
      <c r="D850" s="2" t="s">
        <v>1454</v>
      </c>
      <c r="E850" s="2" t="s">
        <v>363</v>
      </c>
      <c r="G850" s="3" t="s">
        <v>63</v>
      </c>
      <c r="H850" s="2" t="s">
        <v>1270</v>
      </c>
      <c r="I850" s="3">
        <v>1.2</v>
      </c>
      <c r="J850" s="3">
        <v>1220</v>
      </c>
      <c r="K850" s="3" t="s">
        <v>371</v>
      </c>
      <c r="AA850" s="18">
        <f>SUMIF([1]SA007!$C:$C,'SA007 2025.01-2026.05 '!$D850,[1]SA007!P:P)</f>
        <v>2285</v>
      </c>
      <c r="AB850" s="18">
        <f>SUMIF([1]SA007!$C:$C,'SA007 2025.01-2026.05 '!$D850,[1]SA007!Q:Q)</f>
        <v>0</v>
      </c>
      <c r="AC850" s="19">
        <f t="shared" si="29"/>
        <v>2285</v>
      </c>
      <c r="AD850" s="19">
        <f t="shared" si="30"/>
        <v>1142.5</v>
      </c>
      <c r="AG850" s="21">
        <f>SUMIF([1]SO003!$H:$H,'SA007 2025.01-2026.05 '!$D850,[1]SO003!AF:AF)</f>
        <v>0</v>
      </c>
      <c r="AH850" s="21">
        <f>SUMIF([1]SO003!$H:$H,'SA007 2025.01-2026.05 '!$D850,[1]SO003!AH:AH)</f>
        <v>0</v>
      </c>
      <c r="AI850" s="21">
        <f>SUMIF([1]SO003!$H:$H,'SA007 2025.01-2026.05 '!$D850,[1]SO003!AJ:AJ)</f>
        <v>0</v>
      </c>
    </row>
    <row r="851" spans="1:35" x14ac:dyDescent="0.55000000000000004">
      <c r="A851" s="2" t="s">
        <v>867</v>
      </c>
      <c r="D851" s="2" t="s">
        <v>1454</v>
      </c>
      <c r="E851" s="2" t="s">
        <v>363</v>
      </c>
      <c r="G851" s="3" t="s">
        <v>63</v>
      </c>
      <c r="H851" s="2" t="s">
        <v>64</v>
      </c>
      <c r="I851" s="3">
        <v>1.2</v>
      </c>
      <c r="J851" s="3">
        <v>1220</v>
      </c>
      <c r="K851" s="3" t="s">
        <v>371</v>
      </c>
      <c r="AA851" s="18">
        <f>SUMIF([1]SA007!$C:$C,'SA007 2025.01-2026.05 '!$D851,[1]SA007!P:P)</f>
        <v>2285</v>
      </c>
      <c r="AB851" s="18">
        <f>SUMIF([1]SA007!$C:$C,'SA007 2025.01-2026.05 '!$D851,[1]SA007!Q:Q)</f>
        <v>0</v>
      </c>
      <c r="AC851" s="19">
        <f t="shared" si="29"/>
        <v>2285</v>
      </c>
      <c r="AD851" s="19">
        <f t="shared" si="30"/>
        <v>1142.5</v>
      </c>
      <c r="AG851" s="21">
        <f>SUMIF([1]SO003!$H:$H,'SA007 2025.01-2026.05 '!$D851,[1]SO003!AF:AF)</f>
        <v>0</v>
      </c>
      <c r="AH851" s="21">
        <f>SUMIF([1]SO003!$H:$H,'SA007 2025.01-2026.05 '!$D851,[1]SO003!AH:AH)</f>
        <v>0</v>
      </c>
      <c r="AI851" s="21">
        <f>SUMIF([1]SO003!$H:$H,'SA007 2025.01-2026.05 '!$D851,[1]SO003!AJ:AJ)</f>
        <v>0</v>
      </c>
    </row>
    <row r="852" spans="1:35" x14ac:dyDescent="0.55000000000000004">
      <c r="A852" s="2" t="s">
        <v>514</v>
      </c>
      <c r="D852" s="2" t="s">
        <v>1455</v>
      </c>
      <c r="E852" s="2" t="s">
        <v>363</v>
      </c>
      <c r="G852" s="3" t="s">
        <v>47</v>
      </c>
      <c r="H852" s="2" t="s">
        <v>510</v>
      </c>
      <c r="I852" s="3">
        <v>7</v>
      </c>
      <c r="J852" s="3">
        <v>70</v>
      </c>
      <c r="K852" s="3" t="s">
        <v>917</v>
      </c>
      <c r="AA852" s="18">
        <f>SUMIF([1]SA007!$C:$C,'SA007 2025.01-2026.05 '!$D852,[1]SA007!P:P)</f>
        <v>0</v>
      </c>
      <c r="AB852" s="18">
        <f>SUMIF([1]SA007!$C:$C,'SA007 2025.01-2026.05 '!$D852,[1]SA007!Q:Q)</f>
        <v>1243</v>
      </c>
      <c r="AC852" s="19">
        <f t="shared" si="29"/>
        <v>1243</v>
      </c>
      <c r="AD852" s="19">
        <f t="shared" si="30"/>
        <v>621.5</v>
      </c>
      <c r="AG852" s="21">
        <f>SUMIF([1]SO003!$H:$H,'SA007 2025.01-2026.05 '!$D852,[1]SO003!AF:AF)</f>
        <v>0</v>
      </c>
      <c r="AH852" s="21">
        <f>SUMIF([1]SO003!$H:$H,'SA007 2025.01-2026.05 '!$D852,[1]SO003!AH:AH)</f>
        <v>0</v>
      </c>
      <c r="AI852" s="21">
        <f>SUMIF([1]SO003!$H:$H,'SA007 2025.01-2026.05 '!$D852,[1]SO003!AJ:AJ)</f>
        <v>0</v>
      </c>
    </row>
    <row r="853" spans="1:35" x14ac:dyDescent="0.55000000000000004">
      <c r="A853" s="2" t="s">
        <v>361</v>
      </c>
      <c r="D853" s="2" t="s">
        <v>1456</v>
      </c>
      <c r="E853" s="2" t="s">
        <v>363</v>
      </c>
      <c r="G853" s="3" t="s">
        <v>47</v>
      </c>
      <c r="H853" s="2" t="s">
        <v>213</v>
      </c>
      <c r="I853" s="3">
        <v>4.5</v>
      </c>
      <c r="J853" s="3">
        <v>100</v>
      </c>
      <c r="K853" s="3" t="s">
        <v>819</v>
      </c>
      <c r="AA853" s="18">
        <f>SUMIF([1]SA007!$C:$C,'SA007 2025.01-2026.05 '!$D853,[1]SA007!P:P)</f>
        <v>856</v>
      </c>
      <c r="AB853" s="18">
        <f>SUMIF([1]SA007!$C:$C,'SA007 2025.01-2026.05 '!$D853,[1]SA007!Q:Q)</f>
        <v>648</v>
      </c>
      <c r="AC853" s="19">
        <f t="shared" si="29"/>
        <v>1504</v>
      </c>
      <c r="AD853" s="19">
        <f t="shared" si="30"/>
        <v>752</v>
      </c>
      <c r="AG853" s="21">
        <f>SUMIF([1]SO003!$H:$H,'SA007 2025.01-2026.05 '!$D853,[1]SO003!AF:AF)</f>
        <v>0</v>
      </c>
      <c r="AH853" s="21">
        <f>SUMIF([1]SO003!$H:$H,'SA007 2025.01-2026.05 '!$D853,[1]SO003!AH:AH)</f>
        <v>0</v>
      </c>
      <c r="AI853" s="21">
        <f>SUMIF([1]SO003!$H:$H,'SA007 2025.01-2026.05 '!$D853,[1]SO003!AJ:AJ)</f>
        <v>0</v>
      </c>
    </row>
    <row r="854" spans="1:35" x14ac:dyDescent="0.55000000000000004">
      <c r="A854" s="2" t="s">
        <v>389</v>
      </c>
      <c r="D854" s="2" t="s">
        <v>1457</v>
      </c>
      <c r="E854" s="2" t="s">
        <v>363</v>
      </c>
      <c r="G854" s="3" t="s">
        <v>47</v>
      </c>
      <c r="H854" s="2" t="s">
        <v>213</v>
      </c>
      <c r="I854" s="3">
        <v>2</v>
      </c>
      <c r="J854" s="3">
        <v>1220</v>
      </c>
      <c r="K854" s="3" t="s">
        <v>371</v>
      </c>
      <c r="AA854" s="18">
        <f>SUMIF([1]SA007!$C:$C,'SA007 2025.01-2026.05 '!$D854,[1]SA007!P:P)</f>
        <v>1368</v>
      </c>
      <c r="AB854" s="18">
        <f>SUMIF([1]SA007!$C:$C,'SA007 2025.01-2026.05 '!$D854,[1]SA007!Q:Q)</f>
        <v>0</v>
      </c>
      <c r="AC854" s="19">
        <f t="shared" si="29"/>
        <v>1368</v>
      </c>
      <c r="AD854" s="19">
        <f t="shared" si="30"/>
        <v>684</v>
      </c>
      <c r="AG854" s="21">
        <f>SUMIF([1]SO003!$H:$H,'SA007 2025.01-2026.05 '!$D854,[1]SO003!AF:AF)</f>
        <v>0</v>
      </c>
      <c r="AH854" s="21">
        <f>SUMIF([1]SO003!$H:$H,'SA007 2025.01-2026.05 '!$D854,[1]SO003!AH:AH)</f>
        <v>0</v>
      </c>
      <c r="AI854" s="21">
        <f>SUMIF([1]SO003!$H:$H,'SA007 2025.01-2026.05 '!$D854,[1]SO003!AJ:AJ)</f>
        <v>0</v>
      </c>
    </row>
    <row r="855" spans="1:35" x14ac:dyDescent="0.55000000000000004">
      <c r="A855" s="2" t="s">
        <v>364</v>
      </c>
      <c r="D855" s="2" t="s">
        <v>1458</v>
      </c>
      <c r="E855" s="2" t="s">
        <v>363</v>
      </c>
      <c r="G855" s="3" t="s">
        <v>47</v>
      </c>
      <c r="H855" s="2" t="s">
        <v>469</v>
      </c>
      <c r="I855" s="3">
        <v>2</v>
      </c>
      <c r="J855" s="3">
        <v>65</v>
      </c>
      <c r="K855" s="3" t="s">
        <v>819</v>
      </c>
      <c r="AA855" s="18">
        <f>SUMIF([1]SA007!$C:$C,'SA007 2025.01-2026.05 '!$D855,[1]SA007!P:P)</f>
        <v>188</v>
      </c>
      <c r="AB855" s="18">
        <f>SUMIF([1]SA007!$C:$C,'SA007 2025.01-2026.05 '!$D855,[1]SA007!Q:Q)</f>
        <v>0</v>
      </c>
      <c r="AC855" s="19">
        <f t="shared" si="29"/>
        <v>188</v>
      </c>
      <c r="AD855" s="19">
        <f t="shared" si="30"/>
        <v>94</v>
      </c>
      <c r="AG855" s="21">
        <f>SUMIF([1]SO003!$H:$H,'SA007 2025.01-2026.05 '!$D855,[1]SO003!AF:AF)</f>
        <v>249.00199999999998</v>
      </c>
      <c r="AH855" s="21">
        <f>SUMIF([1]SO003!$H:$H,'SA007 2025.01-2026.05 '!$D855,[1]SO003!AH:AH)</f>
        <v>247.75699</v>
      </c>
      <c r="AI855" s="21">
        <f>SUMIF([1]SO003!$H:$H,'SA007 2025.01-2026.05 '!$D855,[1]SO003!AJ:AJ)</f>
        <v>1.24501</v>
      </c>
    </row>
    <row r="856" spans="1:35" x14ac:dyDescent="0.55000000000000004">
      <c r="A856" s="2" t="s">
        <v>1459</v>
      </c>
      <c r="D856" s="2" t="s">
        <v>1460</v>
      </c>
      <c r="E856" s="2" t="s">
        <v>363</v>
      </c>
      <c r="G856" s="3" t="s">
        <v>47</v>
      </c>
      <c r="H856" s="2" t="s">
        <v>213</v>
      </c>
      <c r="I856" s="3">
        <v>1.4</v>
      </c>
      <c r="J856" s="3">
        <v>46</v>
      </c>
      <c r="K856" s="3" t="s">
        <v>819</v>
      </c>
      <c r="AA856" s="18">
        <f>SUMIF([1]SA007!$C:$C,'SA007 2025.01-2026.05 '!$D856,[1]SA007!P:P)</f>
        <v>0</v>
      </c>
      <c r="AB856" s="18">
        <f>SUMIF([1]SA007!$C:$C,'SA007 2025.01-2026.05 '!$D856,[1]SA007!Q:Q)</f>
        <v>254</v>
      </c>
      <c r="AC856" s="19">
        <f t="shared" si="29"/>
        <v>254</v>
      </c>
      <c r="AD856" s="19">
        <f t="shared" si="30"/>
        <v>127</v>
      </c>
      <c r="AG856" s="21">
        <f>SUMIF([1]SO003!$H:$H,'SA007 2025.01-2026.05 '!$D856,[1]SO003!AF:AF)</f>
        <v>0</v>
      </c>
      <c r="AH856" s="21">
        <f>SUMIF([1]SO003!$H:$H,'SA007 2025.01-2026.05 '!$D856,[1]SO003!AH:AH)</f>
        <v>0</v>
      </c>
      <c r="AI856" s="21">
        <f>SUMIF([1]SO003!$H:$H,'SA007 2025.01-2026.05 '!$D856,[1]SO003!AJ:AJ)</f>
        <v>0</v>
      </c>
    </row>
    <row r="857" spans="1:35" x14ac:dyDescent="0.55000000000000004">
      <c r="A857" s="2" t="s">
        <v>433</v>
      </c>
      <c r="D857" s="2" t="s">
        <v>1461</v>
      </c>
      <c r="E857" s="2" t="s">
        <v>363</v>
      </c>
      <c r="G857" s="3" t="s">
        <v>47</v>
      </c>
      <c r="H857" s="2" t="s">
        <v>213</v>
      </c>
      <c r="I857" s="3">
        <v>2.6</v>
      </c>
      <c r="J857" s="3">
        <v>93</v>
      </c>
      <c r="K857" s="3" t="s">
        <v>819</v>
      </c>
      <c r="AA857" s="18">
        <f>SUMIF([1]SA007!$C:$C,'SA007 2025.01-2026.05 '!$D857,[1]SA007!P:P)</f>
        <v>0</v>
      </c>
      <c r="AB857" s="18">
        <f>SUMIF([1]SA007!$C:$C,'SA007 2025.01-2026.05 '!$D857,[1]SA007!Q:Q)</f>
        <v>1610</v>
      </c>
      <c r="AC857" s="19">
        <f t="shared" si="29"/>
        <v>1610</v>
      </c>
      <c r="AD857" s="19">
        <f t="shared" si="30"/>
        <v>805</v>
      </c>
      <c r="AG857" s="21">
        <f>SUMIF([1]SO003!$H:$H,'SA007 2025.01-2026.05 '!$D857,[1]SO003!AF:AF)</f>
        <v>0</v>
      </c>
      <c r="AH857" s="21">
        <f>SUMIF([1]SO003!$H:$H,'SA007 2025.01-2026.05 '!$D857,[1]SO003!AH:AH)</f>
        <v>0</v>
      </c>
      <c r="AI857" s="21">
        <f>SUMIF([1]SO003!$H:$H,'SA007 2025.01-2026.05 '!$D857,[1]SO003!AJ:AJ)</f>
        <v>0</v>
      </c>
    </row>
    <row r="858" spans="1:35" x14ac:dyDescent="0.55000000000000004">
      <c r="A858" s="2" t="s">
        <v>433</v>
      </c>
      <c r="D858" s="2" t="s">
        <v>1462</v>
      </c>
      <c r="E858" s="2" t="s">
        <v>363</v>
      </c>
      <c r="G858" s="3" t="s">
        <v>47</v>
      </c>
      <c r="H858" s="2" t="s">
        <v>213</v>
      </c>
      <c r="I858" s="3">
        <v>2.6</v>
      </c>
      <c r="J858" s="3">
        <v>120</v>
      </c>
      <c r="K858" s="3" t="s">
        <v>819</v>
      </c>
      <c r="AA858" s="18">
        <f>SUMIF([1]SA007!$C:$C,'SA007 2025.01-2026.05 '!$D858,[1]SA007!P:P)</f>
        <v>62</v>
      </c>
      <c r="AB858" s="18">
        <f>SUMIF([1]SA007!$C:$C,'SA007 2025.01-2026.05 '!$D858,[1]SA007!Q:Q)</f>
        <v>0</v>
      </c>
      <c r="AC858" s="19">
        <f t="shared" si="29"/>
        <v>62</v>
      </c>
      <c r="AD858" s="19">
        <f t="shared" si="30"/>
        <v>31</v>
      </c>
      <c r="AG858" s="21">
        <f>SUMIF([1]SO003!$H:$H,'SA007 2025.01-2026.05 '!$D858,[1]SO003!AF:AF)</f>
        <v>597.60479999999995</v>
      </c>
      <c r="AH858" s="21">
        <f>SUMIF([1]SO003!$H:$H,'SA007 2025.01-2026.05 '!$D858,[1]SO003!AH:AH)</f>
        <v>597.60479999999995</v>
      </c>
      <c r="AI858" s="21">
        <f>SUMIF([1]SO003!$H:$H,'SA007 2025.01-2026.05 '!$D858,[1]SO003!AJ:AJ)</f>
        <v>0</v>
      </c>
    </row>
    <row r="859" spans="1:35" x14ac:dyDescent="0.55000000000000004">
      <c r="A859" s="2" t="s">
        <v>309</v>
      </c>
      <c r="D859" s="2" t="s">
        <v>1463</v>
      </c>
      <c r="E859" s="2" t="s">
        <v>1464</v>
      </c>
      <c r="G859" s="3" t="s">
        <v>63</v>
      </c>
      <c r="H859" s="2" t="s">
        <v>310</v>
      </c>
      <c r="I859" s="3">
        <v>1.6</v>
      </c>
      <c r="J859" s="3">
        <v>58</v>
      </c>
      <c r="K859" s="3" t="s">
        <v>731</v>
      </c>
      <c r="AA859" s="18">
        <f>SUMIF([1]SA007!$C:$C,'SA007 2025.01-2026.05 '!$D859,[1]SA007!P:P)</f>
        <v>0</v>
      </c>
      <c r="AB859" s="18">
        <f>SUMIF([1]SA007!$C:$C,'SA007 2025.01-2026.05 '!$D859,[1]SA007!Q:Q)</f>
        <v>0</v>
      </c>
      <c r="AC859" s="19">
        <f t="shared" si="29"/>
        <v>0</v>
      </c>
      <c r="AD859" s="19">
        <f t="shared" si="30"/>
        <v>0</v>
      </c>
      <c r="AG859" s="21">
        <f>SUMIF([1]SO003!$H:$H,'SA007 2025.01-2026.05 '!$D859,[1]SO003!AF:AF)</f>
        <v>0</v>
      </c>
      <c r="AH859" s="21">
        <f>SUMIF([1]SO003!$H:$H,'SA007 2025.01-2026.05 '!$D859,[1]SO003!AH:AH)</f>
        <v>0</v>
      </c>
      <c r="AI859" s="21">
        <f>SUMIF([1]SO003!$H:$H,'SA007 2025.01-2026.05 '!$D859,[1]SO003!AJ:AJ)</f>
        <v>0</v>
      </c>
    </row>
    <row r="860" spans="1:35" x14ac:dyDescent="0.55000000000000004">
      <c r="A860" s="2" t="s">
        <v>309</v>
      </c>
      <c r="D860" s="2" t="s">
        <v>1465</v>
      </c>
      <c r="E860" s="2" t="s">
        <v>1464</v>
      </c>
      <c r="G860" s="3" t="s">
        <v>63</v>
      </c>
      <c r="H860" s="2" t="s">
        <v>310</v>
      </c>
      <c r="I860" s="3">
        <v>1.6</v>
      </c>
      <c r="J860" s="3">
        <v>70</v>
      </c>
      <c r="K860" s="3" t="s">
        <v>731</v>
      </c>
      <c r="AA860" s="18">
        <f>SUMIF([1]SA007!$C:$C,'SA007 2025.01-2026.05 '!$D860,[1]SA007!P:P)</f>
        <v>0</v>
      </c>
      <c r="AB860" s="18">
        <f>SUMIF([1]SA007!$C:$C,'SA007 2025.01-2026.05 '!$D860,[1]SA007!Q:Q)</f>
        <v>0</v>
      </c>
      <c r="AC860" s="19">
        <f t="shared" si="29"/>
        <v>0</v>
      </c>
      <c r="AD860" s="19">
        <f t="shared" si="30"/>
        <v>0</v>
      </c>
      <c r="AG860" s="21">
        <f>SUMIF([1]SO003!$H:$H,'SA007 2025.01-2026.05 '!$D860,[1]SO003!AF:AF)</f>
        <v>0</v>
      </c>
      <c r="AH860" s="21">
        <f>SUMIF([1]SO003!$H:$H,'SA007 2025.01-2026.05 '!$D860,[1]SO003!AH:AH)</f>
        <v>0</v>
      </c>
      <c r="AI860" s="21">
        <f>SUMIF([1]SO003!$H:$H,'SA007 2025.01-2026.05 '!$D860,[1]SO003!AJ:AJ)</f>
        <v>0</v>
      </c>
    </row>
    <row r="861" spans="1:35" x14ac:dyDescent="0.55000000000000004">
      <c r="A861" s="2" t="s">
        <v>467</v>
      </c>
      <c r="D861" s="2" t="s">
        <v>1466</v>
      </c>
      <c r="E861" s="2" t="s">
        <v>1464</v>
      </c>
      <c r="G861" s="3" t="s">
        <v>47</v>
      </c>
      <c r="H861" s="2" t="s">
        <v>1131</v>
      </c>
      <c r="I861" s="3">
        <v>4</v>
      </c>
      <c r="J861" s="3">
        <v>106</v>
      </c>
      <c r="K861" s="3" t="s">
        <v>731</v>
      </c>
      <c r="AA861" s="18">
        <f>SUMIF([1]SA007!$C:$C,'SA007 2025.01-2026.05 '!$D861,[1]SA007!P:P)</f>
        <v>663</v>
      </c>
      <c r="AB861" s="18">
        <f>SUMIF([1]SA007!$C:$C,'SA007 2025.01-2026.05 '!$D861,[1]SA007!Q:Q)</f>
        <v>533</v>
      </c>
      <c r="AC861" s="19">
        <f t="shared" si="29"/>
        <v>1196</v>
      </c>
      <c r="AD861" s="19">
        <f t="shared" si="30"/>
        <v>598</v>
      </c>
      <c r="AG861" s="21">
        <f>SUMIF([1]SO003!$H:$H,'SA007 2025.01-2026.05 '!$D861,[1]SO003!AF:AF)</f>
        <v>279.9550524</v>
      </c>
      <c r="AH861" s="21">
        <f>SUMIF([1]SO003!$H:$H,'SA007 2025.01-2026.05 '!$D861,[1]SO003!AH:AH)</f>
        <v>279.9550524</v>
      </c>
      <c r="AI861" s="21">
        <f>SUMIF([1]SO003!$H:$H,'SA007 2025.01-2026.05 '!$D861,[1]SO003!AJ:AJ)</f>
        <v>0</v>
      </c>
    </row>
    <row r="862" spans="1:35" x14ac:dyDescent="0.55000000000000004">
      <c r="A862" s="2" t="s">
        <v>467</v>
      </c>
      <c r="D862" s="2" t="s">
        <v>1467</v>
      </c>
      <c r="E862" s="2" t="s">
        <v>1464</v>
      </c>
      <c r="G862" s="3" t="s">
        <v>47</v>
      </c>
      <c r="H862" s="2" t="s">
        <v>1131</v>
      </c>
      <c r="I862" s="3">
        <v>4</v>
      </c>
      <c r="J862" s="3">
        <v>67</v>
      </c>
      <c r="K862" s="3" t="s">
        <v>731</v>
      </c>
      <c r="AA862" s="18">
        <f>SUMIF([1]SA007!$C:$C,'SA007 2025.01-2026.05 '!$D862,[1]SA007!P:P)</f>
        <v>192</v>
      </c>
      <c r="AB862" s="18">
        <f>SUMIF([1]SA007!$C:$C,'SA007 2025.01-2026.05 '!$D862,[1]SA007!Q:Q)</f>
        <v>0</v>
      </c>
      <c r="AC862" s="19">
        <f t="shared" si="29"/>
        <v>192</v>
      </c>
      <c r="AD862" s="19">
        <f t="shared" si="30"/>
        <v>96</v>
      </c>
      <c r="AG862" s="21">
        <f>SUMIF([1]SO003!$H:$H,'SA007 2025.01-2026.05 '!$D862,[1]SO003!AF:AF)</f>
        <v>0</v>
      </c>
      <c r="AH862" s="21">
        <f>SUMIF([1]SO003!$H:$H,'SA007 2025.01-2026.05 '!$D862,[1]SO003!AH:AH)</f>
        <v>0</v>
      </c>
      <c r="AI862" s="21">
        <f>SUMIF([1]SO003!$H:$H,'SA007 2025.01-2026.05 '!$D862,[1]SO003!AJ:AJ)</f>
        <v>0</v>
      </c>
    </row>
    <row r="863" spans="1:35" x14ac:dyDescent="0.55000000000000004">
      <c r="A863" s="2" t="s">
        <v>126</v>
      </c>
      <c r="D863" s="2" t="s">
        <v>1468</v>
      </c>
      <c r="E863" s="2" t="s">
        <v>101</v>
      </c>
      <c r="G863" s="3" t="s">
        <v>63</v>
      </c>
      <c r="H863" s="2" t="s">
        <v>64</v>
      </c>
      <c r="I863" s="3">
        <v>0.6</v>
      </c>
      <c r="J863" s="3">
        <v>25</v>
      </c>
      <c r="K863" s="3" t="s">
        <v>102</v>
      </c>
      <c r="AA863" s="18">
        <f>SUMIF([1]SA007!$C:$C,'SA007 2025.01-2026.05 '!$D863,[1]SA007!P:P)</f>
        <v>0</v>
      </c>
      <c r="AB863" s="18">
        <f>SUMIF([1]SA007!$C:$C,'SA007 2025.01-2026.05 '!$D863,[1]SA007!Q:Q)</f>
        <v>149</v>
      </c>
      <c r="AC863" s="19">
        <f t="shared" si="29"/>
        <v>149</v>
      </c>
      <c r="AD863" s="19">
        <f t="shared" si="30"/>
        <v>74.5</v>
      </c>
      <c r="AG863" s="21">
        <f>SUMIF([1]SO003!$H:$H,'SA007 2025.01-2026.05 '!$D863,[1]SO003!AF:AF)</f>
        <v>0</v>
      </c>
      <c r="AH863" s="21">
        <f>SUMIF([1]SO003!$H:$H,'SA007 2025.01-2026.05 '!$D863,[1]SO003!AH:AH)</f>
        <v>0</v>
      </c>
      <c r="AI863" s="21">
        <f>SUMIF([1]SO003!$H:$H,'SA007 2025.01-2026.05 '!$D863,[1]SO003!AJ:AJ)</f>
        <v>0</v>
      </c>
    </row>
    <row r="864" spans="1:35" x14ac:dyDescent="0.55000000000000004">
      <c r="A864" s="2" t="s">
        <v>126</v>
      </c>
      <c r="D864" s="2" t="s">
        <v>1469</v>
      </c>
      <c r="E864" s="2" t="s">
        <v>1470</v>
      </c>
      <c r="G864" s="3" t="s">
        <v>63</v>
      </c>
      <c r="H864" s="2" t="s">
        <v>1471</v>
      </c>
      <c r="I864" s="3">
        <v>0.6</v>
      </c>
      <c r="J864" s="3">
        <v>105</v>
      </c>
      <c r="K864" s="3" t="s">
        <v>731</v>
      </c>
      <c r="AA864" s="18">
        <f>SUMIF([1]SA007!$C:$C,'SA007 2025.01-2026.05 '!$D864,[1]SA007!P:P)</f>
        <v>0</v>
      </c>
      <c r="AB864" s="18">
        <f>SUMIF([1]SA007!$C:$C,'SA007 2025.01-2026.05 '!$D864,[1]SA007!Q:Q)</f>
        <v>426</v>
      </c>
      <c r="AC864" s="19">
        <f t="shared" si="29"/>
        <v>426</v>
      </c>
      <c r="AD864" s="19">
        <f t="shared" si="30"/>
        <v>213</v>
      </c>
      <c r="AG864" s="21">
        <f>SUMIF([1]SO003!$H:$H,'SA007 2025.01-2026.05 '!$D864,[1]SO003!AF:AF)</f>
        <v>0</v>
      </c>
      <c r="AH864" s="21">
        <f>SUMIF([1]SO003!$H:$H,'SA007 2025.01-2026.05 '!$D864,[1]SO003!AH:AH)</f>
        <v>0</v>
      </c>
      <c r="AI864" s="21">
        <f>SUMIF([1]SO003!$H:$H,'SA007 2025.01-2026.05 '!$D864,[1]SO003!AJ:AJ)</f>
        <v>0</v>
      </c>
    </row>
    <row r="865" spans="1:35" x14ac:dyDescent="0.55000000000000004">
      <c r="A865" s="2" t="s">
        <v>1472</v>
      </c>
      <c r="D865" s="2" t="s">
        <v>1473</v>
      </c>
      <c r="E865" s="2" t="s">
        <v>1470</v>
      </c>
      <c r="G865" s="3" t="s">
        <v>63</v>
      </c>
      <c r="H865" s="2" t="s">
        <v>1474</v>
      </c>
      <c r="I865" s="3">
        <v>0.6</v>
      </c>
      <c r="J865" s="3">
        <v>116</v>
      </c>
      <c r="K865" s="3" t="s">
        <v>731</v>
      </c>
      <c r="AA865" s="18">
        <f>SUMIF([1]SA007!$C:$C,'SA007 2025.01-2026.05 '!$D865,[1]SA007!P:P)</f>
        <v>0</v>
      </c>
      <c r="AB865" s="18">
        <f>SUMIF([1]SA007!$C:$C,'SA007 2025.01-2026.05 '!$D865,[1]SA007!Q:Q)</f>
        <v>540</v>
      </c>
      <c r="AC865" s="19">
        <f t="shared" si="29"/>
        <v>540</v>
      </c>
      <c r="AD865" s="19">
        <f t="shared" si="30"/>
        <v>270</v>
      </c>
      <c r="AG865" s="21">
        <f>SUMIF([1]SO003!$H:$H,'SA007 2025.01-2026.05 '!$D865,[1]SO003!AF:AF)</f>
        <v>0</v>
      </c>
      <c r="AH865" s="21">
        <f>SUMIF([1]SO003!$H:$H,'SA007 2025.01-2026.05 '!$D865,[1]SO003!AH:AH)</f>
        <v>0</v>
      </c>
      <c r="AI865" s="21">
        <f>SUMIF([1]SO003!$H:$H,'SA007 2025.01-2026.05 '!$D865,[1]SO003!AJ:AJ)</f>
        <v>0</v>
      </c>
    </row>
    <row r="866" spans="1:35" x14ac:dyDescent="0.55000000000000004">
      <c r="A866" s="2" t="s">
        <v>1472</v>
      </c>
      <c r="D866" s="2" t="s">
        <v>1473</v>
      </c>
      <c r="E866" s="2" t="s">
        <v>1470</v>
      </c>
      <c r="G866" s="3" t="s">
        <v>63</v>
      </c>
      <c r="H866" s="2" t="s">
        <v>1475</v>
      </c>
      <c r="I866" s="3">
        <v>0.6</v>
      </c>
      <c r="J866" s="3">
        <v>116</v>
      </c>
      <c r="K866" s="3" t="s">
        <v>731</v>
      </c>
      <c r="AA866" s="18">
        <f>SUMIF([1]SA007!$C:$C,'SA007 2025.01-2026.05 '!$D866,[1]SA007!P:P)</f>
        <v>0</v>
      </c>
      <c r="AB866" s="18">
        <f>SUMIF([1]SA007!$C:$C,'SA007 2025.01-2026.05 '!$D866,[1]SA007!Q:Q)</f>
        <v>540</v>
      </c>
      <c r="AC866" s="19">
        <f t="shared" si="29"/>
        <v>540</v>
      </c>
      <c r="AD866" s="19">
        <f t="shared" si="30"/>
        <v>270</v>
      </c>
      <c r="AG866" s="21">
        <f>SUMIF([1]SO003!$H:$H,'SA007 2025.01-2026.05 '!$D866,[1]SO003!AF:AF)</f>
        <v>0</v>
      </c>
      <c r="AH866" s="21">
        <f>SUMIF([1]SO003!$H:$H,'SA007 2025.01-2026.05 '!$D866,[1]SO003!AH:AH)</f>
        <v>0</v>
      </c>
      <c r="AI866" s="21">
        <f>SUMIF([1]SO003!$H:$H,'SA007 2025.01-2026.05 '!$D866,[1]SO003!AJ:AJ)</f>
        <v>0</v>
      </c>
    </row>
    <row r="867" spans="1:35" x14ac:dyDescent="0.55000000000000004">
      <c r="A867" s="2" t="s">
        <v>1472</v>
      </c>
      <c r="D867" s="2" t="s">
        <v>1473</v>
      </c>
      <c r="E867" s="2" t="s">
        <v>1470</v>
      </c>
      <c r="G867" s="3" t="s">
        <v>63</v>
      </c>
      <c r="H867" s="2" t="s">
        <v>267</v>
      </c>
      <c r="I867" s="3">
        <v>0.6</v>
      </c>
      <c r="J867" s="3">
        <v>116</v>
      </c>
      <c r="K867" s="3" t="s">
        <v>731</v>
      </c>
      <c r="AA867" s="18">
        <f>SUMIF([1]SA007!$C:$C,'SA007 2025.01-2026.05 '!$D867,[1]SA007!P:P)</f>
        <v>0</v>
      </c>
      <c r="AB867" s="18">
        <f>SUMIF([1]SA007!$C:$C,'SA007 2025.01-2026.05 '!$D867,[1]SA007!Q:Q)</f>
        <v>540</v>
      </c>
      <c r="AC867" s="19">
        <f t="shared" si="29"/>
        <v>540</v>
      </c>
      <c r="AD867" s="19">
        <f t="shared" si="30"/>
        <v>270</v>
      </c>
      <c r="AG867" s="21">
        <f>SUMIF([1]SO003!$H:$H,'SA007 2025.01-2026.05 '!$D867,[1]SO003!AF:AF)</f>
        <v>0</v>
      </c>
      <c r="AH867" s="21">
        <f>SUMIF([1]SO003!$H:$H,'SA007 2025.01-2026.05 '!$D867,[1]SO003!AH:AH)</f>
        <v>0</v>
      </c>
      <c r="AI867" s="21">
        <f>SUMIF([1]SO003!$H:$H,'SA007 2025.01-2026.05 '!$D867,[1]SO003!AJ:AJ)</f>
        <v>0</v>
      </c>
    </row>
    <row r="868" spans="1:35" x14ac:dyDescent="0.55000000000000004">
      <c r="A868" s="2" t="s">
        <v>206</v>
      </c>
      <c r="D868" s="2" t="s">
        <v>1476</v>
      </c>
      <c r="E868" s="2" t="s">
        <v>1470</v>
      </c>
      <c r="G868" s="3" t="s">
        <v>63</v>
      </c>
      <c r="H868" s="2" t="s">
        <v>64</v>
      </c>
      <c r="I868" s="3">
        <v>1</v>
      </c>
      <c r="J868" s="3">
        <v>275</v>
      </c>
      <c r="K868" s="3" t="s">
        <v>731</v>
      </c>
      <c r="AA868" s="18">
        <f>SUMIF([1]SA007!$C:$C,'SA007 2025.01-2026.05 '!$D868,[1]SA007!P:P)</f>
        <v>131</v>
      </c>
      <c r="AB868" s="18">
        <f>SUMIF([1]SA007!$C:$C,'SA007 2025.01-2026.05 '!$D868,[1]SA007!Q:Q)</f>
        <v>0</v>
      </c>
      <c r="AC868" s="19">
        <f t="shared" si="29"/>
        <v>131</v>
      </c>
      <c r="AD868" s="19">
        <f t="shared" si="30"/>
        <v>65.5</v>
      </c>
      <c r="AG868" s="21">
        <f>SUMIF([1]SO003!$H:$H,'SA007 2025.01-2026.05 '!$D868,[1]SO003!AF:AF)</f>
        <v>0</v>
      </c>
      <c r="AH868" s="21">
        <f>SUMIF([1]SO003!$H:$H,'SA007 2025.01-2026.05 '!$D868,[1]SO003!AH:AH)</f>
        <v>0</v>
      </c>
      <c r="AI868" s="21">
        <f>SUMIF([1]SO003!$H:$H,'SA007 2025.01-2026.05 '!$D868,[1]SO003!AJ:AJ)</f>
        <v>0</v>
      </c>
    </row>
    <row r="869" spans="1:35" x14ac:dyDescent="0.55000000000000004">
      <c r="A869" s="2" t="s">
        <v>206</v>
      </c>
      <c r="D869" s="2" t="s">
        <v>1477</v>
      </c>
      <c r="E869" s="2" t="s">
        <v>1470</v>
      </c>
      <c r="G869" s="3" t="s">
        <v>63</v>
      </c>
      <c r="H869" s="2" t="s">
        <v>64</v>
      </c>
      <c r="I869" s="3">
        <v>1</v>
      </c>
      <c r="J869" s="3">
        <v>520</v>
      </c>
      <c r="K869" s="3" t="s">
        <v>1331</v>
      </c>
      <c r="AA869" s="18">
        <f>SUMIF([1]SA007!$C:$C,'SA007 2025.01-2026.05 '!$D869,[1]SA007!P:P)</f>
        <v>0</v>
      </c>
      <c r="AB869" s="18">
        <f>SUMIF([1]SA007!$C:$C,'SA007 2025.01-2026.05 '!$D869,[1]SA007!Q:Q)</f>
        <v>0</v>
      </c>
      <c r="AC869" s="19">
        <f t="shared" si="29"/>
        <v>0</v>
      </c>
      <c r="AD869" s="19">
        <f t="shared" si="30"/>
        <v>0</v>
      </c>
      <c r="AG869" s="21">
        <f>SUMIF([1]SO003!$H:$H,'SA007 2025.01-2026.05 '!$D869,[1]SO003!AF:AF)</f>
        <v>0</v>
      </c>
      <c r="AH869" s="21">
        <f>SUMIF([1]SO003!$H:$H,'SA007 2025.01-2026.05 '!$D869,[1]SO003!AH:AH)</f>
        <v>0</v>
      </c>
      <c r="AI869" s="21">
        <f>SUMIF([1]SO003!$H:$H,'SA007 2025.01-2026.05 '!$D869,[1]SO003!AJ:AJ)</f>
        <v>0</v>
      </c>
    </row>
    <row r="870" spans="1:35" x14ac:dyDescent="0.55000000000000004">
      <c r="A870" s="2" t="s">
        <v>867</v>
      </c>
      <c r="D870" s="2" t="s">
        <v>1478</v>
      </c>
      <c r="E870" s="2" t="s">
        <v>1470</v>
      </c>
      <c r="G870" s="3" t="s">
        <v>63</v>
      </c>
      <c r="H870" s="2" t="s">
        <v>1479</v>
      </c>
      <c r="I870" s="3">
        <v>1.2</v>
      </c>
      <c r="J870" s="3">
        <v>218</v>
      </c>
      <c r="K870" s="3" t="s">
        <v>731</v>
      </c>
      <c r="AA870" s="18">
        <f>SUMIF([1]SA007!$C:$C,'SA007 2025.01-2026.05 '!$D870,[1]SA007!P:P)</f>
        <v>0</v>
      </c>
      <c r="AB870" s="18">
        <f>SUMIF([1]SA007!$C:$C,'SA007 2025.01-2026.05 '!$D870,[1]SA007!Q:Q)</f>
        <v>76</v>
      </c>
      <c r="AC870" s="19">
        <f t="shared" si="29"/>
        <v>76</v>
      </c>
      <c r="AD870" s="19">
        <f t="shared" si="30"/>
        <v>38</v>
      </c>
      <c r="AG870" s="21">
        <f>SUMIF([1]SO003!$H:$H,'SA007 2025.01-2026.05 '!$D870,[1]SO003!AF:AF)</f>
        <v>75.09868920000001</v>
      </c>
      <c r="AH870" s="21">
        <f>SUMIF([1]SO003!$H:$H,'SA007 2025.01-2026.05 '!$D870,[1]SO003!AH:AH)</f>
        <v>75.09868920000001</v>
      </c>
      <c r="AI870" s="21">
        <f>SUMIF([1]SO003!$H:$H,'SA007 2025.01-2026.05 '!$D870,[1]SO003!AJ:AJ)</f>
        <v>0</v>
      </c>
    </row>
    <row r="871" spans="1:35" x14ac:dyDescent="0.55000000000000004">
      <c r="A871" s="2" t="s">
        <v>867</v>
      </c>
      <c r="D871" s="2" t="s">
        <v>1478</v>
      </c>
      <c r="E871" s="2" t="s">
        <v>1470</v>
      </c>
      <c r="G871" s="3" t="s">
        <v>63</v>
      </c>
      <c r="H871" s="2" t="s">
        <v>310</v>
      </c>
      <c r="I871" s="3">
        <v>1.2</v>
      </c>
      <c r="J871" s="3">
        <v>218</v>
      </c>
      <c r="K871" s="3" t="s">
        <v>731</v>
      </c>
      <c r="AA871" s="18">
        <f>SUMIF([1]SA007!$C:$C,'SA007 2025.01-2026.05 '!$D871,[1]SA007!P:P)</f>
        <v>0</v>
      </c>
      <c r="AB871" s="18">
        <f>SUMIF([1]SA007!$C:$C,'SA007 2025.01-2026.05 '!$D871,[1]SA007!Q:Q)</f>
        <v>76</v>
      </c>
      <c r="AC871" s="19">
        <f t="shared" si="29"/>
        <v>76</v>
      </c>
      <c r="AD871" s="19">
        <f t="shared" si="30"/>
        <v>38</v>
      </c>
      <c r="AG871" s="21">
        <f>SUMIF([1]SO003!$H:$H,'SA007 2025.01-2026.05 '!$D871,[1]SO003!AF:AF)</f>
        <v>75.09868920000001</v>
      </c>
      <c r="AH871" s="21">
        <f>SUMIF([1]SO003!$H:$H,'SA007 2025.01-2026.05 '!$D871,[1]SO003!AH:AH)</f>
        <v>75.09868920000001</v>
      </c>
      <c r="AI871" s="21">
        <f>SUMIF([1]SO003!$H:$H,'SA007 2025.01-2026.05 '!$D871,[1]SO003!AJ:AJ)</f>
        <v>0</v>
      </c>
    </row>
    <row r="872" spans="1:35" x14ac:dyDescent="0.55000000000000004">
      <c r="A872" s="2" t="s">
        <v>867</v>
      </c>
      <c r="D872" s="2" t="s">
        <v>1480</v>
      </c>
      <c r="E872" s="2" t="s">
        <v>1470</v>
      </c>
      <c r="G872" s="3" t="s">
        <v>63</v>
      </c>
      <c r="H872" s="2" t="s">
        <v>310</v>
      </c>
      <c r="I872" s="3">
        <v>1.2</v>
      </c>
      <c r="J872" s="3">
        <v>1219</v>
      </c>
      <c r="K872" s="3" t="s">
        <v>1356</v>
      </c>
      <c r="AA872" s="18">
        <f>SUMIF([1]SA007!$C:$C,'SA007 2025.01-2026.05 '!$D872,[1]SA007!P:P)</f>
        <v>0</v>
      </c>
      <c r="AB872" s="18">
        <f>SUMIF([1]SA007!$C:$C,'SA007 2025.01-2026.05 '!$D872,[1]SA007!Q:Q)</f>
        <v>71</v>
      </c>
      <c r="AC872" s="19">
        <f t="shared" si="29"/>
        <v>71</v>
      </c>
      <c r="AD872" s="19">
        <f t="shared" si="30"/>
        <v>35.5</v>
      </c>
      <c r="AG872" s="21">
        <f>SUMIF([1]SO003!$H:$H,'SA007 2025.01-2026.05 '!$D872,[1]SO003!AF:AF)</f>
        <v>0</v>
      </c>
      <c r="AH872" s="21">
        <f>SUMIF([1]SO003!$H:$H,'SA007 2025.01-2026.05 '!$D872,[1]SO003!AH:AH)</f>
        <v>0</v>
      </c>
      <c r="AI872" s="21">
        <f>SUMIF([1]SO003!$H:$H,'SA007 2025.01-2026.05 '!$D872,[1]SO003!AJ:AJ)</f>
        <v>0</v>
      </c>
    </row>
    <row r="873" spans="1:35" x14ac:dyDescent="0.55000000000000004">
      <c r="A873" s="2" t="s">
        <v>254</v>
      </c>
      <c r="D873" s="2" t="s">
        <v>1481</v>
      </c>
      <c r="E873" s="2" t="s">
        <v>1470</v>
      </c>
      <c r="G873" s="3" t="s">
        <v>47</v>
      </c>
      <c r="H873" s="2" t="s">
        <v>50</v>
      </c>
      <c r="I873" s="3">
        <v>1.6</v>
      </c>
      <c r="J873" s="3">
        <v>100</v>
      </c>
      <c r="K873" s="3" t="s">
        <v>731</v>
      </c>
      <c r="AA873" s="18">
        <f>SUMIF([1]SA007!$C:$C,'SA007 2025.01-2026.05 '!$D873,[1]SA007!P:P)</f>
        <v>0</v>
      </c>
      <c r="AB873" s="18">
        <f>SUMIF([1]SA007!$C:$C,'SA007 2025.01-2026.05 '!$D873,[1]SA007!Q:Q)</f>
        <v>0</v>
      </c>
      <c r="AC873" s="19">
        <f t="shared" si="29"/>
        <v>0</v>
      </c>
      <c r="AD873" s="19">
        <f t="shared" si="30"/>
        <v>0</v>
      </c>
      <c r="AG873" s="21">
        <f>SUMIF([1]SO003!$H:$H,'SA007 2025.01-2026.05 '!$D873,[1]SO003!AF:AF)</f>
        <v>0</v>
      </c>
      <c r="AH873" s="21">
        <f>SUMIF([1]SO003!$H:$H,'SA007 2025.01-2026.05 '!$D873,[1]SO003!AH:AH)</f>
        <v>0</v>
      </c>
      <c r="AI873" s="21">
        <f>SUMIF([1]SO003!$H:$H,'SA007 2025.01-2026.05 '!$D873,[1]SO003!AJ:AJ)</f>
        <v>0</v>
      </c>
    </row>
    <row r="874" spans="1:35" x14ac:dyDescent="0.55000000000000004">
      <c r="A874" s="2" t="s">
        <v>212</v>
      </c>
      <c r="D874" s="2" t="s">
        <v>1482</v>
      </c>
      <c r="E874" s="2" t="s">
        <v>1470</v>
      </c>
      <c r="G874" s="3" t="s">
        <v>47</v>
      </c>
      <c r="H874" s="2" t="s">
        <v>402</v>
      </c>
      <c r="I874" s="3">
        <v>1.6</v>
      </c>
      <c r="J874" s="3">
        <v>30</v>
      </c>
      <c r="K874" s="3" t="s">
        <v>731</v>
      </c>
      <c r="AA874" s="18">
        <f>SUMIF([1]SA007!$C:$C,'SA007 2025.01-2026.05 '!$D874,[1]SA007!P:P)</f>
        <v>12</v>
      </c>
      <c r="AB874" s="18">
        <f>SUMIF([1]SA007!$C:$C,'SA007 2025.01-2026.05 '!$D874,[1]SA007!Q:Q)</f>
        <v>15</v>
      </c>
      <c r="AC874" s="19">
        <f t="shared" si="29"/>
        <v>27</v>
      </c>
      <c r="AD874" s="19">
        <f t="shared" si="30"/>
        <v>13.5</v>
      </c>
      <c r="AG874" s="21">
        <f>SUMIF([1]SO003!$H:$H,'SA007 2025.01-2026.05 '!$D874,[1]SO003!AF:AF)</f>
        <v>0</v>
      </c>
      <c r="AH874" s="21">
        <f>SUMIF([1]SO003!$H:$H,'SA007 2025.01-2026.05 '!$D874,[1]SO003!AH:AH)</f>
        <v>0</v>
      </c>
      <c r="AI874" s="21">
        <f>SUMIF([1]SO003!$H:$H,'SA007 2025.01-2026.05 '!$D874,[1]SO003!AJ:AJ)</f>
        <v>0</v>
      </c>
    </row>
    <row r="875" spans="1:35" x14ac:dyDescent="0.55000000000000004">
      <c r="A875" s="2" t="s">
        <v>389</v>
      </c>
      <c r="D875" s="2" t="s">
        <v>1483</v>
      </c>
      <c r="E875" s="2" t="s">
        <v>1470</v>
      </c>
      <c r="G875" s="3" t="s">
        <v>47</v>
      </c>
      <c r="H875" s="2" t="s">
        <v>402</v>
      </c>
      <c r="I875" s="3">
        <v>2</v>
      </c>
      <c r="J875" s="3">
        <v>1219</v>
      </c>
      <c r="K875" s="3" t="s">
        <v>1484</v>
      </c>
      <c r="AA875" s="18">
        <f>SUMIF([1]SA007!$C:$C,'SA007 2025.01-2026.05 '!$D875,[1]SA007!P:P)</f>
        <v>328</v>
      </c>
      <c r="AB875" s="18">
        <f>SUMIF([1]SA007!$C:$C,'SA007 2025.01-2026.05 '!$D875,[1]SA007!Q:Q)</f>
        <v>0</v>
      </c>
      <c r="AC875" s="19">
        <f t="shared" si="29"/>
        <v>328</v>
      </c>
      <c r="AD875" s="19">
        <f t="shared" si="30"/>
        <v>164</v>
      </c>
      <c r="AG875" s="21">
        <f>SUMIF([1]SO003!$H:$H,'SA007 2025.01-2026.05 '!$D875,[1]SO003!AF:AF)</f>
        <v>0</v>
      </c>
      <c r="AH875" s="21">
        <f>SUMIF([1]SO003!$H:$H,'SA007 2025.01-2026.05 '!$D875,[1]SO003!AH:AH)</f>
        <v>0</v>
      </c>
      <c r="AI875" s="21">
        <f>SUMIF([1]SO003!$H:$H,'SA007 2025.01-2026.05 '!$D875,[1]SO003!AJ:AJ)</f>
        <v>0</v>
      </c>
    </row>
    <row r="876" spans="1:35" x14ac:dyDescent="0.55000000000000004">
      <c r="A876" s="2" t="s">
        <v>460</v>
      </c>
      <c r="D876" s="2" t="s">
        <v>1485</v>
      </c>
      <c r="E876" s="2" t="s">
        <v>1470</v>
      </c>
      <c r="G876" s="3" t="s">
        <v>47</v>
      </c>
      <c r="H876" s="2" t="s">
        <v>321</v>
      </c>
      <c r="I876" s="3">
        <v>3.2</v>
      </c>
      <c r="J876" s="3">
        <v>100</v>
      </c>
      <c r="K876" s="3" t="s">
        <v>731</v>
      </c>
      <c r="AA876" s="18">
        <f>SUMIF([1]SA007!$C:$C,'SA007 2025.01-2026.05 '!$D876,[1]SA007!P:P)</f>
        <v>0</v>
      </c>
      <c r="AB876" s="18">
        <f>SUMIF([1]SA007!$C:$C,'SA007 2025.01-2026.05 '!$D876,[1]SA007!Q:Q)</f>
        <v>0</v>
      </c>
      <c r="AC876" s="19">
        <f t="shared" si="29"/>
        <v>0</v>
      </c>
      <c r="AD876" s="19">
        <f t="shared" si="30"/>
        <v>0</v>
      </c>
      <c r="AG876" s="21">
        <f>SUMIF([1]SO003!$H:$H,'SA007 2025.01-2026.05 '!$D876,[1]SO003!AF:AF)</f>
        <v>0</v>
      </c>
      <c r="AH876" s="21">
        <f>SUMIF([1]SO003!$H:$H,'SA007 2025.01-2026.05 '!$D876,[1]SO003!AH:AH)</f>
        <v>0</v>
      </c>
      <c r="AI876" s="21">
        <f>SUMIF([1]SO003!$H:$H,'SA007 2025.01-2026.05 '!$D876,[1]SO003!AJ:AJ)</f>
        <v>0</v>
      </c>
    </row>
    <row r="877" spans="1:35" x14ac:dyDescent="0.55000000000000004">
      <c r="A877" s="2" t="s">
        <v>1472</v>
      </c>
      <c r="D877" s="2" t="s">
        <v>1486</v>
      </c>
      <c r="E877" s="2" t="s">
        <v>1470</v>
      </c>
      <c r="G877" s="3" t="s">
        <v>47</v>
      </c>
      <c r="H877" s="2" t="s">
        <v>44</v>
      </c>
      <c r="I877" s="3">
        <v>6</v>
      </c>
      <c r="J877" s="3">
        <v>216</v>
      </c>
      <c r="K877" s="3" t="s">
        <v>731</v>
      </c>
      <c r="AA877" s="18">
        <f>SUMIF([1]SA007!$C:$C,'SA007 2025.01-2026.05 '!$D877,[1]SA007!P:P)</f>
        <v>0</v>
      </c>
      <c r="AB877" s="18">
        <f>SUMIF([1]SA007!$C:$C,'SA007 2025.01-2026.05 '!$D877,[1]SA007!Q:Q)</f>
        <v>1305</v>
      </c>
      <c r="AC877" s="19">
        <f t="shared" si="29"/>
        <v>1305</v>
      </c>
      <c r="AD877" s="19">
        <f t="shared" si="30"/>
        <v>652.5</v>
      </c>
      <c r="AG877" s="21">
        <f>SUMIF([1]SO003!$H:$H,'SA007 2025.01-2026.05 '!$D877,[1]SO003!AF:AF)</f>
        <v>2480.3236799999995</v>
      </c>
      <c r="AH877" s="21">
        <f>SUMIF([1]SO003!$H:$H,'SA007 2025.01-2026.05 '!$D877,[1]SO003!AH:AH)</f>
        <v>2480.3236799999995</v>
      </c>
      <c r="AI877" s="21">
        <f>SUMIF([1]SO003!$H:$H,'SA007 2025.01-2026.05 '!$D877,[1]SO003!AJ:AJ)</f>
        <v>0</v>
      </c>
    </row>
    <row r="878" spans="1:35" x14ac:dyDescent="0.55000000000000004">
      <c r="A878" s="2" t="s">
        <v>867</v>
      </c>
      <c r="D878" s="2" t="s">
        <v>1487</v>
      </c>
      <c r="E878" s="2" t="s">
        <v>1470</v>
      </c>
      <c r="G878" s="3" t="s">
        <v>63</v>
      </c>
      <c r="H878" s="2" t="s">
        <v>310</v>
      </c>
      <c r="I878" s="3">
        <v>1.2</v>
      </c>
      <c r="J878" s="3">
        <v>1219</v>
      </c>
      <c r="K878" s="3" t="s">
        <v>1356</v>
      </c>
      <c r="AA878" s="18">
        <f>SUMIF([1]SA007!$C:$C,'SA007 2025.01-2026.05 '!$D878,[1]SA007!P:P)</f>
        <v>0</v>
      </c>
      <c r="AB878" s="18">
        <f>SUMIF([1]SA007!$C:$C,'SA007 2025.01-2026.05 '!$D878,[1]SA007!Q:Q)</f>
        <v>73</v>
      </c>
      <c r="AC878" s="19">
        <f t="shared" si="29"/>
        <v>73</v>
      </c>
      <c r="AD878" s="19">
        <f t="shared" si="30"/>
        <v>36.5</v>
      </c>
      <c r="AG878" s="21">
        <f>SUMIF([1]SO003!$H:$H,'SA007 2025.01-2026.05 '!$D878,[1]SO003!AF:AF)</f>
        <v>0</v>
      </c>
      <c r="AH878" s="21">
        <f>SUMIF([1]SO003!$H:$H,'SA007 2025.01-2026.05 '!$D878,[1]SO003!AH:AH)</f>
        <v>0</v>
      </c>
      <c r="AI878" s="21">
        <f>SUMIF([1]SO003!$H:$H,'SA007 2025.01-2026.05 '!$D878,[1]SO003!AJ:AJ)</f>
        <v>0</v>
      </c>
    </row>
    <row r="879" spans="1:35" x14ac:dyDescent="0.55000000000000004">
      <c r="A879" s="2" t="s">
        <v>145</v>
      </c>
      <c r="D879" s="2" t="s">
        <v>1488</v>
      </c>
      <c r="E879" s="2" t="s">
        <v>1470</v>
      </c>
      <c r="G879" s="3" t="s">
        <v>63</v>
      </c>
      <c r="H879" s="2" t="s">
        <v>1489</v>
      </c>
      <c r="I879" s="3">
        <v>0.8</v>
      </c>
      <c r="J879" s="3">
        <v>54</v>
      </c>
      <c r="K879" s="3" t="s">
        <v>731</v>
      </c>
      <c r="AA879" s="18">
        <f>SUMIF([1]SA007!$C:$C,'SA007 2025.01-2026.05 '!$D879,[1]SA007!P:P)</f>
        <v>0</v>
      </c>
      <c r="AB879" s="18">
        <f>SUMIF([1]SA007!$C:$C,'SA007 2025.01-2026.05 '!$D879,[1]SA007!Q:Q)</f>
        <v>12</v>
      </c>
      <c r="AC879" s="19">
        <f t="shared" si="29"/>
        <v>12</v>
      </c>
      <c r="AD879" s="19">
        <f t="shared" si="30"/>
        <v>6</v>
      </c>
      <c r="AG879" s="21">
        <f>SUMIF([1]SO003!$H:$H,'SA007 2025.01-2026.05 '!$D879,[1]SO003!AF:AF)</f>
        <v>12.4016184</v>
      </c>
      <c r="AH879" s="21">
        <f>SUMIF([1]SO003!$H:$H,'SA007 2025.01-2026.05 '!$D879,[1]SO003!AH:AH)</f>
        <v>12.4016184</v>
      </c>
      <c r="AI879" s="21">
        <f>SUMIF([1]SO003!$H:$H,'SA007 2025.01-2026.05 '!$D879,[1]SO003!AJ:AJ)</f>
        <v>0</v>
      </c>
    </row>
    <row r="880" spans="1:35" x14ac:dyDescent="0.55000000000000004">
      <c r="A880" s="2" t="s">
        <v>460</v>
      </c>
      <c r="D880" s="2" t="s">
        <v>1490</v>
      </c>
      <c r="E880" s="2" t="s">
        <v>1470</v>
      </c>
      <c r="G880" s="3" t="s">
        <v>47</v>
      </c>
      <c r="H880" s="2" t="s">
        <v>213</v>
      </c>
      <c r="I880" s="3">
        <v>3.2</v>
      </c>
      <c r="J880" s="3">
        <v>50</v>
      </c>
      <c r="K880" s="3" t="s">
        <v>731</v>
      </c>
      <c r="AA880" s="18">
        <f>SUMIF([1]SA007!$C:$C,'SA007 2025.01-2026.05 '!$D880,[1]SA007!P:P)</f>
        <v>0</v>
      </c>
      <c r="AB880" s="18">
        <f>SUMIF([1]SA007!$C:$C,'SA007 2025.01-2026.05 '!$D880,[1]SA007!Q:Q)</f>
        <v>154</v>
      </c>
      <c r="AC880" s="19">
        <f t="shared" si="29"/>
        <v>154</v>
      </c>
      <c r="AD880" s="19">
        <f t="shared" si="30"/>
        <v>77</v>
      </c>
      <c r="AG880" s="21">
        <f>SUMIF([1]SO003!$H:$H,'SA007 2025.01-2026.05 '!$D880,[1]SO003!AF:AF)</f>
        <v>0</v>
      </c>
      <c r="AH880" s="21">
        <f>SUMIF([1]SO003!$H:$H,'SA007 2025.01-2026.05 '!$D880,[1]SO003!AH:AH)</f>
        <v>0</v>
      </c>
      <c r="AI880" s="21">
        <f>SUMIF([1]SO003!$H:$H,'SA007 2025.01-2026.05 '!$D880,[1]SO003!AJ:AJ)</f>
        <v>0</v>
      </c>
    </row>
    <row r="881" spans="1:35" x14ac:dyDescent="0.55000000000000004">
      <c r="A881" s="2" t="s">
        <v>460</v>
      </c>
      <c r="D881" s="2" t="s">
        <v>1491</v>
      </c>
      <c r="E881" s="2" t="s">
        <v>1470</v>
      </c>
      <c r="G881" s="3" t="s">
        <v>47</v>
      </c>
      <c r="H881" s="2" t="s">
        <v>213</v>
      </c>
      <c r="I881" s="3">
        <v>3.2</v>
      </c>
      <c r="J881" s="3">
        <v>64</v>
      </c>
      <c r="K881" s="3" t="s">
        <v>731</v>
      </c>
      <c r="AA881" s="18">
        <f>SUMIF([1]SA007!$C:$C,'SA007 2025.01-2026.05 '!$D881,[1]SA007!P:P)</f>
        <v>0</v>
      </c>
      <c r="AB881" s="18">
        <f>SUMIF([1]SA007!$C:$C,'SA007 2025.01-2026.05 '!$D881,[1]SA007!Q:Q)</f>
        <v>228</v>
      </c>
      <c r="AC881" s="19">
        <f t="shared" si="29"/>
        <v>228</v>
      </c>
      <c r="AD881" s="19">
        <f t="shared" si="30"/>
        <v>114</v>
      </c>
      <c r="AG881" s="21">
        <f>SUMIF([1]SO003!$H:$H,'SA007 2025.01-2026.05 '!$D881,[1]SO003!AF:AF)</f>
        <v>0</v>
      </c>
      <c r="AH881" s="21">
        <f>SUMIF([1]SO003!$H:$H,'SA007 2025.01-2026.05 '!$D881,[1]SO003!AH:AH)</f>
        <v>0</v>
      </c>
      <c r="AI881" s="21">
        <f>SUMIF([1]SO003!$H:$H,'SA007 2025.01-2026.05 '!$D881,[1]SO003!AJ:AJ)</f>
        <v>0</v>
      </c>
    </row>
    <row r="882" spans="1:35" x14ac:dyDescent="0.55000000000000004">
      <c r="A882" s="2" t="s">
        <v>212</v>
      </c>
      <c r="D882" s="2" t="s">
        <v>1492</v>
      </c>
      <c r="E882" s="2" t="s">
        <v>1470</v>
      </c>
      <c r="G882" s="3" t="s">
        <v>47</v>
      </c>
      <c r="H882" s="2" t="s">
        <v>213</v>
      </c>
      <c r="I882" s="3">
        <v>1.6</v>
      </c>
      <c r="J882" s="3">
        <v>235</v>
      </c>
      <c r="K882" s="3" t="s">
        <v>731</v>
      </c>
      <c r="AA882" s="18">
        <f>SUMIF([1]SA007!$C:$C,'SA007 2025.01-2026.05 '!$D882,[1]SA007!P:P)</f>
        <v>0</v>
      </c>
      <c r="AB882" s="18">
        <f>SUMIF([1]SA007!$C:$C,'SA007 2025.01-2026.05 '!$D882,[1]SA007!Q:Q)</f>
        <v>180</v>
      </c>
      <c r="AC882" s="19">
        <f t="shared" si="29"/>
        <v>180</v>
      </c>
      <c r="AD882" s="19">
        <f t="shared" si="30"/>
        <v>90</v>
      </c>
      <c r="AG882" s="21">
        <f>SUMIF([1]SO003!$H:$H,'SA007 2025.01-2026.05 '!$D882,[1]SO003!AF:AF)</f>
        <v>0</v>
      </c>
      <c r="AH882" s="21">
        <f>SUMIF([1]SO003!$H:$H,'SA007 2025.01-2026.05 '!$D882,[1]SO003!AH:AH)</f>
        <v>0</v>
      </c>
      <c r="AI882" s="21">
        <f>SUMIF([1]SO003!$H:$H,'SA007 2025.01-2026.05 '!$D882,[1]SO003!AJ:AJ)</f>
        <v>0</v>
      </c>
    </row>
    <row r="883" spans="1:35" x14ac:dyDescent="0.55000000000000004">
      <c r="A883" s="2" t="s">
        <v>126</v>
      </c>
      <c r="D883" s="2" t="s">
        <v>1493</v>
      </c>
      <c r="E883" s="2" t="s">
        <v>1494</v>
      </c>
      <c r="G883" s="3" t="s">
        <v>63</v>
      </c>
      <c r="H883" s="2" t="s">
        <v>310</v>
      </c>
      <c r="I883" s="3">
        <v>0.6</v>
      </c>
      <c r="J883" s="3">
        <v>111</v>
      </c>
      <c r="K883" s="3" t="s">
        <v>731</v>
      </c>
      <c r="AA883" s="18">
        <f>SUMIF([1]SA007!$C:$C,'SA007 2025.01-2026.05 '!$D883,[1]SA007!P:P)</f>
        <v>53</v>
      </c>
      <c r="AB883" s="18">
        <f>SUMIF([1]SA007!$C:$C,'SA007 2025.01-2026.05 '!$D883,[1]SA007!Q:Q)</f>
        <v>0</v>
      </c>
      <c r="AC883" s="19">
        <f t="shared" si="29"/>
        <v>53</v>
      </c>
      <c r="AD883" s="19">
        <f t="shared" si="30"/>
        <v>26.5</v>
      </c>
      <c r="AG883" s="21">
        <f>SUMIF([1]SO003!$H:$H,'SA007 2025.01-2026.05 '!$D883,[1]SO003!AF:AF)</f>
        <v>0</v>
      </c>
      <c r="AH883" s="21">
        <f>SUMIF([1]SO003!$H:$H,'SA007 2025.01-2026.05 '!$D883,[1]SO003!AH:AH)</f>
        <v>0</v>
      </c>
      <c r="AI883" s="21">
        <f>SUMIF([1]SO003!$H:$H,'SA007 2025.01-2026.05 '!$D883,[1]SO003!AJ:AJ)</f>
        <v>0</v>
      </c>
    </row>
    <row r="884" spans="1:35" x14ac:dyDescent="0.55000000000000004">
      <c r="A884" s="2" t="s">
        <v>126</v>
      </c>
      <c r="D884" s="2" t="s">
        <v>1493</v>
      </c>
      <c r="E884" s="2" t="s">
        <v>1494</v>
      </c>
      <c r="G884" s="3" t="s">
        <v>63</v>
      </c>
      <c r="H884" s="2" t="s">
        <v>61</v>
      </c>
      <c r="I884" s="3">
        <v>0.6</v>
      </c>
      <c r="J884" s="3">
        <v>111</v>
      </c>
      <c r="K884" s="3" t="s">
        <v>731</v>
      </c>
      <c r="AA884" s="18">
        <f>SUMIF([1]SA007!$C:$C,'SA007 2025.01-2026.05 '!$D884,[1]SA007!P:P)</f>
        <v>53</v>
      </c>
      <c r="AB884" s="18">
        <f>SUMIF([1]SA007!$C:$C,'SA007 2025.01-2026.05 '!$D884,[1]SA007!Q:Q)</f>
        <v>0</v>
      </c>
      <c r="AC884" s="19">
        <f t="shared" si="29"/>
        <v>53</v>
      </c>
      <c r="AD884" s="19">
        <f t="shared" si="30"/>
        <v>26.5</v>
      </c>
      <c r="AG884" s="21">
        <f>SUMIF([1]SO003!$H:$H,'SA007 2025.01-2026.05 '!$D884,[1]SO003!AF:AF)</f>
        <v>0</v>
      </c>
      <c r="AH884" s="21">
        <f>SUMIF([1]SO003!$H:$H,'SA007 2025.01-2026.05 '!$D884,[1]SO003!AH:AH)</f>
        <v>0</v>
      </c>
      <c r="AI884" s="21">
        <f>SUMIF([1]SO003!$H:$H,'SA007 2025.01-2026.05 '!$D884,[1]SO003!AJ:AJ)</f>
        <v>0</v>
      </c>
    </row>
    <row r="885" spans="1:35" x14ac:dyDescent="0.55000000000000004">
      <c r="A885" s="2" t="s">
        <v>171</v>
      </c>
      <c r="D885" s="2" t="s">
        <v>1495</v>
      </c>
      <c r="E885" s="2" t="s">
        <v>849</v>
      </c>
      <c r="G885" s="3" t="s">
        <v>57</v>
      </c>
      <c r="H885" s="2" t="s">
        <v>800</v>
      </c>
      <c r="I885" s="3">
        <v>1.6</v>
      </c>
      <c r="J885" s="3">
        <v>90</v>
      </c>
      <c r="K885" s="3" t="s">
        <v>1496</v>
      </c>
      <c r="AA885" s="18">
        <f>SUMIF([1]SA007!$C:$C,'SA007 2025.01-2026.05 '!$D885,[1]SA007!P:P)</f>
        <v>0</v>
      </c>
      <c r="AB885" s="18">
        <f>SUMIF([1]SA007!$C:$C,'SA007 2025.01-2026.05 '!$D885,[1]SA007!Q:Q)</f>
        <v>488</v>
      </c>
      <c r="AC885" s="19">
        <f t="shared" si="29"/>
        <v>488</v>
      </c>
      <c r="AD885" s="19">
        <f t="shared" si="30"/>
        <v>244</v>
      </c>
      <c r="AG885" s="21">
        <f>SUMIF([1]SO003!$H:$H,'SA007 2025.01-2026.05 '!$D885,[1]SO003!AF:AF)</f>
        <v>504.15840000000003</v>
      </c>
      <c r="AH885" s="21">
        <f>SUMIF([1]SO003!$H:$H,'SA007 2025.01-2026.05 '!$D885,[1]SO003!AH:AH)</f>
        <v>504.15840000000003</v>
      </c>
      <c r="AI885" s="21">
        <f>SUMIF([1]SO003!$H:$H,'SA007 2025.01-2026.05 '!$D885,[1]SO003!AJ:AJ)</f>
        <v>0</v>
      </c>
    </row>
    <row r="886" spans="1:35" x14ac:dyDescent="0.55000000000000004">
      <c r="A886" s="2" t="s">
        <v>489</v>
      </c>
      <c r="D886" s="2" t="s">
        <v>1497</v>
      </c>
      <c r="E886" s="2" t="s">
        <v>1498</v>
      </c>
      <c r="G886" s="3" t="s">
        <v>47</v>
      </c>
      <c r="H886" s="2" t="s">
        <v>1499</v>
      </c>
      <c r="I886" s="3">
        <v>2.2999999999999998</v>
      </c>
      <c r="J886" s="3">
        <v>105</v>
      </c>
      <c r="K886" s="3" t="s">
        <v>731</v>
      </c>
      <c r="AA886" s="18">
        <f>SUMIF([1]SA007!$C:$C,'SA007 2025.01-2026.05 '!$D886,[1]SA007!P:P)</f>
        <v>0</v>
      </c>
      <c r="AB886" s="18">
        <f>SUMIF([1]SA007!$C:$C,'SA007 2025.01-2026.05 '!$D886,[1]SA007!Q:Q)</f>
        <v>497</v>
      </c>
      <c r="AC886" s="19">
        <f t="shared" si="29"/>
        <v>497</v>
      </c>
      <c r="AD886" s="19">
        <f t="shared" si="30"/>
        <v>248.5</v>
      </c>
      <c r="AG886" s="21">
        <f>SUMIF([1]SO003!$H:$H,'SA007 2025.01-2026.05 '!$D886,[1]SO003!AF:AF)</f>
        <v>0</v>
      </c>
      <c r="AH886" s="21">
        <f>SUMIF([1]SO003!$H:$H,'SA007 2025.01-2026.05 '!$D886,[1]SO003!AH:AH)</f>
        <v>0</v>
      </c>
      <c r="AI886" s="21">
        <f>SUMIF([1]SO003!$H:$H,'SA007 2025.01-2026.05 '!$D886,[1]SO003!AJ:AJ)</f>
        <v>0</v>
      </c>
    </row>
    <row r="887" spans="1:35" x14ac:dyDescent="0.55000000000000004">
      <c r="A887" s="2" t="s">
        <v>489</v>
      </c>
      <c r="D887" s="2" t="s">
        <v>1500</v>
      </c>
      <c r="E887" s="2" t="s">
        <v>1498</v>
      </c>
      <c r="G887" s="3" t="s">
        <v>47</v>
      </c>
      <c r="H887" s="2" t="s">
        <v>1499</v>
      </c>
      <c r="I887" s="3">
        <v>2.2999999999999998</v>
      </c>
      <c r="J887" s="3">
        <v>130</v>
      </c>
      <c r="K887" s="3" t="s">
        <v>731</v>
      </c>
      <c r="AA887" s="18">
        <f>SUMIF([1]SA007!$C:$C,'SA007 2025.01-2026.05 '!$D887,[1]SA007!P:P)</f>
        <v>0</v>
      </c>
      <c r="AB887" s="18">
        <f>SUMIF([1]SA007!$C:$C,'SA007 2025.01-2026.05 '!$D887,[1]SA007!Q:Q)</f>
        <v>509</v>
      </c>
      <c r="AC887" s="19">
        <f t="shared" si="29"/>
        <v>509</v>
      </c>
      <c r="AD887" s="19">
        <f t="shared" si="30"/>
        <v>254.5</v>
      </c>
      <c r="AG887" s="21">
        <f>SUMIF([1]SO003!$H:$H,'SA007 2025.01-2026.05 '!$D887,[1]SO003!AF:AF)</f>
        <v>0</v>
      </c>
      <c r="AH887" s="21">
        <f>SUMIF([1]SO003!$H:$H,'SA007 2025.01-2026.05 '!$D887,[1]SO003!AH:AH)</f>
        <v>0</v>
      </c>
      <c r="AI887" s="21">
        <f>SUMIF([1]SO003!$H:$H,'SA007 2025.01-2026.05 '!$D887,[1]SO003!AJ:AJ)</f>
        <v>0</v>
      </c>
    </row>
    <row r="888" spans="1:35" x14ac:dyDescent="0.55000000000000004">
      <c r="A888" s="2" t="s">
        <v>219</v>
      </c>
      <c r="D888" s="2" t="s">
        <v>1501</v>
      </c>
      <c r="E888" s="2" t="s">
        <v>185</v>
      </c>
      <c r="G888" s="3" t="s">
        <v>57</v>
      </c>
      <c r="H888" s="2" t="s">
        <v>67</v>
      </c>
      <c r="I888" s="3">
        <v>1.2</v>
      </c>
      <c r="J888" s="3">
        <v>280</v>
      </c>
      <c r="K888" s="3" t="s">
        <v>917</v>
      </c>
      <c r="AA888" s="18">
        <f>SUMIF([1]SA007!$C:$C,'SA007 2025.01-2026.05 '!$D888,[1]SA007!P:P)</f>
        <v>469</v>
      </c>
      <c r="AB888" s="18">
        <f>SUMIF([1]SA007!$C:$C,'SA007 2025.01-2026.05 '!$D888,[1]SA007!Q:Q)</f>
        <v>0</v>
      </c>
      <c r="AC888" s="19">
        <f t="shared" si="29"/>
        <v>469</v>
      </c>
      <c r="AD888" s="19">
        <f t="shared" si="30"/>
        <v>234.5</v>
      </c>
      <c r="AG888" s="21">
        <f>SUMIF([1]SO003!$H:$H,'SA007 2025.01-2026.05 '!$D888,[1]SO003!AF:AF)</f>
        <v>0</v>
      </c>
      <c r="AH888" s="21">
        <f>SUMIF([1]SO003!$H:$H,'SA007 2025.01-2026.05 '!$D888,[1]SO003!AH:AH)</f>
        <v>0</v>
      </c>
      <c r="AI888" s="21">
        <f>SUMIF([1]SO003!$H:$H,'SA007 2025.01-2026.05 '!$D888,[1]SO003!AJ:AJ)</f>
        <v>0</v>
      </c>
    </row>
    <row r="889" spans="1:35" x14ac:dyDescent="0.55000000000000004">
      <c r="A889" s="2" t="s">
        <v>1078</v>
      </c>
      <c r="D889" s="2" t="s">
        <v>1502</v>
      </c>
      <c r="E889" s="2" t="s">
        <v>185</v>
      </c>
      <c r="G889" s="3" t="s">
        <v>57</v>
      </c>
      <c r="H889" s="2" t="s">
        <v>67</v>
      </c>
      <c r="I889" s="3">
        <v>1.6</v>
      </c>
      <c r="J889" s="3">
        <v>150</v>
      </c>
      <c r="K889" s="3" t="s">
        <v>1503</v>
      </c>
      <c r="AA889" s="18">
        <f>SUMIF([1]SA007!$C:$C,'SA007 2025.01-2026.05 '!$D889,[1]SA007!P:P)</f>
        <v>0</v>
      </c>
      <c r="AB889" s="18">
        <f>SUMIF([1]SA007!$C:$C,'SA007 2025.01-2026.05 '!$D889,[1]SA007!Q:Q)</f>
        <v>1484</v>
      </c>
      <c r="AC889" s="19">
        <f t="shared" si="29"/>
        <v>1484</v>
      </c>
      <c r="AD889" s="19">
        <f t="shared" si="30"/>
        <v>742</v>
      </c>
      <c r="AG889" s="21">
        <f>SUMIF([1]SO003!$H:$H,'SA007 2025.01-2026.05 '!$D889,[1]SO003!AF:AF)</f>
        <v>0</v>
      </c>
      <c r="AH889" s="21">
        <f>SUMIF([1]SO003!$H:$H,'SA007 2025.01-2026.05 '!$D889,[1]SO003!AH:AH)</f>
        <v>0</v>
      </c>
      <c r="AI889" s="21">
        <f>SUMIF([1]SO003!$H:$H,'SA007 2025.01-2026.05 '!$D889,[1]SO003!AJ:AJ)</f>
        <v>0</v>
      </c>
    </row>
    <row r="890" spans="1:35" x14ac:dyDescent="0.55000000000000004">
      <c r="A890" s="2" t="s">
        <v>1375</v>
      </c>
      <c r="D890" s="2" t="s">
        <v>1504</v>
      </c>
      <c r="E890" s="2" t="s">
        <v>185</v>
      </c>
      <c r="G890" s="3" t="s">
        <v>57</v>
      </c>
      <c r="H890" s="2" t="s">
        <v>160</v>
      </c>
      <c r="I890" s="3">
        <v>1.8</v>
      </c>
      <c r="J890" s="3">
        <v>190</v>
      </c>
      <c r="K890" s="3" t="s">
        <v>41</v>
      </c>
      <c r="AA890" s="18">
        <f>SUMIF([1]SA007!$C:$C,'SA007 2025.01-2026.05 '!$D890,[1]SA007!P:P)</f>
        <v>0</v>
      </c>
      <c r="AB890" s="18">
        <f>SUMIF([1]SA007!$C:$C,'SA007 2025.01-2026.05 '!$D890,[1]SA007!Q:Q)</f>
        <v>565</v>
      </c>
      <c r="AC890" s="19">
        <f t="shared" si="29"/>
        <v>565</v>
      </c>
      <c r="AD890" s="19">
        <f t="shared" si="30"/>
        <v>282.5</v>
      </c>
      <c r="AG890" s="21">
        <f>SUMIF([1]SO003!$H:$H,'SA007 2025.01-2026.05 '!$D890,[1]SO003!AF:AF)</f>
        <v>0</v>
      </c>
      <c r="AH890" s="21">
        <f>SUMIF([1]SO003!$H:$H,'SA007 2025.01-2026.05 '!$D890,[1]SO003!AH:AH)</f>
        <v>0</v>
      </c>
      <c r="AI890" s="21">
        <f>SUMIF([1]SO003!$H:$H,'SA007 2025.01-2026.05 '!$D890,[1]SO003!AJ:AJ)</f>
        <v>0</v>
      </c>
    </row>
    <row r="891" spans="1:35" x14ac:dyDescent="0.55000000000000004">
      <c r="A891" s="2" t="s">
        <v>1472</v>
      </c>
      <c r="D891" s="2" t="s">
        <v>1505</v>
      </c>
      <c r="E891" s="2" t="s">
        <v>185</v>
      </c>
      <c r="G891" s="3" t="s">
        <v>63</v>
      </c>
      <c r="H891" s="2" t="s">
        <v>199</v>
      </c>
      <c r="I891" s="3">
        <v>0.8</v>
      </c>
      <c r="J891" s="3">
        <v>315</v>
      </c>
      <c r="K891" s="3" t="s">
        <v>1331</v>
      </c>
      <c r="AA891" s="18">
        <f>SUMIF([1]SA007!$C:$C,'SA007 2025.01-2026.05 '!$D891,[1]SA007!P:P)</f>
        <v>276</v>
      </c>
      <c r="AB891" s="18">
        <f>SUMIF([1]SA007!$C:$C,'SA007 2025.01-2026.05 '!$D891,[1]SA007!Q:Q)</f>
        <v>0</v>
      </c>
      <c r="AC891" s="19">
        <f t="shared" si="29"/>
        <v>276</v>
      </c>
      <c r="AD891" s="19">
        <f t="shared" si="30"/>
        <v>138</v>
      </c>
      <c r="AG891" s="21">
        <f>SUMIF([1]SO003!$H:$H,'SA007 2025.01-2026.05 '!$D891,[1]SO003!AF:AF)</f>
        <v>0</v>
      </c>
      <c r="AH891" s="21">
        <f>SUMIF([1]SO003!$H:$H,'SA007 2025.01-2026.05 '!$D891,[1]SO003!AH:AH)</f>
        <v>0</v>
      </c>
      <c r="AI891" s="21">
        <f>SUMIF([1]SO003!$H:$H,'SA007 2025.01-2026.05 '!$D891,[1]SO003!AJ:AJ)</f>
        <v>0</v>
      </c>
    </row>
    <row r="892" spans="1:35" x14ac:dyDescent="0.55000000000000004">
      <c r="A892" s="2" t="s">
        <v>356</v>
      </c>
      <c r="D892" s="2">
        <v>3002376130023760</v>
      </c>
      <c r="E892" s="2" t="s">
        <v>1506</v>
      </c>
      <c r="G892" s="3" t="s">
        <v>63</v>
      </c>
      <c r="H892" s="2" t="s">
        <v>61</v>
      </c>
      <c r="I892" s="3">
        <v>2</v>
      </c>
      <c r="J892" s="3">
        <v>123</v>
      </c>
      <c r="K892" s="3" t="s">
        <v>731</v>
      </c>
      <c r="AA892" s="18">
        <f>SUMIF([1]SA007!$C:$C,'SA007 2025.01-2026.05 '!$D892,[1]SA007!P:P)</f>
        <v>0</v>
      </c>
      <c r="AB892" s="18">
        <f>SUMIF([1]SA007!$C:$C,'SA007 2025.01-2026.05 '!$D892,[1]SA007!Q:Q)</f>
        <v>214</v>
      </c>
      <c r="AC892" s="19">
        <f t="shared" si="29"/>
        <v>214</v>
      </c>
      <c r="AD892" s="19">
        <f t="shared" si="30"/>
        <v>107</v>
      </c>
      <c r="AG892" s="21">
        <f>SUMIF([1]SO003!$H:$H,'SA007 2025.01-2026.05 '!$D892,[1]SO003!AF:AF)</f>
        <v>164.78076300000001</v>
      </c>
      <c r="AH892" s="21">
        <f>SUMIF([1]SO003!$H:$H,'SA007 2025.01-2026.05 '!$D892,[1]SO003!AH:AH)</f>
        <v>0</v>
      </c>
      <c r="AI892" s="21">
        <f>SUMIF([1]SO003!$H:$H,'SA007 2025.01-2026.05 '!$D892,[1]SO003!AJ:AJ)</f>
        <v>164.78076300000001</v>
      </c>
    </row>
    <row r="893" spans="1:35" x14ac:dyDescent="0.55000000000000004">
      <c r="A893" s="2" t="s">
        <v>356</v>
      </c>
      <c r="D893" s="2">
        <v>30034035</v>
      </c>
      <c r="E893" s="2" t="s">
        <v>1506</v>
      </c>
      <c r="G893" s="3" t="s">
        <v>63</v>
      </c>
      <c r="H893" s="2" t="s">
        <v>61</v>
      </c>
      <c r="I893" s="3">
        <v>2</v>
      </c>
      <c r="J893" s="3">
        <v>315</v>
      </c>
      <c r="K893" s="3" t="s">
        <v>731</v>
      </c>
      <c r="AA893" s="18">
        <f>SUMIF([1]SA007!$C:$C,'SA007 2025.01-2026.05 '!$D893,[1]SA007!P:P)</f>
        <v>0</v>
      </c>
      <c r="AB893" s="18">
        <f>SUMIF([1]SA007!$C:$C,'SA007 2025.01-2026.05 '!$D893,[1]SA007!Q:Q)</f>
        <v>1645</v>
      </c>
      <c r="AC893" s="19">
        <f t="shared" si="29"/>
        <v>1645</v>
      </c>
      <c r="AD893" s="19">
        <f t="shared" si="30"/>
        <v>822.5</v>
      </c>
      <c r="AG893" s="21">
        <f>SUMIF([1]SO003!$H:$H,'SA007 2025.01-2026.05 '!$D893,[1]SO003!AF:AF)</f>
        <v>0</v>
      </c>
      <c r="AH893" s="21">
        <f>SUMIF([1]SO003!$H:$H,'SA007 2025.01-2026.05 '!$D893,[1]SO003!AH:AH)</f>
        <v>0</v>
      </c>
      <c r="AI893" s="21">
        <f>SUMIF([1]SO003!$H:$H,'SA007 2025.01-2026.05 '!$D893,[1]SO003!AJ:AJ)</f>
        <v>0</v>
      </c>
    </row>
    <row r="894" spans="1:35" x14ac:dyDescent="0.55000000000000004">
      <c r="A894" s="2" t="s">
        <v>219</v>
      </c>
      <c r="D894" s="2" t="s">
        <v>1507</v>
      </c>
      <c r="E894" s="2" t="s">
        <v>249</v>
      </c>
      <c r="G894" s="3" t="s">
        <v>57</v>
      </c>
      <c r="H894" s="2" t="s">
        <v>67</v>
      </c>
      <c r="I894" s="3">
        <v>1.2</v>
      </c>
      <c r="J894" s="3">
        <v>1109</v>
      </c>
      <c r="K894" s="3" t="s">
        <v>1508</v>
      </c>
      <c r="AA894" s="18">
        <f>SUMIF([1]SA007!$C:$C,'SA007 2025.01-2026.05 '!$D894,[1]SA007!P:P)</f>
        <v>612</v>
      </c>
      <c r="AB894" s="18">
        <f>SUMIF([1]SA007!$C:$C,'SA007 2025.01-2026.05 '!$D894,[1]SA007!Q:Q)</f>
        <v>592</v>
      </c>
      <c r="AC894" s="19">
        <f t="shared" si="29"/>
        <v>1204</v>
      </c>
      <c r="AD894" s="19">
        <f t="shared" si="30"/>
        <v>602</v>
      </c>
      <c r="AG894" s="21">
        <f>SUMIF([1]SO003!$H:$H,'SA007 2025.01-2026.05 '!$D894,[1]SO003!AF:AF)</f>
        <v>621.79234559999998</v>
      </c>
      <c r="AH894" s="21">
        <f>SUMIF([1]SO003!$H:$H,'SA007 2025.01-2026.05 '!$D894,[1]SO003!AH:AH)</f>
        <v>921.02991192000002</v>
      </c>
      <c r="AI894" s="21">
        <f>SUMIF([1]SO003!$H:$H,'SA007 2025.01-2026.05 '!$D894,[1]SO003!AJ:AJ)</f>
        <v>0</v>
      </c>
    </row>
    <row r="895" spans="1:35" x14ac:dyDescent="0.55000000000000004">
      <c r="A895" s="2" t="s">
        <v>99</v>
      </c>
      <c r="D895" s="2" t="s">
        <v>1509</v>
      </c>
      <c r="E895" s="2" t="s">
        <v>1510</v>
      </c>
      <c r="G895" s="3" t="s">
        <v>63</v>
      </c>
      <c r="H895" s="2" t="s">
        <v>61</v>
      </c>
      <c r="I895" s="3">
        <v>0.5</v>
      </c>
      <c r="J895" s="3">
        <v>29</v>
      </c>
      <c r="K895" s="3" t="s">
        <v>1511</v>
      </c>
      <c r="AA895" s="18">
        <f>SUMIF([1]SA007!$C:$C,'SA007 2025.01-2026.05 '!$D895,[1]SA007!P:P)</f>
        <v>0</v>
      </c>
      <c r="AB895" s="18">
        <f>SUMIF([1]SA007!$C:$C,'SA007 2025.01-2026.05 '!$D895,[1]SA007!Q:Q)</f>
        <v>0</v>
      </c>
      <c r="AC895" s="19">
        <f t="shared" si="29"/>
        <v>0</v>
      </c>
      <c r="AD895" s="19">
        <f t="shared" si="30"/>
        <v>0</v>
      </c>
      <c r="AG895" s="21">
        <f>SUMIF([1]SO003!$H:$H,'SA007 2025.01-2026.05 '!$D895,[1]SO003!AF:AF)</f>
        <v>0</v>
      </c>
      <c r="AH895" s="21">
        <f>SUMIF([1]SO003!$H:$H,'SA007 2025.01-2026.05 '!$D895,[1]SO003!AH:AH)</f>
        <v>0</v>
      </c>
      <c r="AI895" s="21">
        <f>SUMIF([1]SO003!$H:$H,'SA007 2025.01-2026.05 '!$D895,[1]SO003!AJ:AJ)</f>
        <v>0</v>
      </c>
    </row>
    <row r="896" spans="1:35" x14ac:dyDescent="0.55000000000000004">
      <c r="A896" s="2" t="s">
        <v>1472</v>
      </c>
      <c r="D896" s="2" t="s">
        <v>1512</v>
      </c>
      <c r="E896" s="2" t="s">
        <v>1510</v>
      </c>
      <c r="G896" s="3" t="s">
        <v>63</v>
      </c>
      <c r="H896" s="2" t="s">
        <v>682</v>
      </c>
      <c r="I896" s="3">
        <v>1.6</v>
      </c>
      <c r="J896" s="3">
        <v>343</v>
      </c>
      <c r="K896" s="3" t="s">
        <v>731</v>
      </c>
      <c r="AA896" s="18">
        <f>SUMIF([1]SA007!$C:$C,'SA007 2025.01-2026.05 '!$D896,[1]SA007!P:P)</f>
        <v>424</v>
      </c>
      <c r="AB896" s="18">
        <f>SUMIF([1]SA007!$C:$C,'SA007 2025.01-2026.05 '!$D896,[1]SA007!Q:Q)</f>
        <v>0</v>
      </c>
      <c r="AC896" s="19">
        <f t="shared" si="29"/>
        <v>424</v>
      </c>
      <c r="AD896" s="19">
        <f t="shared" si="30"/>
        <v>212</v>
      </c>
      <c r="AG896" s="21">
        <f>SUMIF([1]SO003!$H:$H,'SA007 2025.01-2026.05 '!$D896,[1]SO003!AF:AF)</f>
        <v>945.2789135999999</v>
      </c>
      <c r="AH896" s="21">
        <f>SUMIF([1]SO003!$H:$H,'SA007 2025.01-2026.05 '!$D896,[1]SO003!AH:AH)</f>
        <v>945.2789135999999</v>
      </c>
      <c r="AI896" s="21">
        <f>SUMIF([1]SO003!$H:$H,'SA007 2025.01-2026.05 '!$D896,[1]SO003!AJ:AJ)</f>
        <v>0</v>
      </c>
    </row>
    <row r="897" spans="1:35" x14ac:dyDescent="0.55000000000000004">
      <c r="A897" s="2" t="s">
        <v>1228</v>
      </c>
      <c r="D897" s="2" t="s">
        <v>1513</v>
      </c>
      <c r="E897" s="2" t="s">
        <v>1510</v>
      </c>
      <c r="G897" s="3" t="s">
        <v>47</v>
      </c>
      <c r="H897" s="2" t="s">
        <v>44</v>
      </c>
      <c r="I897" s="3">
        <v>2.2999999999999998</v>
      </c>
      <c r="J897" s="3">
        <v>270</v>
      </c>
      <c r="K897" s="3" t="s">
        <v>731</v>
      </c>
      <c r="AA897" s="18">
        <f>SUMIF([1]SA007!$C:$C,'SA007 2025.01-2026.05 '!$D897,[1]SA007!P:P)</f>
        <v>0</v>
      </c>
      <c r="AB897" s="18">
        <f>SUMIF([1]SA007!$C:$C,'SA007 2025.01-2026.05 '!$D897,[1]SA007!Q:Q)</f>
        <v>1025</v>
      </c>
      <c r="AC897" s="19">
        <f t="shared" si="29"/>
        <v>1025</v>
      </c>
      <c r="AD897" s="19">
        <f t="shared" si="30"/>
        <v>512.5</v>
      </c>
      <c r="AG897" s="21">
        <f>SUMIF([1]SO003!$H:$H,'SA007 2025.01-2026.05 '!$D897,[1]SO003!AF:AF)</f>
        <v>0</v>
      </c>
      <c r="AH897" s="21">
        <f>SUMIF([1]SO003!$H:$H,'SA007 2025.01-2026.05 '!$D897,[1]SO003!AH:AH)</f>
        <v>0</v>
      </c>
      <c r="AI897" s="21">
        <f>SUMIF([1]SO003!$H:$H,'SA007 2025.01-2026.05 '!$D897,[1]SO003!AJ:AJ)</f>
        <v>0</v>
      </c>
    </row>
    <row r="898" spans="1:35" x14ac:dyDescent="0.55000000000000004">
      <c r="A898" s="2" t="s">
        <v>381</v>
      </c>
      <c r="D898" s="2" t="s">
        <v>1514</v>
      </c>
      <c r="E898" s="2" t="s">
        <v>240</v>
      </c>
      <c r="G898" s="3" t="s">
        <v>39</v>
      </c>
      <c r="H898" s="2" t="s">
        <v>282</v>
      </c>
      <c r="I898" s="3">
        <v>2</v>
      </c>
      <c r="J898" s="3">
        <v>104</v>
      </c>
      <c r="K898" s="3" t="s">
        <v>41</v>
      </c>
      <c r="AA898" s="18">
        <f>SUMIF([1]SA007!$C:$C,'SA007 2025.01-2026.05 '!$D898,[1]SA007!P:P)</f>
        <v>0</v>
      </c>
      <c r="AB898" s="18">
        <f>SUMIF([1]SA007!$C:$C,'SA007 2025.01-2026.05 '!$D898,[1]SA007!Q:Q)</f>
        <v>527</v>
      </c>
      <c r="AC898" s="19">
        <f t="shared" si="29"/>
        <v>527</v>
      </c>
      <c r="AD898" s="19">
        <f t="shared" si="30"/>
        <v>263.5</v>
      </c>
      <c r="AG898" s="21">
        <f>SUMIF([1]SO003!$H:$H,'SA007 2025.01-2026.05 '!$D898,[1]SO003!AF:AF)</f>
        <v>0</v>
      </c>
      <c r="AH898" s="21">
        <f>SUMIF([1]SO003!$H:$H,'SA007 2025.01-2026.05 '!$D898,[1]SO003!AH:AH)</f>
        <v>0</v>
      </c>
      <c r="AI898" s="21">
        <f>SUMIF([1]SO003!$H:$H,'SA007 2025.01-2026.05 '!$D898,[1]SO003!AJ:AJ)</f>
        <v>0</v>
      </c>
    </row>
    <row r="899" spans="1:35" x14ac:dyDescent="0.55000000000000004">
      <c r="A899" s="2" t="s">
        <v>381</v>
      </c>
      <c r="D899" s="2" t="s">
        <v>1515</v>
      </c>
      <c r="E899" s="2" t="s">
        <v>240</v>
      </c>
      <c r="G899" s="3" t="s">
        <v>39</v>
      </c>
      <c r="H899" s="2" t="s">
        <v>282</v>
      </c>
      <c r="I899" s="3">
        <v>2</v>
      </c>
      <c r="J899" s="3">
        <v>115</v>
      </c>
      <c r="K899" s="3" t="s">
        <v>41</v>
      </c>
      <c r="AA899" s="18">
        <f>SUMIF([1]SA007!$C:$C,'SA007 2025.01-2026.05 '!$D899,[1]SA007!P:P)</f>
        <v>0</v>
      </c>
      <c r="AB899" s="18">
        <f>SUMIF([1]SA007!$C:$C,'SA007 2025.01-2026.05 '!$D899,[1]SA007!Q:Q)</f>
        <v>853</v>
      </c>
      <c r="AC899" s="19">
        <f t="shared" si="29"/>
        <v>853</v>
      </c>
      <c r="AD899" s="19">
        <f t="shared" si="30"/>
        <v>426.5</v>
      </c>
      <c r="AG899" s="21">
        <f>SUMIF([1]SO003!$H:$H,'SA007 2025.01-2026.05 '!$D899,[1]SO003!AF:AF)</f>
        <v>0</v>
      </c>
      <c r="AH899" s="21">
        <f>SUMIF([1]SO003!$H:$H,'SA007 2025.01-2026.05 '!$D899,[1]SO003!AH:AH)</f>
        <v>0</v>
      </c>
      <c r="AI899" s="21">
        <f>SUMIF([1]SO003!$H:$H,'SA007 2025.01-2026.05 '!$D899,[1]SO003!AJ:AJ)</f>
        <v>0</v>
      </c>
    </row>
    <row r="900" spans="1:35" x14ac:dyDescent="0.55000000000000004">
      <c r="A900" s="2" t="s">
        <v>381</v>
      </c>
      <c r="D900" s="2" t="s">
        <v>1516</v>
      </c>
      <c r="E900" s="2" t="s">
        <v>240</v>
      </c>
      <c r="G900" s="3" t="s">
        <v>39</v>
      </c>
      <c r="H900" s="2" t="s">
        <v>282</v>
      </c>
      <c r="I900" s="3">
        <v>2</v>
      </c>
      <c r="J900" s="3">
        <v>80</v>
      </c>
      <c r="K900" s="3" t="s">
        <v>41</v>
      </c>
      <c r="AA900" s="18">
        <f>SUMIF([1]SA007!$C:$C,'SA007 2025.01-2026.05 '!$D900,[1]SA007!P:P)</f>
        <v>0</v>
      </c>
      <c r="AB900" s="18">
        <f>SUMIF([1]SA007!$C:$C,'SA007 2025.01-2026.05 '!$D900,[1]SA007!Q:Q)</f>
        <v>382</v>
      </c>
      <c r="AC900" s="19">
        <f t="shared" si="29"/>
        <v>382</v>
      </c>
      <c r="AD900" s="19">
        <f t="shared" si="30"/>
        <v>191</v>
      </c>
      <c r="AG900" s="21">
        <f>SUMIF([1]SO003!$H:$H,'SA007 2025.01-2026.05 '!$D900,[1]SO003!AF:AF)</f>
        <v>0</v>
      </c>
      <c r="AH900" s="21">
        <f>SUMIF([1]SO003!$H:$H,'SA007 2025.01-2026.05 '!$D900,[1]SO003!AH:AH)</f>
        <v>0</v>
      </c>
      <c r="AI900" s="21">
        <f>SUMIF([1]SO003!$H:$H,'SA007 2025.01-2026.05 '!$D900,[1]SO003!AJ:AJ)</f>
        <v>0</v>
      </c>
    </row>
    <row r="901" spans="1:35" x14ac:dyDescent="0.55000000000000004">
      <c r="A901" s="2" t="s">
        <v>1517</v>
      </c>
      <c r="D901" s="2" t="s">
        <v>1518</v>
      </c>
      <c r="E901" s="2" t="s">
        <v>69</v>
      </c>
      <c r="G901" s="3" t="s">
        <v>57</v>
      </c>
      <c r="H901" s="2" t="s">
        <v>158</v>
      </c>
      <c r="I901" s="3">
        <v>0.6</v>
      </c>
      <c r="J901" s="3">
        <v>95</v>
      </c>
      <c r="K901" s="3" t="s">
        <v>1519</v>
      </c>
      <c r="AA901" s="18">
        <f>SUMIF([1]SA007!$C:$C,'SA007 2025.01-2026.05 '!$D901,[1]SA007!P:P)</f>
        <v>1694</v>
      </c>
      <c r="AB901" s="18">
        <f>SUMIF([1]SA007!$C:$C,'SA007 2025.01-2026.05 '!$D901,[1]SA007!Q:Q)</f>
        <v>0</v>
      </c>
      <c r="AC901" s="19">
        <f t="shared" si="29"/>
        <v>1694</v>
      </c>
      <c r="AD901" s="19">
        <f t="shared" si="30"/>
        <v>847</v>
      </c>
      <c r="AG901" s="21">
        <f>SUMIF([1]SO003!$H:$H,'SA007 2025.01-2026.05 '!$D901,[1]SO003!AF:AF)</f>
        <v>0</v>
      </c>
      <c r="AH901" s="21">
        <f>SUMIF([1]SO003!$H:$H,'SA007 2025.01-2026.05 '!$D901,[1]SO003!AH:AH)</f>
        <v>0</v>
      </c>
      <c r="AI901" s="21">
        <f>SUMIF([1]SO003!$H:$H,'SA007 2025.01-2026.05 '!$D901,[1]SO003!AJ:AJ)</f>
        <v>0</v>
      </c>
    </row>
    <row r="902" spans="1:35" x14ac:dyDescent="0.55000000000000004">
      <c r="A902" s="2" t="s">
        <v>53</v>
      </c>
      <c r="D902" s="2" t="s">
        <v>1520</v>
      </c>
      <c r="E902" s="2" t="s">
        <v>69</v>
      </c>
      <c r="G902" s="3" t="s">
        <v>57</v>
      </c>
      <c r="H902" s="2" t="s">
        <v>158</v>
      </c>
      <c r="I902" s="3">
        <v>0.5</v>
      </c>
      <c r="J902" s="3">
        <v>175</v>
      </c>
      <c r="K902" s="3" t="s">
        <v>1521</v>
      </c>
      <c r="AA902" s="18">
        <f>SUMIF([1]SA007!$C:$C,'SA007 2025.01-2026.05 '!$D902,[1]SA007!P:P)</f>
        <v>158</v>
      </c>
      <c r="AB902" s="18">
        <f>SUMIF([1]SA007!$C:$C,'SA007 2025.01-2026.05 '!$D902,[1]SA007!Q:Q)</f>
        <v>0</v>
      </c>
      <c r="AC902" s="19">
        <f t="shared" ref="AC902:AC912" si="31">SUM(L902:AB902)</f>
        <v>158</v>
      </c>
      <c r="AD902" s="19">
        <f t="shared" ref="AD902:AD912" si="32">AVERAGE(L902:AB902)</f>
        <v>79</v>
      </c>
      <c r="AG902" s="21">
        <f>SUMIF([1]SO003!$H:$H,'SA007 2025.01-2026.05 '!$D902,[1]SO003!AF:AF)</f>
        <v>0</v>
      </c>
      <c r="AH902" s="21">
        <f>SUMIF([1]SO003!$H:$H,'SA007 2025.01-2026.05 '!$D902,[1]SO003!AH:AH)</f>
        <v>0</v>
      </c>
      <c r="AI902" s="21">
        <f>SUMIF([1]SO003!$H:$H,'SA007 2025.01-2026.05 '!$D902,[1]SO003!AJ:AJ)</f>
        <v>0</v>
      </c>
    </row>
    <row r="903" spans="1:35" x14ac:dyDescent="0.55000000000000004">
      <c r="A903" s="2" t="s">
        <v>53</v>
      </c>
      <c r="D903" s="2" t="s">
        <v>1522</v>
      </c>
      <c r="E903" s="2" t="s">
        <v>69</v>
      </c>
      <c r="G903" s="3" t="s">
        <v>57</v>
      </c>
      <c r="H903" s="2" t="s">
        <v>158</v>
      </c>
      <c r="I903" s="3">
        <v>0.5</v>
      </c>
      <c r="J903" s="3">
        <v>295.10000000000002</v>
      </c>
      <c r="K903" s="3" t="s">
        <v>1523</v>
      </c>
      <c r="AA903" s="18">
        <f>SUMIF([1]SA007!$C:$C,'SA007 2025.01-2026.05 '!$D903,[1]SA007!P:P)</f>
        <v>3180</v>
      </c>
      <c r="AB903" s="18">
        <f>SUMIF([1]SA007!$C:$C,'SA007 2025.01-2026.05 '!$D903,[1]SA007!Q:Q)</f>
        <v>3915</v>
      </c>
      <c r="AC903" s="19">
        <f t="shared" si="31"/>
        <v>7095</v>
      </c>
      <c r="AD903" s="19">
        <f t="shared" si="32"/>
        <v>3547.5</v>
      </c>
      <c r="AG903" s="21">
        <f>SUMIF([1]SO003!$H:$H,'SA007 2025.01-2026.05 '!$D903,[1]SO003!AF:AF)</f>
        <v>3207.9376679999996</v>
      </c>
      <c r="AH903" s="21">
        <f>SUMIF([1]SO003!$H:$H,'SA007 2025.01-2026.05 '!$D903,[1]SO003!AH:AH)</f>
        <v>0</v>
      </c>
      <c r="AI903" s="21">
        <f>SUMIF([1]SO003!$H:$H,'SA007 2025.01-2026.05 '!$D903,[1]SO003!AJ:AJ)</f>
        <v>3207.9376679999996</v>
      </c>
    </row>
    <row r="904" spans="1:35" x14ac:dyDescent="0.55000000000000004">
      <c r="A904" s="2" t="s">
        <v>53</v>
      </c>
      <c r="D904" s="2" t="s">
        <v>1524</v>
      </c>
      <c r="E904" s="2" t="s">
        <v>69</v>
      </c>
      <c r="G904" s="3" t="s">
        <v>57</v>
      </c>
      <c r="H904" s="2" t="s">
        <v>158</v>
      </c>
      <c r="I904" s="3">
        <v>0.5</v>
      </c>
      <c r="J904" s="3">
        <v>148</v>
      </c>
      <c r="K904" s="3" t="s">
        <v>1390</v>
      </c>
      <c r="AA904" s="18">
        <f>SUMIF([1]SA007!$C:$C,'SA007 2025.01-2026.05 '!$D904,[1]SA007!P:P)</f>
        <v>0</v>
      </c>
      <c r="AB904" s="18">
        <f>SUMIF([1]SA007!$C:$C,'SA007 2025.01-2026.05 '!$D904,[1]SA007!Q:Q)</f>
        <v>200</v>
      </c>
      <c r="AC904" s="19">
        <f t="shared" si="31"/>
        <v>200</v>
      </c>
      <c r="AD904" s="19">
        <f t="shared" si="32"/>
        <v>100</v>
      </c>
      <c r="AG904" s="21">
        <f>SUMIF([1]SO003!$H:$H,'SA007 2025.01-2026.05 '!$D904,[1]SO003!AF:AF)</f>
        <v>198.95824999999999</v>
      </c>
      <c r="AH904" s="21">
        <f>SUMIF([1]SO003!$H:$H,'SA007 2025.01-2026.05 '!$D904,[1]SO003!AH:AH)</f>
        <v>0</v>
      </c>
      <c r="AI904" s="21">
        <f>SUMIF([1]SO003!$H:$H,'SA007 2025.01-2026.05 '!$D904,[1]SO003!AJ:AJ)</f>
        <v>198.95824999999999</v>
      </c>
    </row>
    <row r="905" spans="1:35" x14ac:dyDescent="0.55000000000000004">
      <c r="A905" s="2" t="s">
        <v>66</v>
      </c>
      <c r="D905" s="2" t="s">
        <v>1525</v>
      </c>
      <c r="E905" s="2" t="s">
        <v>69</v>
      </c>
      <c r="G905" s="3" t="s">
        <v>57</v>
      </c>
      <c r="H905" s="2" t="s">
        <v>158</v>
      </c>
      <c r="I905" s="3">
        <v>0.8</v>
      </c>
      <c r="J905" s="3">
        <v>63.5</v>
      </c>
      <c r="K905" s="3" t="s">
        <v>1526</v>
      </c>
      <c r="AA905" s="18">
        <f>SUMIF([1]SA007!$C:$C,'SA007 2025.01-2026.05 '!$D905,[1]SA007!P:P)</f>
        <v>163</v>
      </c>
      <c r="AB905" s="18">
        <f>SUMIF([1]SA007!$C:$C,'SA007 2025.01-2026.05 '!$D905,[1]SA007!Q:Q)</f>
        <v>343</v>
      </c>
      <c r="AC905" s="19">
        <f t="shared" si="31"/>
        <v>506</v>
      </c>
      <c r="AD905" s="19">
        <f t="shared" si="32"/>
        <v>253</v>
      </c>
      <c r="AG905" s="21">
        <f>SUMIF([1]SO003!$H:$H,'SA007 2025.01-2026.05 '!$D905,[1]SO003!AF:AF)</f>
        <v>0</v>
      </c>
      <c r="AH905" s="21">
        <f>SUMIF([1]SO003!$H:$H,'SA007 2025.01-2026.05 '!$D905,[1]SO003!AH:AH)</f>
        <v>0</v>
      </c>
      <c r="AI905" s="21">
        <f>SUMIF([1]SO003!$H:$H,'SA007 2025.01-2026.05 '!$D905,[1]SO003!AJ:AJ)</f>
        <v>0</v>
      </c>
    </row>
    <row r="906" spans="1:35" x14ac:dyDescent="0.55000000000000004">
      <c r="A906" s="2" t="s">
        <v>66</v>
      </c>
      <c r="D906" s="2" t="s">
        <v>1527</v>
      </c>
      <c r="E906" s="2" t="s">
        <v>69</v>
      </c>
      <c r="G906" s="3" t="s">
        <v>57</v>
      </c>
      <c r="H906" s="2" t="s">
        <v>158</v>
      </c>
      <c r="I906" s="3">
        <v>0.8</v>
      </c>
      <c r="J906" s="3">
        <v>102.8</v>
      </c>
      <c r="K906" s="3" t="s">
        <v>1528</v>
      </c>
      <c r="AA906" s="18">
        <f>SUMIF([1]SA007!$C:$C,'SA007 2025.01-2026.05 '!$D906,[1]SA007!P:P)</f>
        <v>2768</v>
      </c>
      <c r="AB906" s="18">
        <f>SUMIF([1]SA007!$C:$C,'SA007 2025.01-2026.05 '!$D906,[1]SA007!Q:Q)</f>
        <v>0</v>
      </c>
      <c r="AC906" s="19">
        <f t="shared" si="31"/>
        <v>2768</v>
      </c>
      <c r="AD906" s="19">
        <f t="shared" si="32"/>
        <v>1384</v>
      </c>
      <c r="AG906" s="21">
        <f>SUMIF([1]SO003!$H:$H,'SA007 2025.01-2026.05 '!$D906,[1]SO003!AF:AF)</f>
        <v>1392.9120384000003</v>
      </c>
      <c r="AH906" s="21">
        <f>SUMIF([1]SO003!$H:$H,'SA007 2025.01-2026.05 '!$D906,[1]SO003!AH:AH)</f>
        <v>0</v>
      </c>
      <c r="AI906" s="21">
        <f>SUMIF([1]SO003!$H:$H,'SA007 2025.01-2026.05 '!$D906,[1]SO003!AJ:AJ)</f>
        <v>1392.9120384000003</v>
      </c>
    </row>
    <row r="907" spans="1:35" x14ac:dyDescent="0.55000000000000004">
      <c r="A907" s="2" t="s">
        <v>66</v>
      </c>
      <c r="D907" s="2" t="s">
        <v>1529</v>
      </c>
      <c r="E907" s="2" t="s">
        <v>69</v>
      </c>
      <c r="G907" s="3" t="s">
        <v>57</v>
      </c>
      <c r="H907" s="2" t="s">
        <v>158</v>
      </c>
      <c r="I907" s="3">
        <v>0.8</v>
      </c>
      <c r="J907" s="3">
        <v>102.8</v>
      </c>
      <c r="K907" s="3" t="s">
        <v>1530</v>
      </c>
      <c r="AA907" s="18">
        <f>SUMIF([1]SA007!$C:$C,'SA007 2025.01-2026.05 '!$D907,[1]SA007!P:P)</f>
        <v>1992</v>
      </c>
      <c r="AB907" s="18">
        <f>SUMIF([1]SA007!$C:$C,'SA007 2025.01-2026.05 '!$D907,[1]SA007!Q:Q)</f>
        <v>0</v>
      </c>
      <c r="AC907" s="19">
        <f t="shared" si="31"/>
        <v>1992</v>
      </c>
      <c r="AD907" s="19">
        <f t="shared" si="32"/>
        <v>996</v>
      </c>
      <c r="AG907" s="21">
        <f>SUMIF([1]SO003!$H:$H,'SA007 2025.01-2026.05 '!$D907,[1]SO003!AF:AF)</f>
        <v>1005.9489888000001</v>
      </c>
      <c r="AH907" s="21">
        <f>SUMIF([1]SO003!$H:$H,'SA007 2025.01-2026.05 '!$D907,[1]SO003!AH:AH)</f>
        <v>0</v>
      </c>
      <c r="AI907" s="21">
        <f>SUMIF([1]SO003!$H:$H,'SA007 2025.01-2026.05 '!$D907,[1]SO003!AJ:AJ)</f>
        <v>1005.9489888000001</v>
      </c>
    </row>
    <row r="908" spans="1:35" x14ac:dyDescent="0.55000000000000004">
      <c r="A908" s="2" t="s">
        <v>53</v>
      </c>
      <c r="D908" s="2" t="s">
        <v>1531</v>
      </c>
      <c r="E908" s="2" t="s">
        <v>69</v>
      </c>
      <c r="G908" s="3" t="s">
        <v>57</v>
      </c>
      <c r="H908" s="2" t="s">
        <v>158</v>
      </c>
      <c r="I908" s="3">
        <v>0.5</v>
      </c>
      <c r="J908" s="3">
        <v>334.2</v>
      </c>
      <c r="K908" s="3" t="s">
        <v>819</v>
      </c>
      <c r="AA908" s="18">
        <f>SUMIF([1]SA007!$C:$C,'SA007 2025.01-2026.05 '!$D908,[1]SA007!P:P)</f>
        <v>481</v>
      </c>
      <c r="AB908" s="18">
        <f>SUMIF([1]SA007!$C:$C,'SA007 2025.01-2026.05 '!$D908,[1]SA007!Q:Q)</f>
        <v>0</v>
      </c>
      <c r="AC908" s="19">
        <f t="shared" si="31"/>
        <v>481</v>
      </c>
      <c r="AD908" s="19">
        <f t="shared" si="32"/>
        <v>240.5</v>
      </c>
      <c r="AG908" s="21">
        <f>SUMIF([1]SO003!$H:$H,'SA007 2025.01-2026.05 '!$D908,[1]SO003!AF:AF)</f>
        <v>0</v>
      </c>
      <c r="AH908" s="21">
        <f>SUMIF([1]SO003!$H:$H,'SA007 2025.01-2026.05 '!$D908,[1]SO003!AH:AH)</f>
        <v>0</v>
      </c>
      <c r="AI908" s="21">
        <f>SUMIF([1]SO003!$H:$H,'SA007 2025.01-2026.05 '!$D908,[1]SO003!AJ:AJ)</f>
        <v>0</v>
      </c>
    </row>
    <row r="909" spans="1:35" x14ac:dyDescent="0.55000000000000004">
      <c r="A909" s="2" t="s">
        <v>361</v>
      </c>
      <c r="D909" s="2" t="s">
        <v>1532</v>
      </c>
      <c r="E909" s="2" t="s">
        <v>1533</v>
      </c>
      <c r="G909" s="3" t="s">
        <v>47</v>
      </c>
      <c r="H909" s="2" t="s">
        <v>402</v>
      </c>
      <c r="I909" s="3">
        <v>4.5</v>
      </c>
      <c r="J909" s="3">
        <v>370</v>
      </c>
      <c r="K909" s="3" t="s">
        <v>731</v>
      </c>
      <c r="AA909" s="18">
        <f>SUMIF([1]SA007!$C:$C,'SA007 2025.01-2026.05 '!$D909,[1]SA007!P:P)</f>
        <v>0</v>
      </c>
      <c r="AB909" s="18">
        <f>SUMIF([1]SA007!$C:$C,'SA007 2025.01-2026.05 '!$D909,[1]SA007!Q:Q)</f>
        <v>6086</v>
      </c>
      <c r="AC909" s="19">
        <f t="shared" si="31"/>
        <v>6086</v>
      </c>
      <c r="AD909" s="19">
        <f t="shared" si="32"/>
        <v>3043</v>
      </c>
      <c r="AG909" s="21">
        <f>SUMIF([1]SO003!$H:$H,'SA007 2025.01-2026.05 '!$D909,[1]SO003!AF:AF)</f>
        <v>0</v>
      </c>
      <c r="AH909" s="21">
        <f>SUMIF([1]SO003!$H:$H,'SA007 2025.01-2026.05 '!$D909,[1]SO003!AH:AH)</f>
        <v>0</v>
      </c>
      <c r="AI909" s="21">
        <f>SUMIF([1]SO003!$H:$H,'SA007 2025.01-2026.05 '!$D909,[1]SO003!AJ:AJ)</f>
        <v>0</v>
      </c>
    </row>
    <row r="910" spans="1:35" x14ac:dyDescent="0.55000000000000004">
      <c r="A910" s="2" t="s">
        <v>178</v>
      </c>
      <c r="D910" s="2" t="s">
        <v>1534</v>
      </c>
      <c r="E910" s="2" t="s">
        <v>182</v>
      </c>
      <c r="G910" s="3" t="s">
        <v>57</v>
      </c>
      <c r="H910" s="2" t="s">
        <v>160</v>
      </c>
      <c r="I910" s="3">
        <v>1</v>
      </c>
      <c r="J910" s="3">
        <v>186</v>
      </c>
      <c r="K910" s="3" t="s">
        <v>183</v>
      </c>
      <c r="AA910" s="18">
        <f>SUMIF([1]SA007!$C:$C,'SA007 2025.01-2026.05 '!$D910,[1]SA007!P:P)</f>
        <v>1745</v>
      </c>
      <c r="AB910" s="18">
        <f>SUMIF([1]SA007!$C:$C,'SA007 2025.01-2026.05 '!$D910,[1]SA007!Q:Q)</f>
        <v>0</v>
      </c>
      <c r="AC910" s="19">
        <f t="shared" si="31"/>
        <v>1745</v>
      </c>
      <c r="AD910" s="19">
        <f t="shared" si="32"/>
        <v>872.5</v>
      </c>
      <c r="AG910" s="21">
        <f>SUMIF([1]SO003!$H:$H,'SA007 2025.01-2026.05 '!$D910,[1]SO003!AF:AF)</f>
        <v>0</v>
      </c>
      <c r="AH910" s="21">
        <f>SUMIF([1]SO003!$H:$H,'SA007 2025.01-2026.05 '!$D910,[1]SO003!AH:AH)</f>
        <v>0</v>
      </c>
      <c r="AI910" s="21">
        <f>SUMIF([1]SO003!$H:$H,'SA007 2025.01-2026.05 '!$D910,[1]SO003!AJ:AJ)</f>
        <v>0</v>
      </c>
    </row>
  </sheetData>
  <autoFilter ref="A4:AI910" xr:uid="{00000000-0001-0000-0000-000000000000}"/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SA007 2025.01-2026.05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WEI-TSO CHIEN</dc:creator>
  <cp:lastModifiedBy>WEI-TSO CHIEN</cp:lastModifiedBy>
  <dcterms:created xsi:type="dcterms:W3CDTF">2026-07-03T11:06:37Z</dcterms:created>
  <dcterms:modified xsi:type="dcterms:W3CDTF">2026-07-03T11:10:48Z</dcterms:modified>
</cp:coreProperties>
</file>